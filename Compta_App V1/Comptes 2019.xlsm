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1629" codeName="{54D0D2CB-4C12-4D6E-6EDF-ACB5E8E520A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FB\Desktop\"/>
    </mc:Choice>
  </mc:AlternateContent>
  <xr:revisionPtr revIDLastSave="0" documentId="13_ncr:1_{2546BDF4-61A0-498C-A5E9-F1EA87B52F76}" xr6:coauthVersionLast="43" xr6:coauthVersionMax="43" xr10:uidLastSave="{00000000-0000-0000-0000-000000000000}"/>
  <bookViews>
    <workbookView xWindow="-120" yWindow="-120" windowWidth="29040" windowHeight="15840" activeTab="2" xr2:uid="{00000000-000D-0000-FFFF-FFFF00000000}"/>
  </bookViews>
  <sheets>
    <sheet name="Commandes" sheetId="3" r:id="rId1"/>
    <sheet name="Banque" sheetId="1" r:id="rId2"/>
    <sheet name="Compta" sheetId="2" r:id="rId3"/>
    <sheet name="tab" sheetId="10" r:id="rId4"/>
    <sheet name="Balance" sheetId="4" r:id="rId5"/>
    <sheet name="Analyse" sheetId="5" r:id="rId6"/>
    <sheet name="Data" sheetId="6" r:id="rId7"/>
  </sheets>
  <functionGroups builtInGroupCount="19"/>
  <definedNames>
    <definedName name="_xlnm._FilterDatabase" localSheetId="4" hidden="1">Balance!$A$1:$I$133</definedName>
    <definedName name="_xlnm._FilterDatabase" localSheetId="1" hidden="1">Banque!$A$1:$K$359</definedName>
    <definedName name="_xlnm._FilterDatabase" localSheetId="2" hidden="1">Compta!$A$1:$G$166</definedName>
    <definedName name="TVA">Data!$B$1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T3" i="2" l="1"/>
  <c r="T4" i="2"/>
  <c r="T5" i="2"/>
  <c r="T6" i="2"/>
  <c r="T7" i="2"/>
  <c r="T8" i="2"/>
  <c r="T9" i="2"/>
  <c r="T10" i="2"/>
  <c r="T11" i="2"/>
  <c r="T12" i="2"/>
  <c r="T13" i="2"/>
  <c r="T14" i="2"/>
  <c r="T15" i="2"/>
  <c r="T16" i="2"/>
  <c r="T17" i="2"/>
  <c r="T18" i="2"/>
  <c r="T19" i="2"/>
  <c r="T20" i="2"/>
  <c r="T21" i="2"/>
  <c r="T22" i="2"/>
  <c r="T23" i="2"/>
  <c r="T24" i="2"/>
  <c r="T25" i="2"/>
  <c r="T26" i="2"/>
  <c r="T27" i="2"/>
  <c r="T28" i="2"/>
  <c r="T29" i="2"/>
  <c r="T30" i="2"/>
  <c r="T31" i="2"/>
  <c r="T32" i="2"/>
  <c r="T33" i="2"/>
  <c r="T34" i="2"/>
  <c r="T35" i="2"/>
  <c r="T36" i="2"/>
  <c r="T37" i="2"/>
  <c r="T38" i="2"/>
  <c r="T39" i="2"/>
  <c r="T40" i="2"/>
  <c r="T41" i="2"/>
  <c r="T42" i="2"/>
  <c r="T43" i="2"/>
  <c r="T44" i="2"/>
  <c r="T45" i="2"/>
  <c r="T46" i="2"/>
  <c r="T47" i="2"/>
  <c r="T48" i="2"/>
  <c r="T49" i="2"/>
  <c r="T50" i="2"/>
  <c r="T51" i="2"/>
  <c r="T52" i="2"/>
  <c r="T53" i="2"/>
  <c r="T54" i="2"/>
  <c r="T55" i="2"/>
  <c r="T56" i="2"/>
  <c r="T57" i="2"/>
  <c r="T58" i="2"/>
  <c r="T59" i="2"/>
  <c r="T60" i="2"/>
  <c r="T61" i="2"/>
  <c r="T62" i="2"/>
  <c r="T63" i="2"/>
  <c r="T64" i="2"/>
  <c r="T65" i="2"/>
  <c r="T66" i="2"/>
  <c r="T67" i="2"/>
  <c r="T68" i="2"/>
  <c r="T69" i="2"/>
  <c r="T70" i="2"/>
  <c r="T71" i="2"/>
  <c r="T72" i="2"/>
  <c r="T73" i="2"/>
  <c r="T74" i="2"/>
  <c r="T75" i="2"/>
  <c r="T76" i="2"/>
  <c r="T77" i="2"/>
  <c r="T78" i="2"/>
  <c r="T79" i="2"/>
  <c r="T80" i="2"/>
  <c r="T81" i="2"/>
  <c r="T82" i="2"/>
  <c r="T83" i="2"/>
  <c r="T84" i="2"/>
  <c r="T85" i="2"/>
  <c r="T86" i="2"/>
  <c r="T87" i="2"/>
  <c r="T88" i="2"/>
  <c r="T89" i="2"/>
  <c r="T90" i="2"/>
  <c r="T91" i="2"/>
  <c r="T92" i="2"/>
  <c r="T93" i="2"/>
  <c r="T94" i="2"/>
  <c r="T95" i="2"/>
  <c r="T96" i="2"/>
  <c r="T97" i="2"/>
  <c r="T98" i="2"/>
  <c r="T99" i="2"/>
  <c r="T100" i="2"/>
  <c r="T101" i="2"/>
  <c r="T102" i="2"/>
  <c r="T103" i="2"/>
  <c r="T104" i="2"/>
  <c r="T105" i="2"/>
  <c r="T106" i="2"/>
  <c r="T107" i="2"/>
  <c r="T108" i="2"/>
  <c r="T109" i="2"/>
  <c r="T110" i="2"/>
  <c r="T111" i="2"/>
  <c r="T112" i="2"/>
  <c r="T113" i="2"/>
  <c r="T114" i="2"/>
  <c r="T115" i="2"/>
  <c r="T116" i="2"/>
  <c r="T117" i="2"/>
  <c r="T118" i="2"/>
  <c r="T119" i="2"/>
  <c r="T120" i="2"/>
  <c r="T121" i="2"/>
  <c r="T122" i="2"/>
  <c r="T123" i="2"/>
  <c r="T124" i="2"/>
  <c r="T125" i="2"/>
  <c r="T126" i="2"/>
  <c r="T127" i="2"/>
  <c r="T128" i="2"/>
  <c r="T129" i="2"/>
  <c r="T130" i="2"/>
  <c r="T131" i="2"/>
  <c r="T132" i="2"/>
  <c r="T133" i="2"/>
  <c r="T134" i="2"/>
  <c r="T135" i="2"/>
  <c r="T136" i="2"/>
  <c r="T137" i="2"/>
  <c r="T138" i="2"/>
  <c r="T139" i="2"/>
  <c r="T140" i="2"/>
  <c r="T141" i="2"/>
  <c r="T142" i="2"/>
  <c r="T143" i="2"/>
  <c r="T144" i="2"/>
  <c r="T145" i="2"/>
  <c r="T146" i="2"/>
  <c r="T147" i="2"/>
  <c r="T148" i="2"/>
  <c r="T149" i="2"/>
  <c r="T150" i="2"/>
  <c r="T151" i="2"/>
  <c r="T152" i="2"/>
  <c r="T153" i="2"/>
  <c r="T154" i="2"/>
  <c r="T155" i="2"/>
  <c r="T156" i="2"/>
  <c r="T157" i="2"/>
  <c r="T158" i="2"/>
  <c r="T159" i="2"/>
  <c r="T160" i="2"/>
  <c r="T161" i="2"/>
  <c r="T162" i="2"/>
  <c r="T163" i="2"/>
  <c r="T164" i="2"/>
  <c r="T165" i="2"/>
  <c r="T166" i="2"/>
  <c r="T167" i="2"/>
  <c r="T168" i="2"/>
  <c r="T169" i="2"/>
  <c r="T170" i="2"/>
  <c r="T171" i="2"/>
  <c r="T172" i="2"/>
  <c r="T173" i="2"/>
  <c r="T174" i="2"/>
  <c r="T175" i="2"/>
  <c r="T176" i="2"/>
  <c r="T177" i="2"/>
  <c r="T178" i="2"/>
  <c r="T179" i="2"/>
  <c r="T180" i="2"/>
  <c r="T181" i="2"/>
  <c r="T182" i="2"/>
  <c r="T183" i="2"/>
  <c r="T184" i="2"/>
  <c r="T185" i="2"/>
  <c r="T186" i="2"/>
  <c r="T187" i="2"/>
  <c r="T2" i="2"/>
  <c r="R3" i="2"/>
  <c r="R4" i="2"/>
  <c r="R5" i="2"/>
  <c r="R6" i="2"/>
  <c r="R7" i="2"/>
  <c r="R8" i="2"/>
  <c r="R9" i="2"/>
  <c r="R10" i="2"/>
  <c r="R11" i="2"/>
  <c r="R12" i="2"/>
  <c r="R13" i="2"/>
  <c r="R14" i="2"/>
  <c r="R15" i="2"/>
  <c r="R16" i="2"/>
  <c r="R17" i="2"/>
  <c r="R18" i="2"/>
  <c r="R19" i="2"/>
  <c r="R20" i="2"/>
  <c r="R21" i="2"/>
  <c r="R22" i="2"/>
  <c r="R23" i="2"/>
  <c r="R24" i="2"/>
  <c r="R25" i="2"/>
  <c r="R26" i="2"/>
  <c r="R27" i="2"/>
  <c r="R28" i="2"/>
  <c r="R29" i="2"/>
  <c r="R30" i="2"/>
  <c r="R31" i="2"/>
  <c r="R32" i="2"/>
  <c r="R33" i="2"/>
  <c r="R34" i="2"/>
  <c r="R35" i="2"/>
  <c r="R36" i="2"/>
  <c r="R37" i="2"/>
  <c r="R38" i="2"/>
  <c r="R39" i="2"/>
  <c r="R40" i="2"/>
  <c r="R41" i="2"/>
  <c r="R42" i="2"/>
  <c r="R43" i="2"/>
  <c r="R44" i="2"/>
  <c r="R45" i="2"/>
  <c r="R46" i="2"/>
  <c r="R47" i="2"/>
  <c r="R48" i="2"/>
  <c r="R49" i="2"/>
  <c r="R50" i="2"/>
  <c r="R51" i="2"/>
  <c r="R52" i="2"/>
  <c r="R53" i="2"/>
  <c r="R54" i="2"/>
  <c r="R55" i="2"/>
  <c r="R56" i="2"/>
  <c r="R57" i="2"/>
  <c r="R58" i="2"/>
  <c r="R59" i="2"/>
  <c r="R60" i="2"/>
  <c r="R61" i="2"/>
  <c r="R62" i="2"/>
  <c r="R63" i="2"/>
  <c r="R64" i="2"/>
  <c r="R65" i="2"/>
  <c r="R66" i="2"/>
  <c r="R67" i="2"/>
  <c r="R68" i="2"/>
  <c r="R69" i="2"/>
  <c r="R70" i="2"/>
  <c r="R71" i="2"/>
  <c r="R72" i="2"/>
  <c r="R73" i="2"/>
  <c r="R74" i="2"/>
  <c r="R75" i="2"/>
  <c r="R76" i="2"/>
  <c r="R77" i="2"/>
  <c r="R78" i="2"/>
  <c r="R79" i="2"/>
  <c r="R80" i="2"/>
  <c r="R81" i="2"/>
  <c r="R82" i="2"/>
  <c r="R83" i="2"/>
  <c r="R84" i="2"/>
  <c r="R85" i="2"/>
  <c r="R86" i="2"/>
  <c r="R87" i="2"/>
  <c r="R88" i="2"/>
  <c r="R89" i="2"/>
  <c r="R90" i="2"/>
  <c r="R91" i="2"/>
  <c r="R92" i="2"/>
  <c r="R93" i="2"/>
  <c r="R94" i="2"/>
  <c r="R95" i="2"/>
  <c r="R96" i="2"/>
  <c r="R97" i="2"/>
  <c r="R98" i="2"/>
  <c r="R99" i="2"/>
  <c r="R100" i="2"/>
  <c r="R101" i="2"/>
  <c r="R102" i="2"/>
  <c r="R103" i="2"/>
  <c r="R104" i="2"/>
  <c r="R105" i="2"/>
  <c r="R106" i="2"/>
  <c r="R107" i="2"/>
  <c r="R108" i="2"/>
  <c r="R109" i="2"/>
  <c r="R110" i="2"/>
  <c r="R111" i="2"/>
  <c r="R112" i="2"/>
  <c r="R113" i="2"/>
  <c r="R114" i="2"/>
  <c r="R115" i="2"/>
  <c r="R116" i="2"/>
  <c r="R117" i="2"/>
  <c r="R118" i="2"/>
  <c r="R119" i="2"/>
  <c r="R120" i="2"/>
  <c r="R121" i="2"/>
  <c r="R122" i="2"/>
  <c r="R123" i="2"/>
  <c r="R124" i="2"/>
  <c r="R125" i="2"/>
  <c r="R126" i="2"/>
  <c r="R127" i="2"/>
  <c r="R128" i="2"/>
  <c r="R129" i="2"/>
  <c r="R130" i="2"/>
  <c r="R131" i="2"/>
  <c r="R132" i="2"/>
  <c r="R133" i="2"/>
  <c r="R134" i="2"/>
  <c r="R135" i="2"/>
  <c r="R136" i="2"/>
  <c r="R137" i="2"/>
  <c r="R138" i="2"/>
  <c r="R139" i="2"/>
  <c r="R140" i="2"/>
  <c r="R141" i="2"/>
  <c r="R142" i="2"/>
  <c r="R143" i="2"/>
  <c r="R144" i="2"/>
  <c r="R145" i="2"/>
  <c r="R146" i="2"/>
  <c r="R147" i="2"/>
  <c r="R148" i="2"/>
  <c r="R149" i="2"/>
  <c r="R150" i="2"/>
  <c r="R151" i="2"/>
  <c r="R152" i="2"/>
  <c r="R153" i="2"/>
  <c r="R154" i="2"/>
  <c r="R155" i="2"/>
  <c r="R156" i="2"/>
  <c r="R157" i="2"/>
  <c r="R158" i="2"/>
  <c r="R159" i="2"/>
  <c r="R160" i="2"/>
  <c r="R161" i="2"/>
  <c r="R162" i="2"/>
  <c r="R163" i="2"/>
  <c r="R164" i="2"/>
  <c r="R165" i="2"/>
  <c r="R166" i="2"/>
  <c r="R167" i="2"/>
  <c r="R168" i="2"/>
  <c r="R169" i="2"/>
  <c r="R170" i="2"/>
  <c r="R171" i="2"/>
  <c r="R172" i="2"/>
  <c r="R173" i="2"/>
  <c r="R174" i="2"/>
  <c r="R175" i="2"/>
  <c r="R176" i="2"/>
  <c r="R177" i="2"/>
  <c r="R178" i="2"/>
  <c r="R179" i="2"/>
  <c r="R180" i="2"/>
  <c r="R181" i="2"/>
  <c r="R182" i="2"/>
  <c r="R183" i="2"/>
  <c r="R184" i="2"/>
  <c r="R185" i="2"/>
  <c r="R186" i="2"/>
  <c r="R187" i="2"/>
  <c r="R2" i="2"/>
  <c r="Q2" i="2"/>
  <c r="P3" i="2"/>
  <c r="P4" i="2"/>
  <c r="P5" i="2"/>
  <c r="P6" i="2"/>
  <c r="P7" i="2"/>
  <c r="P8" i="2"/>
  <c r="P9" i="2"/>
  <c r="P10" i="2"/>
  <c r="P11" i="2"/>
  <c r="P12" i="2"/>
  <c r="P13" i="2"/>
  <c r="P14" i="2"/>
  <c r="P15" i="2"/>
  <c r="P16" i="2"/>
  <c r="P17" i="2"/>
  <c r="P18" i="2"/>
  <c r="P19" i="2"/>
  <c r="P20" i="2"/>
  <c r="P21" i="2"/>
  <c r="P22" i="2"/>
  <c r="P23" i="2"/>
  <c r="P24" i="2"/>
  <c r="P25" i="2"/>
  <c r="P26" i="2"/>
  <c r="P27" i="2"/>
  <c r="P28" i="2"/>
  <c r="P29" i="2"/>
  <c r="P30" i="2"/>
  <c r="P31" i="2"/>
  <c r="P32" i="2"/>
  <c r="P33" i="2"/>
  <c r="P34" i="2"/>
  <c r="P35" i="2"/>
  <c r="P36" i="2"/>
  <c r="P37" i="2"/>
  <c r="P38" i="2"/>
  <c r="P39" i="2"/>
  <c r="P40" i="2"/>
  <c r="P41" i="2"/>
  <c r="P42" i="2"/>
  <c r="P43" i="2"/>
  <c r="P44" i="2"/>
  <c r="P45" i="2"/>
  <c r="P46" i="2"/>
  <c r="P47" i="2"/>
  <c r="P48" i="2"/>
  <c r="P49" i="2"/>
  <c r="P50" i="2"/>
  <c r="P51" i="2"/>
  <c r="P52" i="2"/>
  <c r="P53" i="2"/>
  <c r="P54" i="2"/>
  <c r="P55" i="2"/>
  <c r="P56" i="2"/>
  <c r="P57" i="2"/>
  <c r="P58" i="2"/>
  <c r="P59" i="2"/>
  <c r="P60" i="2"/>
  <c r="P61" i="2"/>
  <c r="P62" i="2"/>
  <c r="P63" i="2"/>
  <c r="P64" i="2"/>
  <c r="P65" i="2"/>
  <c r="P66" i="2"/>
  <c r="P67" i="2"/>
  <c r="P68" i="2"/>
  <c r="P69" i="2"/>
  <c r="P70" i="2"/>
  <c r="P71" i="2"/>
  <c r="P72" i="2"/>
  <c r="P73" i="2"/>
  <c r="P74" i="2"/>
  <c r="P75" i="2"/>
  <c r="P76" i="2"/>
  <c r="P77" i="2"/>
  <c r="P78" i="2"/>
  <c r="P79" i="2"/>
  <c r="P80" i="2"/>
  <c r="P81" i="2"/>
  <c r="P82" i="2"/>
  <c r="P83" i="2"/>
  <c r="P84" i="2"/>
  <c r="P85" i="2"/>
  <c r="P86" i="2"/>
  <c r="P87" i="2"/>
  <c r="P88" i="2"/>
  <c r="P89" i="2"/>
  <c r="P90" i="2"/>
  <c r="P91" i="2"/>
  <c r="P92" i="2"/>
  <c r="P93" i="2"/>
  <c r="P94" i="2"/>
  <c r="P95" i="2"/>
  <c r="P96" i="2"/>
  <c r="P97" i="2"/>
  <c r="P98" i="2"/>
  <c r="P99" i="2"/>
  <c r="P100" i="2"/>
  <c r="P101" i="2"/>
  <c r="P102" i="2"/>
  <c r="P103" i="2"/>
  <c r="P104" i="2"/>
  <c r="P105" i="2"/>
  <c r="P106" i="2"/>
  <c r="P107" i="2"/>
  <c r="P108" i="2"/>
  <c r="P109" i="2"/>
  <c r="P110" i="2"/>
  <c r="P111" i="2"/>
  <c r="P112" i="2"/>
  <c r="P113" i="2"/>
  <c r="P114" i="2"/>
  <c r="P115" i="2"/>
  <c r="P116" i="2"/>
  <c r="P117" i="2"/>
  <c r="P118" i="2"/>
  <c r="P119" i="2"/>
  <c r="P120" i="2"/>
  <c r="P121" i="2"/>
  <c r="P122" i="2"/>
  <c r="P123" i="2"/>
  <c r="P124" i="2"/>
  <c r="P125" i="2"/>
  <c r="P126" i="2"/>
  <c r="P127" i="2"/>
  <c r="P128" i="2"/>
  <c r="P129" i="2"/>
  <c r="P130" i="2"/>
  <c r="P131" i="2"/>
  <c r="P132" i="2"/>
  <c r="P133" i="2"/>
  <c r="P134" i="2"/>
  <c r="P135" i="2"/>
  <c r="P136" i="2"/>
  <c r="P137" i="2"/>
  <c r="P138" i="2"/>
  <c r="P139" i="2"/>
  <c r="P140" i="2"/>
  <c r="P141" i="2"/>
  <c r="P142" i="2"/>
  <c r="P143" i="2"/>
  <c r="P144" i="2"/>
  <c r="P145" i="2"/>
  <c r="P146" i="2"/>
  <c r="P147" i="2"/>
  <c r="P148" i="2"/>
  <c r="P149" i="2"/>
  <c r="P150" i="2"/>
  <c r="P151" i="2"/>
  <c r="P152" i="2"/>
  <c r="P153" i="2"/>
  <c r="P154" i="2"/>
  <c r="P155" i="2"/>
  <c r="P156" i="2"/>
  <c r="P157" i="2"/>
  <c r="P158" i="2"/>
  <c r="P159" i="2"/>
  <c r="P160" i="2"/>
  <c r="P161" i="2"/>
  <c r="P162" i="2"/>
  <c r="P163" i="2"/>
  <c r="P164" i="2"/>
  <c r="P165" i="2"/>
  <c r="P166" i="2"/>
  <c r="P167" i="2"/>
  <c r="P168" i="2"/>
  <c r="P169" i="2"/>
  <c r="P170" i="2"/>
  <c r="P171" i="2"/>
  <c r="P172" i="2"/>
  <c r="P173" i="2"/>
  <c r="P174" i="2"/>
  <c r="P175" i="2"/>
  <c r="P176" i="2"/>
  <c r="P177" i="2"/>
  <c r="P178" i="2"/>
  <c r="P179" i="2"/>
  <c r="P180" i="2"/>
  <c r="P181" i="2"/>
  <c r="P182" i="2"/>
  <c r="P183" i="2"/>
  <c r="P184" i="2"/>
  <c r="P185" i="2"/>
  <c r="P186" i="2"/>
  <c r="P187" i="2"/>
  <c r="P2" i="2"/>
  <c r="C175" i="2" l="1"/>
  <c r="C176" i="2"/>
  <c r="C177" i="2"/>
  <c r="C178" i="2"/>
  <c r="C179" i="2"/>
  <c r="C180" i="2"/>
  <c r="C181" i="2"/>
  <c r="C182" i="2"/>
  <c r="C183" i="2"/>
  <c r="C184" i="2"/>
  <c r="C185" i="2"/>
  <c r="C186" i="2"/>
  <c r="C167" i="2"/>
  <c r="C168" i="2"/>
  <c r="C169" i="2"/>
  <c r="C170" i="2"/>
  <c r="C171" i="2"/>
  <c r="C172" i="2"/>
  <c r="C173" i="2"/>
  <c r="C174" i="2"/>
  <c r="C161" i="2"/>
  <c r="C162" i="2"/>
  <c r="C163" i="2"/>
  <c r="C164" i="2"/>
  <c r="C165" i="2"/>
  <c r="C166" i="2"/>
  <c r="E348" i="1" l="1"/>
  <c r="E349" i="1"/>
  <c r="E350" i="1"/>
  <c r="E351" i="1"/>
  <c r="E352" i="1"/>
  <c r="E353" i="1"/>
  <c r="E354" i="1"/>
  <c r="E355" i="1"/>
  <c r="E356" i="1"/>
  <c r="E357" i="1"/>
  <c r="E358" i="1"/>
  <c r="E359" i="1"/>
  <c r="K348" i="1"/>
  <c r="K349" i="1"/>
  <c r="K350" i="1"/>
  <c r="K351" i="1"/>
  <c r="K352" i="1"/>
  <c r="K353" i="1"/>
  <c r="K354" i="1"/>
  <c r="K355" i="1"/>
  <c r="K356" i="1"/>
  <c r="K357" i="1"/>
  <c r="K358" i="1"/>
  <c r="K359" i="1"/>
  <c r="C159" i="2" l="1"/>
  <c r="C160" i="2"/>
  <c r="E298" i="1" l="1"/>
  <c r="E299" i="1"/>
  <c r="E300" i="1"/>
  <c r="E301" i="1"/>
  <c r="E302" i="1"/>
  <c r="E303" i="1"/>
  <c r="E304" i="1"/>
  <c r="E305" i="1"/>
  <c r="E306" i="1"/>
  <c r="E307" i="1"/>
  <c r="E308" i="1"/>
  <c r="E309" i="1"/>
  <c r="E310" i="1"/>
  <c r="E311" i="1"/>
  <c r="E312" i="1"/>
  <c r="E313" i="1"/>
  <c r="E314" i="1"/>
  <c r="E315" i="1"/>
  <c r="E316" i="1"/>
  <c r="E317" i="1"/>
  <c r="E318" i="1"/>
  <c r="E319" i="1"/>
  <c r="E320" i="1"/>
  <c r="E321" i="1"/>
  <c r="E322" i="1"/>
  <c r="E323" i="1"/>
  <c r="E324" i="1"/>
  <c r="E325" i="1"/>
  <c r="E326" i="1"/>
  <c r="E327" i="1"/>
  <c r="E328" i="1"/>
  <c r="E329" i="1"/>
  <c r="E330" i="1"/>
  <c r="E331" i="1"/>
  <c r="E332" i="1"/>
  <c r="E333" i="1"/>
  <c r="E334" i="1"/>
  <c r="E335" i="1"/>
  <c r="E336" i="1"/>
  <c r="E337" i="1"/>
  <c r="E338" i="1"/>
  <c r="E339" i="1"/>
  <c r="E340" i="1"/>
  <c r="E341" i="1"/>
  <c r="E342" i="1"/>
  <c r="E343" i="1"/>
  <c r="E344" i="1"/>
  <c r="E345" i="1"/>
  <c r="E346" i="1"/>
  <c r="E347" i="1"/>
  <c r="K294" i="1"/>
  <c r="K295" i="1"/>
  <c r="K296" i="1"/>
  <c r="K297" i="1"/>
  <c r="K298" i="1"/>
  <c r="K299" i="1"/>
  <c r="K300" i="1"/>
  <c r="K301" i="1"/>
  <c r="K302" i="1"/>
  <c r="K303" i="1"/>
  <c r="K304" i="1"/>
  <c r="K305" i="1"/>
  <c r="K306" i="1"/>
  <c r="K307" i="1"/>
  <c r="K308" i="1"/>
  <c r="K309" i="1"/>
  <c r="K310" i="1"/>
  <c r="K311" i="1"/>
  <c r="K312" i="1"/>
  <c r="K313" i="1"/>
  <c r="K314" i="1"/>
  <c r="K315" i="1"/>
  <c r="K316" i="1"/>
  <c r="K317" i="1"/>
  <c r="K318" i="1"/>
  <c r="K319" i="1"/>
  <c r="K320" i="1"/>
  <c r="K321" i="1"/>
  <c r="K322" i="1"/>
  <c r="K323" i="1"/>
  <c r="K324" i="1"/>
  <c r="K325" i="1"/>
  <c r="K326" i="1"/>
  <c r="K327" i="1"/>
  <c r="K328" i="1"/>
  <c r="K329" i="1"/>
  <c r="K330" i="1"/>
  <c r="K331" i="1"/>
  <c r="K332" i="1"/>
  <c r="K333" i="1"/>
  <c r="K334" i="1"/>
  <c r="K335" i="1"/>
  <c r="K336" i="1"/>
  <c r="K337" i="1"/>
  <c r="K338" i="1"/>
  <c r="K339" i="1"/>
  <c r="K340" i="1"/>
  <c r="K341" i="1"/>
  <c r="K342" i="1"/>
  <c r="K343" i="1"/>
  <c r="K344" i="1"/>
  <c r="K345" i="1"/>
  <c r="K346" i="1"/>
  <c r="K347" i="1"/>
  <c r="C149" i="2" l="1"/>
  <c r="C150" i="2"/>
  <c r="C151" i="2"/>
  <c r="C152" i="2"/>
  <c r="C153" i="2"/>
  <c r="C154" i="2"/>
  <c r="C155" i="2"/>
  <c r="C156" i="2"/>
  <c r="C157" i="2"/>
  <c r="C158" i="2"/>
  <c r="C143" i="2" l="1"/>
  <c r="C144" i="2"/>
  <c r="C145" i="2"/>
  <c r="C146" i="2"/>
  <c r="C147" i="2"/>
  <c r="C148" i="2"/>
  <c r="C134" i="2" l="1"/>
  <c r="C135" i="2"/>
  <c r="C136" i="2"/>
  <c r="C137" i="2"/>
  <c r="C138" i="2"/>
  <c r="C139" i="2"/>
  <c r="C140" i="2"/>
  <c r="C141" i="2"/>
  <c r="C142" i="2"/>
  <c r="C127" i="2"/>
  <c r="C128" i="2"/>
  <c r="C129" i="2"/>
  <c r="C130" i="2"/>
  <c r="C131" i="2"/>
  <c r="C132" i="2"/>
  <c r="C133" i="2"/>
  <c r="C103" i="4" l="1"/>
  <c r="D103" i="4"/>
  <c r="E103" i="4"/>
  <c r="F103" i="4"/>
  <c r="G103" i="4"/>
  <c r="H103" i="4"/>
  <c r="E294" i="1"/>
  <c r="E295" i="1"/>
  <c r="E296" i="1"/>
  <c r="E297" i="1"/>
  <c r="I103" i="4" l="1"/>
  <c r="C126" i="2"/>
  <c r="C98" i="4"/>
  <c r="D98" i="4"/>
  <c r="E98" i="4"/>
  <c r="F98" i="4"/>
  <c r="G98" i="4"/>
  <c r="H98" i="4"/>
  <c r="E279" i="1"/>
  <c r="E280" i="1"/>
  <c r="E281" i="1"/>
  <c r="E282" i="1"/>
  <c r="E283" i="1"/>
  <c r="E284" i="1"/>
  <c r="E285" i="1"/>
  <c r="E286" i="1"/>
  <c r="E287" i="1"/>
  <c r="E288" i="1"/>
  <c r="E289" i="1"/>
  <c r="E290" i="1"/>
  <c r="E291" i="1"/>
  <c r="E292" i="1"/>
  <c r="E293" i="1"/>
  <c r="K280" i="1"/>
  <c r="K281" i="1"/>
  <c r="K282" i="1"/>
  <c r="K283" i="1"/>
  <c r="K284" i="1"/>
  <c r="K285" i="1"/>
  <c r="K286" i="1"/>
  <c r="K287" i="1"/>
  <c r="K288" i="1"/>
  <c r="K289" i="1"/>
  <c r="K290" i="1"/>
  <c r="K291" i="1"/>
  <c r="K292" i="1"/>
  <c r="K293" i="1"/>
  <c r="K279" i="1"/>
  <c r="I98" i="4" l="1"/>
  <c r="K239" i="1"/>
  <c r="K240" i="1"/>
  <c r="K241" i="1"/>
  <c r="K242" i="1"/>
  <c r="K243" i="1"/>
  <c r="K244" i="1"/>
  <c r="K245" i="1"/>
  <c r="K246" i="1"/>
  <c r="K247" i="1"/>
  <c r="K248" i="1"/>
  <c r="K249" i="1"/>
  <c r="K250" i="1"/>
  <c r="K251" i="1"/>
  <c r="K252" i="1"/>
  <c r="K253" i="1"/>
  <c r="K254" i="1"/>
  <c r="K255" i="1"/>
  <c r="K256" i="1"/>
  <c r="K257" i="1"/>
  <c r="K258" i="1"/>
  <c r="K259" i="1"/>
  <c r="K260" i="1"/>
  <c r="K261" i="1"/>
  <c r="K262" i="1"/>
  <c r="K263" i="1"/>
  <c r="K264" i="1"/>
  <c r="K265" i="1"/>
  <c r="K266" i="1"/>
  <c r="K267" i="1"/>
  <c r="K268" i="1"/>
  <c r="K269" i="1"/>
  <c r="K270" i="1"/>
  <c r="K271" i="1"/>
  <c r="K272" i="1"/>
  <c r="K273" i="1"/>
  <c r="K274" i="1"/>
  <c r="K275" i="1"/>
  <c r="K276" i="1"/>
  <c r="K277" i="1"/>
  <c r="K278" i="1"/>
  <c r="E278" i="1"/>
  <c r="E277" i="1"/>
  <c r="E276" i="1"/>
  <c r="E275" i="1"/>
  <c r="E274" i="1"/>
  <c r="E273" i="1"/>
  <c r="E272" i="1"/>
  <c r="E271" i="1"/>
  <c r="E270" i="1"/>
  <c r="E269" i="1"/>
  <c r="E268" i="1"/>
  <c r="E267" i="1"/>
  <c r="E266" i="1"/>
  <c r="E265" i="1"/>
  <c r="E264" i="1"/>
  <c r="E263" i="1"/>
  <c r="E262" i="1"/>
  <c r="E261" i="1"/>
  <c r="E260" i="1"/>
  <c r="C121" i="2" l="1"/>
  <c r="C122" i="2"/>
  <c r="C119" i="2" l="1"/>
  <c r="C118" i="2"/>
  <c r="C120" i="2"/>
  <c r="E259" i="1" l="1"/>
  <c r="E258" i="1"/>
  <c r="E257" i="1"/>
  <c r="E256" i="1"/>
  <c r="E255" i="1"/>
  <c r="E254" i="1"/>
  <c r="E253" i="1"/>
  <c r="E252" i="1"/>
  <c r="E251" i="1"/>
  <c r="E250" i="1"/>
  <c r="E249" i="1"/>
  <c r="E248" i="1"/>
  <c r="C67" i="2"/>
  <c r="H71" i="2"/>
  <c r="J2" i="5" l="1"/>
  <c r="K2" i="5"/>
  <c r="J3" i="5"/>
  <c r="K3" i="5"/>
  <c r="J5" i="5"/>
  <c r="K5" i="5"/>
  <c r="J6" i="5"/>
  <c r="K6" i="5"/>
  <c r="J7" i="5"/>
  <c r="K7" i="5"/>
  <c r="J8" i="5"/>
  <c r="K8" i="5"/>
  <c r="J9" i="5"/>
  <c r="K9" i="5"/>
  <c r="J10" i="5"/>
  <c r="K10" i="5"/>
  <c r="J11" i="5"/>
  <c r="K11" i="5"/>
  <c r="J12" i="5"/>
  <c r="K12" i="5"/>
  <c r="J13" i="5"/>
  <c r="K13" i="5"/>
  <c r="K4" i="5"/>
  <c r="J4" i="5"/>
  <c r="C111" i="2" l="1"/>
  <c r="C112" i="2"/>
  <c r="H103" i="2"/>
  <c r="H104" i="2"/>
  <c r="H105" i="2"/>
  <c r="H106" i="2"/>
  <c r="H107" i="2"/>
  <c r="H108" i="2"/>
  <c r="H109" i="2"/>
  <c r="H110" i="2"/>
  <c r="H111" i="2"/>
  <c r="H112" i="2"/>
  <c r="H113" i="2"/>
  <c r="H114" i="2"/>
  <c r="H115" i="2"/>
  <c r="H116" i="2"/>
  <c r="H117" i="2"/>
  <c r="H118" i="2"/>
  <c r="C100" i="2"/>
  <c r="C101" i="2"/>
  <c r="C102" i="2"/>
  <c r="C103" i="2"/>
  <c r="C104" i="2"/>
  <c r="C105" i="2"/>
  <c r="C117" i="2"/>
  <c r="C106" i="2"/>
  <c r="C107" i="2"/>
  <c r="C108" i="2"/>
  <c r="C109" i="2"/>
  <c r="C110" i="2"/>
  <c r="C96" i="2"/>
  <c r="C97" i="2"/>
  <c r="C98" i="2"/>
  <c r="C99" i="2"/>
  <c r="I2" i="5" l="1"/>
  <c r="I3" i="5"/>
  <c r="I5" i="5"/>
  <c r="I6" i="5"/>
  <c r="I7" i="5"/>
  <c r="I8" i="5"/>
  <c r="I9" i="5"/>
  <c r="I10" i="5"/>
  <c r="I11" i="5"/>
  <c r="I12" i="5"/>
  <c r="I13" i="5"/>
  <c r="I4" i="5"/>
  <c r="H3" i="5"/>
  <c r="H4" i="5"/>
  <c r="H5" i="5"/>
  <c r="H6" i="5"/>
  <c r="H7" i="5"/>
  <c r="H8" i="5"/>
  <c r="H9" i="5"/>
  <c r="H10" i="5"/>
  <c r="H11" i="5"/>
  <c r="H12" i="5"/>
  <c r="H13" i="5"/>
  <c r="H2" i="5"/>
  <c r="C126" i="4"/>
  <c r="D126" i="4"/>
  <c r="E126" i="4"/>
  <c r="F126" i="4"/>
  <c r="G126" i="4"/>
  <c r="H126" i="4"/>
  <c r="I126" i="4" l="1"/>
  <c r="H95" i="2"/>
  <c r="H96" i="2"/>
  <c r="H97" i="2"/>
  <c r="H98" i="2"/>
  <c r="H99" i="2"/>
  <c r="H100" i="2"/>
  <c r="H101" i="2"/>
  <c r="H102" i="2"/>
  <c r="C88" i="2"/>
  <c r="C89" i="2"/>
  <c r="C90" i="2"/>
  <c r="C91" i="2"/>
  <c r="C92" i="2"/>
  <c r="C93" i="2"/>
  <c r="C94" i="2"/>
  <c r="C95" i="2"/>
  <c r="Q1" i="1" l="1"/>
  <c r="O1" i="1"/>
  <c r="A5" i="5" l="1"/>
  <c r="C2" i="2"/>
  <c r="H2" i="2"/>
  <c r="H3" i="2"/>
  <c r="H4" i="2"/>
  <c r="C4" i="2"/>
  <c r="C3" i="2"/>
  <c r="E8" i="1"/>
  <c r="E7" i="1"/>
  <c r="H3" i="4"/>
  <c r="G3" i="4"/>
  <c r="F3" i="4"/>
  <c r="E3" i="4"/>
  <c r="D3" i="4"/>
  <c r="C3" i="4"/>
  <c r="E2" i="1"/>
  <c r="E3" i="1"/>
  <c r="E4" i="1"/>
  <c r="E5" i="1"/>
  <c r="E6" i="1"/>
  <c r="E9" i="1"/>
  <c r="E10" i="1"/>
  <c r="E11" i="1"/>
  <c r="E12" i="1"/>
  <c r="E13" i="1"/>
  <c r="E14" i="1"/>
  <c r="E15" i="1"/>
  <c r="E16" i="1"/>
  <c r="E17" i="1"/>
  <c r="E18" i="1"/>
  <c r="E19" i="1"/>
  <c r="E20" i="1"/>
  <c r="E21" i="1"/>
  <c r="E22" i="1"/>
  <c r="E23" i="1"/>
  <c r="E24" i="1"/>
  <c r="E25" i="1"/>
  <c r="E26" i="1"/>
  <c r="K2" i="1"/>
  <c r="K3" i="1"/>
  <c r="K4" i="1"/>
  <c r="K5" i="1"/>
  <c r="K6" i="1"/>
  <c r="K9" i="1"/>
  <c r="K10" i="1"/>
  <c r="K11" i="1"/>
  <c r="K12" i="1"/>
  <c r="K13" i="1"/>
  <c r="K14" i="1"/>
  <c r="K15" i="1"/>
  <c r="K16" i="1"/>
  <c r="K17" i="1"/>
  <c r="K18" i="1"/>
  <c r="K19" i="1"/>
  <c r="K20" i="1"/>
  <c r="K21" i="1"/>
  <c r="K22" i="1"/>
  <c r="K23" i="1"/>
  <c r="K24" i="1"/>
  <c r="K25" i="1"/>
  <c r="K26" i="1"/>
  <c r="K27" i="1"/>
  <c r="K28" i="1"/>
  <c r="K29" i="1"/>
  <c r="L2" i="1"/>
  <c r="L3" i="1" s="1"/>
  <c r="L4" i="1" s="1"/>
  <c r="L5" i="1" s="1"/>
  <c r="L6" i="1" s="1"/>
  <c r="L9" i="1" s="1"/>
  <c r="L10" i="1" s="1"/>
  <c r="L11" i="1" s="1"/>
  <c r="L12" i="1" s="1"/>
  <c r="L13" i="1" s="1"/>
  <c r="L14" i="1" s="1"/>
  <c r="L15" i="1" s="1"/>
  <c r="L16" i="1" s="1"/>
  <c r="L17" i="1" s="1"/>
  <c r="L18" i="1" s="1"/>
  <c r="L19" i="1" s="1"/>
  <c r="L20" i="1" s="1"/>
  <c r="L21" i="1" s="1"/>
  <c r="L22" i="1" s="1"/>
  <c r="L23" i="1" s="1"/>
  <c r="L24" i="1" s="1"/>
  <c r="L25" i="1" s="1"/>
  <c r="L26" i="1" s="1"/>
  <c r="L27" i="1" s="1"/>
  <c r="K30" i="1"/>
  <c r="K31" i="1"/>
  <c r="K32" i="1"/>
  <c r="K33" i="1"/>
  <c r="K34" i="1"/>
  <c r="K35" i="1"/>
  <c r="E3" i="5"/>
  <c r="E4" i="5"/>
  <c r="E5" i="5"/>
  <c r="E6" i="5"/>
  <c r="E7" i="5"/>
  <c r="E8" i="5"/>
  <c r="E9" i="5"/>
  <c r="E10" i="5"/>
  <c r="E11" i="5"/>
  <c r="E12" i="5"/>
  <c r="E13" i="5"/>
  <c r="D3" i="5"/>
  <c r="D4" i="5"/>
  <c r="D5" i="5"/>
  <c r="D6" i="5"/>
  <c r="D7" i="5"/>
  <c r="D8" i="5"/>
  <c r="D9" i="5"/>
  <c r="D10" i="5"/>
  <c r="D11" i="5"/>
  <c r="D12" i="5"/>
  <c r="D13" i="5"/>
  <c r="E2" i="5"/>
  <c r="D2" i="5"/>
  <c r="O3" i="5"/>
  <c r="O4" i="5"/>
  <c r="O5" i="5"/>
  <c r="O6" i="5"/>
  <c r="O7" i="5"/>
  <c r="O8" i="5"/>
  <c r="O9" i="5"/>
  <c r="O10" i="5"/>
  <c r="O11" i="5"/>
  <c r="O12" i="5"/>
  <c r="O13" i="5"/>
  <c r="O2" i="5"/>
  <c r="C34" i="2"/>
  <c r="H5" i="2"/>
  <c r="H18" i="2"/>
  <c r="H19" i="2"/>
  <c r="H20" i="2"/>
  <c r="H21" i="2"/>
  <c r="H22" i="2"/>
  <c r="H23" i="2"/>
  <c r="H24" i="2"/>
  <c r="H25" i="2"/>
  <c r="H26" i="2"/>
  <c r="H27" i="2"/>
  <c r="H28" i="2"/>
  <c r="H29" i="2"/>
  <c r="H30" i="2"/>
  <c r="H31" i="2"/>
  <c r="H32" i="2"/>
  <c r="H33" i="2"/>
  <c r="H34" i="2"/>
  <c r="H35" i="2"/>
  <c r="H36" i="2"/>
  <c r="H37" i="2"/>
  <c r="H38" i="2"/>
  <c r="H39" i="2"/>
  <c r="H40" i="2"/>
  <c r="H41" i="2"/>
  <c r="H42" i="2"/>
  <c r="H43" i="2"/>
  <c r="H44" i="2"/>
  <c r="H45" i="2"/>
  <c r="H46" i="2"/>
  <c r="H47" i="2"/>
  <c r="H48" i="2"/>
  <c r="H49" i="2"/>
  <c r="H50" i="2"/>
  <c r="H51" i="2"/>
  <c r="H52" i="2"/>
  <c r="H53" i="2"/>
  <c r="H54" i="2"/>
  <c r="H55" i="2"/>
  <c r="H56" i="2"/>
  <c r="H57" i="2"/>
  <c r="H58" i="2"/>
  <c r="H59" i="2"/>
  <c r="H60" i="2"/>
  <c r="H61" i="2"/>
  <c r="H62" i="2"/>
  <c r="H63" i="2"/>
  <c r="H64" i="2"/>
  <c r="H65" i="2"/>
  <c r="H66" i="2"/>
  <c r="H67" i="2"/>
  <c r="H68" i="2"/>
  <c r="H69" i="2"/>
  <c r="H70" i="2"/>
  <c r="H72" i="2"/>
  <c r="H73" i="2"/>
  <c r="H74" i="2"/>
  <c r="H75" i="2"/>
  <c r="H76" i="2"/>
  <c r="H77" i="2"/>
  <c r="H78" i="2"/>
  <c r="H79" i="2"/>
  <c r="H80" i="2"/>
  <c r="H81" i="2"/>
  <c r="H82" i="2"/>
  <c r="H83" i="2"/>
  <c r="H84" i="2"/>
  <c r="H85" i="2"/>
  <c r="H86" i="2"/>
  <c r="H87" i="2"/>
  <c r="H88" i="2"/>
  <c r="H89" i="2"/>
  <c r="H90" i="2"/>
  <c r="H91" i="2"/>
  <c r="H92" i="2"/>
  <c r="H93" i="2"/>
  <c r="H94" i="2"/>
  <c r="H17" i="2"/>
  <c r="H16" i="2"/>
  <c r="H15" i="2"/>
  <c r="H7" i="2"/>
  <c r="H8" i="2"/>
  <c r="H9" i="2"/>
  <c r="H10" i="2"/>
  <c r="H11" i="2"/>
  <c r="H12" i="2"/>
  <c r="H13" i="2"/>
  <c r="H14" i="2"/>
  <c r="K238" i="1"/>
  <c r="K236" i="1"/>
  <c r="K237" i="1"/>
  <c r="K224" i="1"/>
  <c r="K191" i="1"/>
  <c r="N6" i="5" l="1"/>
  <c r="P6" i="5" s="1"/>
  <c r="L6" i="5"/>
  <c r="N2" i="5"/>
  <c r="P2" i="5" s="1"/>
  <c r="L2" i="5"/>
  <c r="L13" i="5"/>
  <c r="N13" i="5"/>
  <c r="P13" i="5" s="1"/>
  <c r="N11" i="5"/>
  <c r="P11" i="5" s="1"/>
  <c r="L11" i="5"/>
  <c r="L3" i="5"/>
  <c r="N3" i="5"/>
  <c r="P3" i="5" s="1"/>
  <c r="N10" i="5"/>
  <c r="P10" i="5" s="1"/>
  <c r="L10" i="5"/>
  <c r="L12" i="5"/>
  <c r="N12" i="5"/>
  <c r="P12" i="5" s="1"/>
  <c r="L9" i="5"/>
  <c r="N9" i="5"/>
  <c r="P9" i="5" s="1"/>
  <c r="N5" i="5"/>
  <c r="P5" i="5" s="1"/>
  <c r="L5" i="5"/>
  <c r="L8" i="5"/>
  <c r="N8" i="5"/>
  <c r="P8" i="5" s="1"/>
  <c r="N4" i="5"/>
  <c r="P4" i="5" s="1"/>
  <c r="L4" i="5"/>
  <c r="L7" i="5"/>
  <c r="N7" i="5"/>
  <c r="P7" i="5" s="1"/>
  <c r="F11" i="5"/>
  <c r="F10" i="5"/>
  <c r="F9" i="5"/>
  <c r="F8" i="5"/>
  <c r="F7" i="5"/>
  <c r="F6" i="5"/>
  <c r="F13" i="5"/>
  <c r="F5" i="5"/>
  <c r="F12" i="5"/>
  <c r="F4" i="5"/>
  <c r="F2" i="5"/>
  <c r="F3" i="5" s="1"/>
  <c r="I3" i="4"/>
  <c r="H6" i="2"/>
  <c r="G2" i="4"/>
  <c r="G4" i="4"/>
  <c r="G6" i="4"/>
  <c r="G7" i="4"/>
  <c r="G8" i="4"/>
  <c r="G9" i="4"/>
  <c r="G10" i="4"/>
  <c r="G11" i="4"/>
  <c r="G12" i="4"/>
  <c r="G13" i="4"/>
  <c r="G15" i="4"/>
  <c r="G16" i="4"/>
  <c r="G17" i="4"/>
  <c r="G18" i="4"/>
  <c r="G19" i="4"/>
  <c r="G20" i="4"/>
  <c r="G21" i="4"/>
  <c r="G22" i="4"/>
  <c r="G23" i="4"/>
  <c r="G24" i="4"/>
  <c r="G25" i="4"/>
  <c r="G26" i="4"/>
  <c r="G27" i="4"/>
  <c r="G28" i="4"/>
  <c r="G29" i="4"/>
  <c r="G30" i="4"/>
  <c r="G31" i="4"/>
  <c r="G32" i="4"/>
  <c r="G33" i="4"/>
  <c r="G34" i="4"/>
  <c r="G35" i="4"/>
  <c r="G36" i="4"/>
  <c r="G37" i="4"/>
  <c r="G38" i="4"/>
  <c r="G39" i="4"/>
  <c r="G40" i="4"/>
  <c r="G42" i="4"/>
  <c r="G43" i="4"/>
  <c r="G44" i="4"/>
  <c r="G45" i="4"/>
  <c r="G5" i="4"/>
  <c r="G46" i="4"/>
  <c r="G47" i="4"/>
  <c r="G48" i="4"/>
  <c r="G49" i="4"/>
  <c r="G50" i="4"/>
  <c r="G51" i="4"/>
  <c r="G52" i="4"/>
  <c r="G53" i="4"/>
  <c r="G54" i="4"/>
  <c r="G55" i="4"/>
  <c r="G56" i="4"/>
  <c r="G57" i="4"/>
  <c r="G58" i="4"/>
  <c r="G59" i="4"/>
  <c r="G60" i="4"/>
  <c r="G61" i="4"/>
  <c r="G62" i="4"/>
  <c r="G63" i="4"/>
  <c r="G64" i="4"/>
  <c r="G65" i="4"/>
  <c r="G66" i="4"/>
  <c r="G67" i="4"/>
  <c r="G68" i="4"/>
  <c r="G69" i="4"/>
  <c r="G70" i="4"/>
  <c r="G71" i="4"/>
  <c r="G72" i="4"/>
  <c r="G73" i="4"/>
  <c r="G74" i="4"/>
  <c r="G75" i="4"/>
  <c r="G76" i="4"/>
  <c r="G77" i="4"/>
  <c r="G78" i="4"/>
  <c r="G79" i="4"/>
  <c r="G80" i="4"/>
  <c r="G123" i="4"/>
  <c r="G81" i="4"/>
  <c r="G82" i="4"/>
  <c r="G83" i="4"/>
  <c r="G84" i="4"/>
  <c r="G85" i="4"/>
  <c r="G86" i="4"/>
  <c r="G87" i="4"/>
  <c r="G88" i="4"/>
  <c r="G90" i="4"/>
  <c r="G91" i="4"/>
  <c r="G92" i="4"/>
  <c r="G93" i="4"/>
  <c r="G94" i="4"/>
  <c r="G95" i="4"/>
  <c r="G96" i="4"/>
  <c r="G97" i="4"/>
  <c r="G99" i="4"/>
  <c r="G124" i="4"/>
  <c r="G100" i="4"/>
  <c r="G101" i="4"/>
  <c r="G102" i="4"/>
  <c r="G104" i="4"/>
  <c r="G105" i="4"/>
  <c r="G106" i="4"/>
  <c r="G107" i="4"/>
  <c r="G125" i="4"/>
  <c r="G108" i="4"/>
  <c r="G109" i="4"/>
  <c r="G110" i="4"/>
  <c r="G111" i="4"/>
  <c r="G112" i="4"/>
  <c r="G113" i="4"/>
  <c r="G114" i="4"/>
  <c r="G115" i="4"/>
  <c r="G116" i="4"/>
  <c r="G117" i="4"/>
  <c r="G118" i="4"/>
  <c r="G119" i="4"/>
  <c r="G120" i="4"/>
  <c r="G121" i="4"/>
  <c r="G122" i="4"/>
  <c r="G127" i="4"/>
  <c r="G128" i="4"/>
  <c r="G129" i="4"/>
  <c r="G130" i="4"/>
  <c r="G131" i="4"/>
  <c r="G132" i="4"/>
  <c r="G133" i="4"/>
  <c r="G89" i="4"/>
  <c r="G41" i="4"/>
  <c r="E2" i="4"/>
  <c r="E4" i="4"/>
  <c r="E6" i="4"/>
  <c r="E7" i="4"/>
  <c r="E8" i="4"/>
  <c r="E9" i="4"/>
  <c r="E10" i="4"/>
  <c r="E11" i="4"/>
  <c r="E12" i="4"/>
  <c r="E13" i="4"/>
  <c r="E15" i="4"/>
  <c r="E16" i="4"/>
  <c r="E17" i="4"/>
  <c r="E18" i="4"/>
  <c r="E19" i="4"/>
  <c r="E20" i="4"/>
  <c r="E21" i="4"/>
  <c r="E22" i="4"/>
  <c r="E23" i="4"/>
  <c r="E24" i="4"/>
  <c r="E25" i="4"/>
  <c r="E26" i="4"/>
  <c r="E27" i="4"/>
  <c r="E28" i="4"/>
  <c r="E29" i="4"/>
  <c r="E30" i="4"/>
  <c r="E31" i="4"/>
  <c r="E32" i="4"/>
  <c r="E33" i="4"/>
  <c r="E34" i="4"/>
  <c r="E35" i="4"/>
  <c r="E36" i="4"/>
  <c r="E37" i="4"/>
  <c r="E38" i="4"/>
  <c r="E39" i="4"/>
  <c r="E40" i="4"/>
  <c r="E42" i="4"/>
  <c r="E43" i="4"/>
  <c r="E44" i="4"/>
  <c r="E45" i="4"/>
  <c r="E5" i="4"/>
  <c r="E46" i="4"/>
  <c r="E47" i="4"/>
  <c r="E48" i="4"/>
  <c r="E49" i="4"/>
  <c r="E50" i="4"/>
  <c r="E51" i="4"/>
  <c r="E52" i="4"/>
  <c r="E53" i="4"/>
  <c r="E54" i="4"/>
  <c r="E55" i="4"/>
  <c r="E56" i="4"/>
  <c r="E57" i="4"/>
  <c r="E58" i="4"/>
  <c r="E59" i="4"/>
  <c r="E60" i="4"/>
  <c r="E61" i="4"/>
  <c r="E62" i="4"/>
  <c r="E63" i="4"/>
  <c r="E64" i="4"/>
  <c r="E65" i="4"/>
  <c r="E66" i="4"/>
  <c r="E67" i="4"/>
  <c r="E68" i="4"/>
  <c r="E69" i="4"/>
  <c r="E70" i="4"/>
  <c r="E71" i="4"/>
  <c r="E72" i="4"/>
  <c r="E73" i="4"/>
  <c r="E74" i="4"/>
  <c r="E75" i="4"/>
  <c r="E76" i="4"/>
  <c r="E77" i="4"/>
  <c r="E78" i="4"/>
  <c r="E79" i="4"/>
  <c r="E80" i="4"/>
  <c r="E123" i="4"/>
  <c r="E81" i="4"/>
  <c r="E82" i="4"/>
  <c r="E83" i="4"/>
  <c r="E84" i="4"/>
  <c r="E85" i="4"/>
  <c r="E86" i="4"/>
  <c r="E87" i="4"/>
  <c r="E88" i="4"/>
  <c r="E90" i="4"/>
  <c r="E91" i="4"/>
  <c r="E92" i="4"/>
  <c r="E93" i="4"/>
  <c r="E94" i="4"/>
  <c r="E95" i="4"/>
  <c r="E96" i="4"/>
  <c r="E97" i="4"/>
  <c r="E99" i="4"/>
  <c r="E124" i="4"/>
  <c r="E100" i="4"/>
  <c r="E101" i="4"/>
  <c r="E102" i="4"/>
  <c r="E104" i="4"/>
  <c r="E105" i="4"/>
  <c r="E106" i="4"/>
  <c r="E107" i="4"/>
  <c r="E125" i="4"/>
  <c r="E108" i="4"/>
  <c r="E109" i="4"/>
  <c r="E110" i="4"/>
  <c r="E111" i="4"/>
  <c r="E112" i="4"/>
  <c r="E113" i="4"/>
  <c r="E114" i="4"/>
  <c r="E115" i="4"/>
  <c r="E116" i="4"/>
  <c r="E117" i="4"/>
  <c r="E118" i="4"/>
  <c r="E119" i="4"/>
  <c r="E120" i="4"/>
  <c r="E121" i="4"/>
  <c r="E122" i="4"/>
  <c r="E127" i="4"/>
  <c r="E128" i="4"/>
  <c r="E129" i="4"/>
  <c r="E130" i="4"/>
  <c r="E131" i="4"/>
  <c r="E132" i="4"/>
  <c r="E133" i="4"/>
  <c r="E89" i="4"/>
  <c r="E41" i="4"/>
  <c r="G14" i="4"/>
  <c r="E14" i="4"/>
  <c r="C4" i="4"/>
  <c r="D4" i="4"/>
  <c r="F4" i="4"/>
  <c r="H4" i="4"/>
  <c r="C6" i="4"/>
  <c r="D6" i="4"/>
  <c r="F6" i="4"/>
  <c r="H6" i="4"/>
  <c r="C7" i="4"/>
  <c r="D7" i="4"/>
  <c r="F7" i="4"/>
  <c r="H7" i="4"/>
  <c r="C8" i="4"/>
  <c r="D8" i="4"/>
  <c r="F8" i="4"/>
  <c r="H8" i="4"/>
  <c r="C9" i="4"/>
  <c r="D9" i="4"/>
  <c r="F9" i="4"/>
  <c r="H9" i="4"/>
  <c r="C10" i="4"/>
  <c r="D10" i="4"/>
  <c r="F10" i="4"/>
  <c r="H10" i="4"/>
  <c r="C11" i="4"/>
  <c r="D11" i="4"/>
  <c r="F11" i="4"/>
  <c r="H11" i="4"/>
  <c r="C12" i="4"/>
  <c r="D12" i="4"/>
  <c r="F12" i="4"/>
  <c r="H12" i="4"/>
  <c r="C13" i="4"/>
  <c r="D13" i="4"/>
  <c r="F13" i="4"/>
  <c r="H13" i="4"/>
  <c r="C14" i="4"/>
  <c r="D14" i="4"/>
  <c r="F14" i="4"/>
  <c r="H14" i="4"/>
  <c r="C15" i="4"/>
  <c r="D15" i="4"/>
  <c r="F15" i="4"/>
  <c r="H15" i="4"/>
  <c r="C16" i="4"/>
  <c r="D16" i="4"/>
  <c r="F16" i="4"/>
  <c r="H16" i="4"/>
  <c r="C17" i="4"/>
  <c r="D17" i="4"/>
  <c r="F17" i="4"/>
  <c r="H17" i="4"/>
  <c r="C18" i="4"/>
  <c r="D18" i="4"/>
  <c r="F18" i="4"/>
  <c r="H18" i="4"/>
  <c r="C19" i="4"/>
  <c r="D19" i="4"/>
  <c r="F19" i="4"/>
  <c r="H19" i="4"/>
  <c r="C20" i="4"/>
  <c r="D20" i="4"/>
  <c r="F20" i="4"/>
  <c r="H20" i="4"/>
  <c r="C21" i="4"/>
  <c r="D21" i="4"/>
  <c r="F21" i="4"/>
  <c r="H21" i="4"/>
  <c r="C22" i="4"/>
  <c r="D22" i="4"/>
  <c r="F22" i="4"/>
  <c r="H22" i="4"/>
  <c r="C23" i="4"/>
  <c r="D23" i="4"/>
  <c r="F23" i="4"/>
  <c r="H23" i="4"/>
  <c r="C24" i="4"/>
  <c r="D24" i="4"/>
  <c r="F24" i="4"/>
  <c r="H24" i="4"/>
  <c r="C25" i="4"/>
  <c r="D25" i="4"/>
  <c r="F25" i="4"/>
  <c r="H25" i="4"/>
  <c r="C26" i="4"/>
  <c r="D26" i="4"/>
  <c r="F26" i="4"/>
  <c r="H26" i="4"/>
  <c r="C27" i="4"/>
  <c r="D27" i="4"/>
  <c r="F27" i="4"/>
  <c r="H27" i="4"/>
  <c r="C28" i="4"/>
  <c r="D28" i="4"/>
  <c r="F28" i="4"/>
  <c r="H28" i="4"/>
  <c r="C29" i="4"/>
  <c r="D29" i="4"/>
  <c r="F29" i="4"/>
  <c r="H29" i="4"/>
  <c r="C30" i="4"/>
  <c r="D30" i="4"/>
  <c r="F30" i="4"/>
  <c r="H30" i="4"/>
  <c r="C31" i="4"/>
  <c r="D31" i="4"/>
  <c r="F31" i="4"/>
  <c r="H31" i="4"/>
  <c r="C32" i="4"/>
  <c r="D32" i="4"/>
  <c r="F32" i="4"/>
  <c r="H32" i="4"/>
  <c r="C33" i="4"/>
  <c r="D33" i="4"/>
  <c r="F33" i="4"/>
  <c r="H33" i="4"/>
  <c r="C34" i="4"/>
  <c r="D34" i="4"/>
  <c r="F34" i="4"/>
  <c r="H34" i="4"/>
  <c r="C35" i="4"/>
  <c r="D35" i="4"/>
  <c r="F35" i="4"/>
  <c r="H35" i="4"/>
  <c r="C36" i="4"/>
  <c r="D36" i="4"/>
  <c r="F36" i="4"/>
  <c r="H36" i="4"/>
  <c r="C37" i="4"/>
  <c r="D37" i="4"/>
  <c r="F37" i="4"/>
  <c r="H37" i="4"/>
  <c r="C38" i="4"/>
  <c r="D38" i="4"/>
  <c r="F38" i="4"/>
  <c r="H38" i="4"/>
  <c r="C39" i="4"/>
  <c r="D39" i="4"/>
  <c r="F39" i="4"/>
  <c r="H39" i="4"/>
  <c r="C40" i="4"/>
  <c r="D40" i="4"/>
  <c r="F40" i="4"/>
  <c r="H40" i="4"/>
  <c r="C42" i="4"/>
  <c r="D42" i="4"/>
  <c r="F42" i="4"/>
  <c r="H42" i="4"/>
  <c r="C43" i="4"/>
  <c r="D43" i="4"/>
  <c r="F43" i="4"/>
  <c r="H43" i="4"/>
  <c r="C44" i="4"/>
  <c r="D44" i="4"/>
  <c r="F44" i="4"/>
  <c r="H44" i="4"/>
  <c r="C45" i="4"/>
  <c r="D45" i="4"/>
  <c r="F45" i="4"/>
  <c r="H45" i="4"/>
  <c r="C5" i="4"/>
  <c r="D5" i="4"/>
  <c r="F5" i="4"/>
  <c r="H5" i="4"/>
  <c r="C46" i="4"/>
  <c r="D46" i="4"/>
  <c r="F46" i="4"/>
  <c r="H46" i="4"/>
  <c r="C47" i="4"/>
  <c r="D47" i="4"/>
  <c r="F47" i="4"/>
  <c r="H47" i="4"/>
  <c r="C48" i="4"/>
  <c r="D48" i="4"/>
  <c r="F48" i="4"/>
  <c r="H48" i="4"/>
  <c r="C49" i="4"/>
  <c r="D49" i="4"/>
  <c r="F49" i="4"/>
  <c r="H49" i="4"/>
  <c r="C50" i="4"/>
  <c r="D50" i="4"/>
  <c r="F50" i="4"/>
  <c r="H50" i="4"/>
  <c r="C51" i="4"/>
  <c r="D51" i="4"/>
  <c r="F51" i="4"/>
  <c r="H51" i="4"/>
  <c r="C52" i="4"/>
  <c r="D52" i="4"/>
  <c r="F52" i="4"/>
  <c r="H52" i="4"/>
  <c r="C53" i="4"/>
  <c r="D53" i="4"/>
  <c r="F53" i="4"/>
  <c r="H53" i="4"/>
  <c r="C54" i="4"/>
  <c r="D54" i="4"/>
  <c r="F54" i="4"/>
  <c r="H54" i="4"/>
  <c r="C55" i="4"/>
  <c r="D55" i="4"/>
  <c r="F55" i="4"/>
  <c r="H55" i="4"/>
  <c r="C56" i="4"/>
  <c r="D56" i="4"/>
  <c r="F56" i="4"/>
  <c r="H56" i="4"/>
  <c r="C57" i="4"/>
  <c r="D57" i="4"/>
  <c r="F57" i="4"/>
  <c r="H57" i="4"/>
  <c r="C58" i="4"/>
  <c r="D58" i="4"/>
  <c r="F58" i="4"/>
  <c r="H58" i="4"/>
  <c r="C59" i="4"/>
  <c r="D59" i="4"/>
  <c r="F59" i="4"/>
  <c r="H59" i="4"/>
  <c r="C60" i="4"/>
  <c r="D60" i="4"/>
  <c r="F60" i="4"/>
  <c r="H60" i="4"/>
  <c r="C61" i="4"/>
  <c r="D61" i="4"/>
  <c r="F61" i="4"/>
  <c r="H61" i="4"/>
  <c r="C62" i="4"/>
  <c r="D62" i="4"/>
  <c r="F62" i="4"/>
  <c r="H62" i="4"/>
  <c r="C63" i="4"/>
  <c r="D63" i="4"/>
  <c r="F63" i="4"/>
  <c r="H63" i="4"/>
  <c r="C64" i="4"/>
  <c r="D64" i="4"/>
  <c r="F64" i="4"/>
  <c r="H64" i="4"/>
  <c r="C65" i="4"/>
  <c r="D65" i="4"/>
  <c r="F65" i="4"/>
  <c r="H65" i="4"/>
  <c r="C66" i="4"/>
  <c r="D66" i="4"/>
  <c r="F66" i="4"/>
  <c r="H66" i="4"/>
  <c r="C67" i="4"/>
  <c r="D67" i="4"/>
  <c r="F67" i="4"/>
  <c r="H67" i="4"/>
  <c r="C68" i="4"/>
  <c r="D68" i="4"/>
  <c r="F68" i="4"/>
  <c r="H68" i="4"/>
  <c r="C69" i="4"/>
  <c r="D69" i="4"/>
  <c r="F69" i="4"/>
  <c r="H69" i="4"/>
  <c r="C70" i="4"/>
  <c r="D70" i="4"/>
  <c r="F70" i="4"/>
  <c r="H70" i="4"/>
  <c r="C71" i="4"/>
  <c r="D71" i="4"/>
  <c r="F71" i="4"/>
  <c r="H71" i="4"/>
  <c r="C72" i="4"/>
  <c r="D72" i="4"/>
  <c r="F72" i="4"/>
  <c r="H72" i="4"/>
  <c r="C73" i="4"/>
  <c r="D73" i="4"/>
  <c r="F73" i="4"/>
  <c r="H73" i="4"/>
  <c r="C74" i="4"/>
  <c r="D74" i="4"/>
  <c r="F74" i="4"/>
  <c r="H74" i="4"/>
  <c r="C75" i="4"/>
  <c r="D75" i="4"/>
  <c r="F75" i="4"/>
  <c r="H75" i="4"/>
  <c r="C76" i="4"/>
  <c r="D76" i="4"/>
  <c r="F76" i="4"/>
  <c r="H76" i="4"/>
  <c r="C77" i="4"/>
  <c r="D77" i="4"/>
  <c r="F77" i="4"/>
  <c r="H77" i="4"/>
  <c r="C78" i="4"/>
  <c r="D78" i="4"/>
  <c r="F78" i="4"/>
  <c r="H78" i="4"/>
  <c r="C79" i="4"/>
  <c r="D79" i="4"/>
  <c r="F79" i="4"/>
  <c r="H79" i="4"/>
  <c r="C80" i="4"/>
  <c r="D80" i="4"/>
  <c r="F80" i="4"/>
  <c r="H80" i="4"/>
  <c r="C123" i="4"/>
  <c r="D123" i="4"/>
  <c r="F123" i="4"/>
  <c r="H123" i="4"/>
  <c r="C81" i="4"/>
  <c r="D81" i="4"/>
  <c r="F81" i="4"/>
  <c r="H81" i="4"/>
  <c r="C82" i="4"/>
  <c r="D82" i="4"/>
  <c r="F82" i="4"/>
  <c r="H82" i="4"/>
  <c r="C83" i="4"/>
  <c r="D83" i="4"/>
  <c r="F83" i="4"/>
  <c r="H83" i="4"/>
  <c r="C84" i="4"/>
  <c r="D84" i="4"/>
  <c r="F84" i="4"/>
  <c r="H84" i="4"/>
  <c r="C85" i="4"/>
  <c r="D85" i="4"/>
  <c r="F85" i="4"/>
  <c r="H85" i="4"/>
  <c r="C86" i="4"/>
  <c r="D86" i="4"/>
  <c r="F86" i="4"/>
  <c r="H86" i="4"/>
  <c r="C87" i="4"/>
  <c r="D87" i="4"/>
  <c r="F87" i="4"/>
  <c r="H87" i="4"/>
  <c r="C88" i="4"/>
  <c r="D88" i="4"/>
  <c r="F88" i="4"/>
  <c r="H88" i="4"/>
  <c r="C90" i="4"/>
  <c r="D90" i="4"/>
  <c r="F90" i="4"/>
  <c r="H90" i="4"/>
  <c r="C91" i="4"/>
  <c r="D91" i="4"/>
  <c r="F91" i="4"/>
  <c r="H91" i="4"/>
  <c r="C92" i="4"/>
  <c r="D92" i="4"/>
  <c r="F92" i="4"/>
  <c r="H92" i="4"/>
  <c r="C93" i="4"/>
  <c r="D93" i="4"/>
  <c r="F93" i="4"/>
  <c r="H93" i="4"/>
  <c r="C94" i="4"/>
  <c r="D94" i="4"/>
  <c r="F94" i="4"/>
  <c r="H94" i="4"/>
  <c r="C95" i="4"/>
  <c r="D95" i="4"/>
  <c r="F95" i="4"/>
  <c r="H95" i="4"/>
  <c r="C96" i="4"/>
  <c r="D96" i="4"/>
  <c r="F96" i="4"/>
  <c r="H96" i="4"/>
  <c r="C97" i="4"/>
  <c r="D97" i="4"/>
  <c r="F97" i="4"/>
  <c r="H97" i="4"/>
  <c r="C99" i="4"/>
  <c r="D99" i="4"/>
  <c r="F99" i="4"/>
  <c r="H99" i="4"/>
  <c r="C124" i="4"/>
  <c r="D124" i="4"/>
  <c r="F124" i="4"/>
  <c r="H124" i="4"/>
  <c r="C100" i="4"/>
  <c r="D100" i="4"/>
  <c r="F100" i="4"/>
  <c r="H100" i="4"/>
  <c r="C101" i="4"/>
  <c r="D101" i="4"/>
  <c r="F101" i="4"/>
  <c r="H101" i="4"/>
  <c r="C102" i="4"/>
  <c r="D102" i="4"/>
  <c r="F102" i="4"/>
  <c r="H102" i="4"/>
  <c r="C104" i="4"/>
  <c r="D104" i="4"/>
  <c r="F104" i="4"/>
  <c r="H104" i="4"/>
  <c r="C105" i="4"/>
  <c r="D105" i="4"/>
  <c r="F105" i="4"/>
  <c r="H105" i="4"/>
  <c r="C106" i="4"/>
  <c r="D106" i="4"/>
  <c r="F106" i="4"/>
  <c r="H106" i="4"/>
  <c r="C107" i="4"/>
  <c r="D107" i="4"/>
  <c r="F107" i="4"/>
  <c r="H107" i="4"/>
  <c r="C125" i="4"/>
  <c r="D125" i="4"/>
  <c r="F125" i="4"/>
  <c r="H125" i="4"/>
  <c r="C108" i="4"/>
  <c r="D108" i="4"/>
  <c r="F108" i="4"/>
  <c r="H108" i="4"/>
  <c r="C109" i="4"/>
  <c r="D109" i="4"/>
  <c r="F109" i="4"/>
  <c r="H109" i="4"/>
  <c r="C110" i="4"/>
  <c r="D110" i="4"/>
  <c r="F110" i="4"/>
  <c r="H110" i="4"/>
  <c r="C111" i="4"/>
  <c r="D111" i="4"/>
  <c r="F111" i="4"/>
  <c r="H111" i="4"/>
  <c r="C112" i="4"/>
  <c r="D112" i="4"/>
  <c r="F112" i="4"/>
  <c r="H112" i="4"/>
  <c r="C113" i="4"/>
  <c r="D113" i="4"/>
  <c r="F113" i="4"/>
  <c r="H113" i="4"/>
  <c r="C114" i="4"/>
  <c r="D114" i="4"/>
  <c r="F114" i="4"/>
  <c r="H114" i="4"/>
  <c r="C115" i="4"/>
  <c r="D115" i="4"/>
  <c r="F115" i="4"/>
  <c r="H115" i="4"/>
  <c r="C116" i="4"/>
  <c r="D116" i="4"/>
  <c r="F116" i="4"/>
  <c r="H116" i="4"/>
  <c r="C117" i="4"/>
  <c r="D117" i="4"/>
  <c r="F117" i="4"/>
  <c r="H117" i="4"/>
  <c r="C118" i="4"/>
  <c r="D118" i="4"/>
  <c r="F118" i="4"/>
  <c r="H118" i="4"/>
  <c r="C119" i="4"/>
  <c r="D119" i="4"/>
  <c r="F119" i="4"/>
  <c r="H119" i="4"/>
  <c r="C120" i="4"/>
  <c r="D120" i="4"/>
  <c r="F120" i="4"/>
  <c r="H120" i="4"/>
  <c r="C121" i="4"/>
  <c r="D121" i="4"/>
  <c r="F121" i="4"/>
  <c r="H121" i="4"/>
  <c r="C122" i="4"/>
  <c r="D122" i="4"/>
  <c r="F122" i="4"/>
  <c r="H122" i="4"/>
  <c r="C127" i="4"/>
  <c r="D127" i="4"/>
  <c r="F127" i="4"/>
  <c r="H127" i="4"/>
  <c r="C128" i="4"/>
  <c r="D128" i="4"/>
  <c r="F128" i="4"/>
  <c r="H128" i="4"/>
  <c r="C129" i="4"/>
  <c r="D129" i="4"/>
  <c r="F129" i="4"/>
  <c r="H129" i="4"/>
  <c r="C130" i="4"/>
  <c r="D130" i="4"/>
  <c r="F130" i="4"/>
  <c r="H130" i="4"/>
  <c r="C131" i="4"/>
  <c r="D131" i="4"/>
  <c r="F131" i="4"/>
  <c r="H131" i="4"/>
  <c r="C132" i="4"/>
  <c r="D132" i="4"/>
  <c r="F132" i="4"/>
  <c r="H132" i="4"/>
  <c r="C133" i="4"/>
  <c r="D133" i="4"/>
  <c r="F133" i="4"/>
  <c r="H133" i="4"/>
  <c r="C89" i="4"/>
  <c r="D89" i="4"/>
  <c r="F89" i="4"/>
  <c r="H89" i="4"/>
  <c r="C41" i="4"/>
  <c r="D41" i="4"/>
  <c r="F41" i="4"/>
  <c r="H41" i="4"/>
  <c r="F2" i="4"/>
  <c r="C2" i="4"/>
  <c r="H2" i="4"/>
  <c r="D2" i="4"/>
  <c r="E219" i="1"/>
  <c r="E220" i="1"/>
  <c r="E221" i="1"/>
  <c r="E222" i="1"/>
  <c r="E223" i="1"/>
  <c r="E224" i="1"/>
  <c r="E225" i="1"/>
  <c r="E226" i="1"/>
  <c r="E227" i="1"/>
  <c r="E228" i="1"/>
  <c r="E229" i="1"/>
  <c r="E230" i="1"/>
  <c r="E231" i="1"/>
  <c r="E232" i="1"/>
  <c r="E233" i="1"/>
  <c r="E234" i="1"/>
  <c r="E235" i="1"/>
  <c r="E236" i="1"/>
  <c r="E237" i="1"/>
  <c r="E238" i="1"/>
  <c r="E239" i="1"/>
  <c r="E240" i="1"/>
  <c r="E241" i="1"/>
  <c r="E242" i="1"/>
  <c r="E243" i="1"/>
  <c r="E244" i="1"/>
  <c r="E245" i="1"/>
  <c r="E246" i="1"/>
  <c r="E247" i="1"/>
  <c r="E203" i="1"/>
  <c r="E204" i="1"/>
  <c r="E205" i="1"/>
  <c r="E206" i="1"/>
  <c r="E207" i="1"/>
  <c r="E208" i="1"/>
  <c r="E209" i="1"/>
  <c r="E202" i="1"/>
  <c r="E167" i="1"/>
  <c r="E168" i="1"/>
  <c r="E166" i="1"/>
  <c r="E156" i="1"/>
  <c r="E157" i="1"/>
  <c r="E155" i="1"/>
  <c r="E119" i="1"/>
  <c r="E120" i="1"/>
  <c r="E118" i="1"/>
  <c r="E83" i="1"/>
  <c r="E84" i="1"/>
  <c r="E85" i="1"/>
  <c r="E86" i="1"/>
  <c r="E82" i="1"/>
  <c r="E45" i="1"/>
  <c r="E46" i="1"/>
  <c r="E44" i="1"/>
  <c r="E36" i="1"/>
  <c r="E37" i="1"/>
  <c r="E38" i="1"/>
  <c r="K39" i="1"/>
  <c r="K40" i="1"/>
  <c r="K41" i="1"/>
  <c r="K42" i="1"/>
  <c r="K43" i="1"/>
  <c r="K44" i="1"/>
  <c r="K47" i="1"/>
  <c r="K48" i="1"/>
  <c r="K49" i="1"/>
  <c r="K50" i="1"/>
  <c r="K51" i="1"/>
  <c r="K52" i="1"/>
  <c r="K53" i="1"/>
  <c r="K54" i="1"/>
  <c r="K55" i="1"/>
  <c r="K56" i="1"/>
  <c r="K57" i="1"/>
  <c r="K58" i="1"/>
  <c r="K59" i="1"/>
  <c r="K60" i="1"/>
  <c r="K61" i="1"/>
  <c r="K62" i="1"/>
  <c r="K63" i="1"/>
  <c r="K64" i="1"/>
  <c r="K65" i="1"/>
  <c r="K66" i="1"/>
  <c r="K67" i="1"/>
  <c r="K68" i="1"/>
  <c r="K69" i="1"/>
  <c r="K70" i="1"/>
  <c r="K71" i="1"/>
  <c r="K72" i="1"/>
  <c r="K73" i="1"/>
  <c r="K74" i="1"/>
  <c r="K75" i="1"/>
  <c r="K76" i="1"/>
  <c r="K77" i="1"/>
  <c r="K78" i="1"/>
  <c r="K79" i="1"/>
  <c r="K80" i="1"/>
  <c r="K81" i="1"/>
  <c r="K82" i="1"/>
  <c r="K87" i="1"/>
  <c r="K88" i="1"/>
  <c r="K89" i="1"/>
  <c r="K90" i="1"/>
  <c r="K91" i="1"/>
  <c r="K92" i="1"/>
  <c r="K93" i="1"/>
  <c r="K94" i="1"/>
  <c r="K95" i="1"/>
  <c r="K96" i="1"/>
  <c r="K97" i="1"/>
  <c r="K98" i="1"/>
  <c r="K99" i="1"/>
  <c r="K100" i="1"/>
  <c r="K101" i="1"/>
  <c r="K102" i="1"/>
  <c r="K103" i="1"/>
  <c r="K104" i="1"/>
  <c r="K105" i="1"/>
  <c r="K106" i="1"/>
  <c r="K107" i="1"/>
  <c r="K108" i="1"/>
  <c r="K109" i="1"/>
  <c r="K110" i="1"/>
  <c r="K111" i="1"/>
  <c r="K112" i="1"/>
  <c r="K113" i="1"/>
  <c r="K114" i="1"/>
  <c r="K115" i="1"/>
  <c r="K116" i="1"/>
  <c r="K117" i="1"/>
  <c r="K118" i="1"/>
  <c r="K121" i="1"/>
  <c r="K122" i="1"/>
  <c r="K123" i="1"/>
  <c r="K124" i="1"/>
  <c r="K125" i="1"/>
  <c r="K126" i="1"/>
  <c r="K127" i="1"/>
  <c r="K128" i="1"/>
  <c r="K129" i="1"/>
  <c r="K130" i="1"/>
  <c r="K131" i="1"/>
  <c r="K132" i="1"/>
  <c r="K133" i="1"/>
  <c r="K134" i="1"/>
  <c r="K135" i="1"/>
  <c r="K136" i="1"/>
  <c r="K137" i="1"/>
  <c r="K138" i="1"/>
  <c r="K139" i="1"/>
  <c r="K140" i="1"/>
  <c r="K141" i="1"/>
  <c r="K142" i="1"/>
  <c r="K143" i="1"/>
  <c r="K144" i="1"/>
  <c r="K145" i="1"/>
  <c r="K146" i="1"/>
  <c r="K147" i="1"/>
  <c r="K148" i="1"/>
  <c r="K149" i="1"/>
  <c r="K150" i="1"/>
  <c r="K151" i="1"/>
  <c r="K152" i="1"/>
  <c r="K153" i="1"/>
  <c r="K154" i="1"/>
  <c r="K155" i="1"/>
  <c r="K158" i="1"/>
  <c r="K159" i="1"/>
  <c r="K160" i="1"/>
  <c r="K161" i="1"/>
  <c r="K162" i="1"/>
  <c r="K163" i="1"/>
  <c r="K164" i="1"/>
  <c r="K165" i="1"/>
  <c r="K166" i="1"/>
  <c r="K169" i="1"/>
  <c r="K170" i="1"/>
  <c r="K171" i="1"/>
  <c r="K172" i="1"/>
  <c r="K173" i="1"/>
  <c r="K174" i="1"/>
  <c r="K175" i="1"/>
  <c r="K176" i="1"/>
  <c r="K177" i="1"/>
  <c r="K178" i="1"/>
  <c r="K179" i="1"/>
  <c r="K180" i="1"/>
  <c r="K181" i="1"/>
  <c r="K182" i="1"/>
  <c r="K183" i="1"/>
  <c r="K184" i="1"/>
  <c r="K185" i="1"/>
  <c r="K186" i="1"/>
  <c r="K187" i="1"/>
  <c r="K188" i="1"/>
  <c r="K189" i="1"/>
  <c r="K190" i="1"/>
  <c r="K192" i="1"/>
  <c r="K193" i="1"/>
  <c r="K194" i="1"/>
  <c r="K195" i="1"/>
  <c r="K196" i="1"/>
  <c r="K197" i="1"/>
  <c r="K198" i="1"/>
  <c r="K199" i="1"/>
  <c r="K200" i="1"/>
  <c r="K201" i="1"/>
  <c r="K202" i="1"/>
  <c r="K210" i="1"/>
  <c r="K211" i="1"/>
  <c r="K212" i="1"/>
  <c r="K213" i="1"/>
  <c r="E214" i="1"/>
  <c r="E215" i="1"/>
  <c r="E216" i="1"/>
  <c r="E217" i="1"/>
  <c r="E218" i="1"/>
  <c r="I8" i="4" l="1"/>
  <c r="I113" i="4"/>
  <c r="I88" i="4"/>
  <c r="I65" i="4"/>
  <c r="I25" i="4"/>
  <c r="I132" i="4"/>
  <c r="I105" i="4"/>
  <c r="I64" i="4"/>
  <c r="I40" i="4"/>
  <c r="I7" i="4"/>
  <c r="I131" i="4"/>
  <c r="I119" i="4"/>
  <c r="I111" i="4"/>
  <c r="I104" i="4"/>
  <c r="I95" i="4"/>
  <c r="I86" i="4"/>
  <c r="I79" i="4"/>
  <c r="I71" i="4"/>
  <c r="I63" i="4"/>
  <c r="I55" i="4"/>
  <c r="I47" i="4"/>
  <c r="I39" i="4"/>
  <c r="I31" i="4"/>
  <c r="I23" i="4"/>
  <c r="I15" i="4"/>
  <c r="I6" i="4"/>
  <c r="I106" i="4"/>
  <c r="I49" i="4"/>
  <c r="I80" i="4"/>
  <c r="I24" i="4"/>
  <c r="I130" i="4"/>
  <c r="I118" i="4"/>
  <c r="I110" i="4"/>
  <c r="I102" i="4"/>
  <c r="I94" i="4"/>
  <c r="I85" i="4"/>
  <c r="I78" i="4"/>
  <c r="I70" i="4"/>
  <c r="I62" i="4"/>
  <c r="I54" i="4"/>
  <c r="I46" i="4"/>
  <c r="I38" i="4"/>
  <c r="I30" i="4"/>
  <c r="I22" i="4"/>
  <c r="I13" i="4"/>
  <c r="I4" i="4"/>
  <c r="I121" i="4"/>
  <c r="I123" i="4"/>
  <c r="I57" i="4"/>
  <c r="I33" i="4"/>
  <c r="I112" i="4"/>
  <c r="I87" i="4"/>
  <c r="I56" i="4"/>
  <c r="I32" i="4"/>
  <c r="I14" i="4"/>
  <c r="I129" i="4"/>
  <c r="I117" i="4"/>
  <c r="I109" i="4"/>
  <c r="I101" i="4"/>
  <c r="I93" i="4"/>
  <c r="I84" i="4"/>
  <c r="I77" i="4"/>
  <c r="I69" i="4"/>
  <c r="I61" i="4"/>
  <c r="I53" i="4"/>
  <c r="I5" i="4"/>
  <c r="I37" i="4"/>
  <c r="I29" i="4"/>
  <c r="I21" i="4"/>
  <c r="I12" i="4"/>
  <c r="I2" i="4"/>
  <c r="I133" i="4"/>
  <c r="I97" i="4"/>
  <c r="I73" i="4"/>
  <c r="I42" i="4"/>
  <c r="I17" i="4"/>
  <c r="I120" i="4"/>
  <c r="I96" i="4"/>
  <c r="I72" i="4"/>
  <c r="I48" i="4"/>
  <c r="I16" i="4"/>
  <c r="I128" i="4"/>
  <c r="I116" i="4"/>
  <c r="I108" i="4"/>
  <c r="I100" i="4"/>
  <c r="I92" i="4"/>
  <c r="I83" i="4"/>
  <c r="I76" i="4"/>
  <c r="I68" i="4"/>
  <c r="I60" i="4"/>
  <c r="I52" i="4"/>
  <c r="I45" i="4"/>
  <c r="I36" i="4"/>
  <c r="I28" i="4"/>
  <c r="I20" i="4"/>
  <c r="I11" i="4"/>
  <c r="I41" i="4"/>
  <c r="I127" i="4"/>
  <c r="I115" i="4"/>
  <c r="I125" i="4"/>
  <c r="I124" i="4"/>
  <c r="I91" i="4"/>
  <c r="I82" i="4"/>
  <c r="I75" i="4"/>
  <c r="I67" i="4"/>
  <c r="I59" i="4"/>
  <c r="I51" i="4"/>
  <c r="I44" i="4"/>
  <c r="I35" i="4"/>
  <c r="I27" i="4"/>
  <c r="I19" i="4"/>
  <c r="I10" i="4"/>
  <c r="I89" i="4"/>
  <c r="I122" i="4"/>
  <c r="I114" i="4"/>
  <c r="I107" i="4"/>
  <c r="I99" i="4"/>
  <c r="I90" i="4"/>
  <c r="I81" i="4"/>
  <c r="I74" i="4"/>
  <c r="I66" i="4"/>
  <c r="I58" i="4"/>
  <c r="I50" i="4"/>
  <c r="I43" i="4"/>
  <c r="I34" i="4"/>
  <c r="I26" i="4"/>
  <c r="I18" i="4"/>
  <c r="I9" i="4"/>
  <c r="L28" i="1"/>
  <c r="L29" i="1" s="1"/>
  <c r="L30" i="1" s="1"/>
  <c r="L31" i="1" s="1"/>
  <c r="L32" i="1" s="1"/>
  <c r="L33" i="1" s="1"/>
  <c r="L34" i="1" s="1"/>
  <c r="L35" i="1" s="1"/>
  <c r="L39" i="1" s="1"/>
  <c r="L40" i="1" s="1"/>
  <c r="L41" i="1" s="1"/>
  <c r="L42" i="1" s="1"/>
  <c r="L43" i="1" s="1"/>
  <c r="L44" i="1" s="1"/>
  <c r="L47" i="1" s="1"/>
  <c r="L48" i="1" s="1"/>
  <c r="L49" i="1" s="1"/>
  <c r="L50" i="1" s="1"/>
  <c r="L51" i="1" s="1"/>
  <c r="L52" i="1" s="1"/>
  <c r="L53" i="1" s="1"/>
  <c r="L54" i="1" s="1"/>
  <c r="L55" i="1" s="1"/>
  <c r="L56" i="1" s="1"/>
  <c r="L57" i="1" s="1"/>
  <c r="L58" i="1" s="1"/>
  <c r="L59" i="1" s="1"/>
  <c r="L60" i="1" s="1"/>
  <c r="L61" i="1" s="1"/>
  <c r="L62" i="1" s="1"/>
  <c r="L63" i="1" s="1"/>
  <c r="L64" i="1" s="1"/>
  <c r="L65" i="1" s="1"/>
  <c r="L66" i="1" s="1"/>
  <c r="L67" i="1" s="1"/>
  <c r="L68" i="1" s="1"/>
  <c r="L69" i="1" s="1"/>
  <c r="L70" i="1" s="1"/>
  <c r="L71" i="1" s="1"/>
  <c r="L72" i="1" s="1"/>
  <c r="L73" i="1" s="1"/>
  <c r="L74" i="1" s="1"/>
  <c r="L75" i="1" s="1"/>
  <c r="L76" i="1" s="1"/>
  <c r="L77" i="1" s="1"/>
  <c r="L78" i="1" s="1"/>
  <c r="L79" i="1" s="1"/>
  <c r="L80" i="1" s="1"/>
  <c r="L81" i="1" s="1"/>
  <c r="L82" i="1" s="1"/>
  <c r="L87" i="1" s="1"/>
  <c r="L88" i="1" s="1"/>
  <c r="L89" i="1" s="1"/>
  <c r="L90" i="1" s="1"/>
  <c r="L91" i="1" s="1"/>
  <c r="L92" i="1" s="1"/>
  <c r="L93" i="1" s="1"/>
  <c r="L94" i="1" s="1"/>
  <c r="L95" i="1" s="1"/>
  <c r="L96" i="1" s="1"/>
  <c r="L97" i="1" s="1"/>
  <c r="L98" i="1" s="1"/>
  <c r="L99" i="1" s="1"/>
  <c r="L100" i="1" s="1"/>
  <c r="L101" i="1" s="1"/>
  <c r="L102" i="1" s="1"/>
  <c r="L103" i="1" s="1"/>
  <c r="L104" i="1" s="1"/>
  <c r="L105" i="1" s="1"/>
  <c r="L106" i="1" s="1"/>
  <c r="L107" i="1" s="1"/>
  <c r="L108" i="1" s="1"/>
  <c r="L109" i="1" s="1"/>
  <c r="L110" i="1" s="1"/>
  <c r="L111" i="1" s="1"/>
  <c r="L112" i="1" s="1"/>
  <c r="L113" i="1" s="1"/>
  <c r="L114" i="1" s="1"/>
  <c r="L115" i="1" s="1"/>
  <c r="L116" i="1" s="1"/>
  <c r="L117" i="1" s="1"/>
  <c r="L118" i="1" s="1"/>
  <c r="L121" i="1" s="1"/>
  <c r="L122" i="1" s="1"/>
  <c r="L123" i="1" s="1"/>
  <c r="L124" i="1" s="1"/>
  <c r="L125" i="1" s="1"/>
  <c r="L126" i="1" s="1"/>
  <c r="L127" i="1" s="1"/>
  <c r="L128" i="1" s="1"/>
  <c r="L129" i="1" s="1"/>
  <c r="L130" i="1" s="1"/>
  <c r="L131" i="1" s="1"/>
  <c r="L132" i="1" s="1"/>
  <c r="L133" i="1" s="1"/>
  <c r="L134" i="1" s="1"/>
  <c r="L135" i="1" s="1"/>
  <c r="L136" i="1" s="1"/>
  <c r="L137" i="1" s="1"/>
  <c r="L138" i="1" s="1"/>
  <c r="L139" i="1" s="1"/>
  <c r="L140" i="1" s="1"/>
  <c r="L141" i="1" s="1"/>
  <c r="L142" i="1" s="1"/>
  <c r="L143" i="1" s="1"/>
  <c r="L144" i="1" s="1"/>
  <c r="L145" i="1" s="1"/>
  <c r="L146" i="1" s="1"/>
  <c r="L147" i="1" s="1"/>
  <c r="L148" i="1" s="1"/>
  <c r="L149" i="1" s="1"/>
  <c r="L150" i="1" s="1"/>
  <c r="L151" i="1" s="1"/>
  <c r="L152" i="1" s="1"/>
  <c r="L153" i="1" s="1"/>
  <c r="L154" i="1" s="1"/>
  <c r="L155" i="1" s="1"/>
  <c r="L158" i="1" s="1"/>
  <c r="L159" i="1" s="1"/>
  <c r="L160" i="1" s="1"/>
  <c r="L161" i="1" s="1"/>
  <c r="L162" i="1" s="1"/>
  <c r="L163" i="1" s="1"/>
  <c r="L164" i="1" s="1"/>
  <c r="L165" i="1" s="1"/>
  <c r="L166" i="1" s="1"/>
  <c r="L169" i="1" s="1"/>
  <c r="L170" i="1" s="1"/>
  <c r="L171" i="1" s="1"/>
  <c r="L172" i="1" s="1"/>
  <c r="L173" i="1" s="1"/>
  <c r="L174" i="1" s="1"/>
  <c r="L175" i="1" s="1"/>
  <c r="L176" i="1" s="1"/>
  <c r="L177" i="1" s="1"/>
  <c r="L178" i="1" s="1"/>
  <c r="L179" i="1" s="1"/>
  <c r="L180" i="1" s="1"/>
  <c r="L181" i="1" s="1"/>
  <c r="L182" i="1" s="1"/>
  <c r="L183" i="1" s="1"/>
  <c r="L184" i="1" s="1"/>
  <c r="L185" i="1" s="1"/>
  <c r="L186" i="1" s="1"/>
  <c r="L187" i="1" s="1"/>
  <c r="L188" i="1" s="1"/>
  <c r="L189" i="1" s="1"/>
  <c r="L190" i="1" s="1"/>
  <c r="L191" i="1" s="1"/>
  <c r="L192" i="1" s="1"/>
  <c r="L193" i="1" s="1"/>
  <c r="L194" i="1" s="1"/>
  <c r="L195" i="1" s="1"/>
  <c r="L196" i="1" s="1"/>
  <c r="L197" i="1" s="1"/>
  <c r="L198" i="1" s="1"/>
  <c r="L199" i="1" s="1"/>
  <c r="L200" i="1" s="1"/>
  <c r="L201" i="1" s="1"/>
  <c r="L202" i="1" s="1"/>
  <c r="L210" i="1" s="1"/>
  <c r="L211" i="1" s="1"/>
  <c r="L212" i="1" s="1"/>
  <c r="L213" i="1" s="1"/>
  <c r="L214" i="1" s="1"/>
  <c r="L215" i="1" s="1"/>
  <c r="L216" i="1" s="1"/>
  <c r="L217" i="1" s="1"/>
  <c r="L218" i="1" s="1"/>
  <c r="L219" i="1" s="1"/>
  <c r="L220" i="1" s="1"/>
  <c r="L221" i="1" s="1"/>
  <c r="L222" i="1" s="1"/>
  <c r="L223" i="1" s="1"/>
  <c r="L224" i="1" s="1"/>
  <c r="L225" i="1" s="1"/>
  <c r="L226" i="1" s="1"/>
  <c r="L227" i="1" s="1"/>
  <c r="L228" i="1" s="1"/>
  <c r="L229" i="1" s="1"/>
  <c r="L230" i="1" s="1"/>
  <c r="L231" i="1" s="1"/>
  <c r="L232" i="1" s="1"/>
  <c r="L233" i="1" s="1"/>
  <c r="L234" i="1" s="1"/>
  <c r="L235" i="1" s="1"/>
  <c r="L236" i="1" s="1"/>
  <c r="L237" i="1" s="1"/>
  <c r="L238" i="1" s="1"/>
  <c r="L239" i="1" s="1"/>
  <c r="L240" i="1" s="1"/>
  <c r="L241" i="1" s="1"/>
  <c r="L242" i="1" s="1"/>
  <c r="L243" i="1" s="1"/>
  <c r="L244" i="1" s="1"/>
  <c r="L245" i="1" s="1"/>
  <c r="L246" i="1" s="1"/>
  <c r="L247" i="1" s="1"/>
  <c r="L248" i="1" s="1"/>
  <c r="L249" i="1" s="1"/>
  <c r="L250" i="1" s="1"/>
  <c r="L251" i="1" s="1"/>
  <c r="L252" i="1" s="1"/>
  <c r="L253" i="1" s="1"/>
  <c r="L254" i="1" s="1"/>
  <c r="L255" i="1" s="1"/>
  <c r="L256" i="1" s="1"/>
  <c r="L257" i="1" s="1"/>
  <c r="L258" i="1" s="1"/>
  <c r="L259" i="1" s="1"/>
  <c r="L260" i="1" s="1"/>
  <c r="L261" i="1" s="1"/>
  <c r="L262" i="1" s="1"/>
  <c r="L263" i="1" s="1"/>
  <c r="L264" i="1" s="1"/>
  <c r="L265" i="1" s="1"/>
  <c r="L266" i="1" s="1"/>
  <c r="L267" i="1" s="1"/>
  <c r="L268" i="1" s="1"/>
  <c r="L269" i="1" s="1"/>
  <c r="L270" i="1" s="1"/>
  <c r="L271" i="1" s="1"/>
  <c r="L272" i="1" s="1"/>
  <c r="L273" i="1" s="1"/>
  <c r="L274" i="1" s="1"/>
  <c r="L275" i="1" s="1"/>
  <c r="L276" i="1" s="1"/>
  <c r="L277" i="1" s="1"/>
  <c r="L278" i="1" s="1"/>
  <c r="L279" i="1" s="1"/>
  <c r="L280" i="1" s="1"/>
  <c r="L281" i="1" s="1"/>
  <c r="L282" i="1" s="1"/>
  <c r="L283" i="1" s="1"/>
  <c r="L284" i="1" s="1"/>
  <c r="L285" i="1" s="1"/>
  <c r="L286" i="1" s="1"/>
  <c r="L287" i="1" s="1"/>
  <c r="L288" i="1" s="1"/>
  <c r="L289" i="1" s="1"/>
  <c r="L290" i="1" s="1"/>
  <c r="L291" i="1" s="1"/>
  <c r="L292" i="1" s="1"/>
  <c r="L293" i="1" s="1"/>
  <c r="L294" i="1" s="1"/>
  <c r="L295" i="1" s="1"/>
  <c r="L296" i="1" s="1"/>
  <c r="L297" i="1" s="1"/>
  <c r="L298" i="1" s="1"/>
  <c r="L299" i="1" s="1"/>
  <c r="L300" i="1" s="1"/>
  <c r="L301" i="1" s="1"/>
  <c r="L302" i="1" s="1"/>
  <c r="L303" i="1" s="1"/>
  <c r="L304" i="1" s="1"/>
  <c r="L305" i="1" s="1"/>
  <c r="L306" i="1" s="1"/>
  <c r="L307" i="1" s="1"/>
  <c r="L308" i="1" s="1"/>
  <c r="L309" i="1" s="1"/>
  <c r="L310" i="1" s="1"/>
  <c r="L311" i="1" s="1"/>
  <c r="L312" i="1" s="1"/>
  <c r="L313" i="1" s="1"/>
  <c r="L314" i="1" s="1"/>
  <c r="L315" i="1" s="1"/>
  <c r="L316" i="1" s="1"/>
  <c r="L317" i="1" s="1"/>
  <c r="L318" i="1" s="1"/>
  <c r="L319" i="1" s="1"/>
  <c r="L320" i="1" s="1"/>
  <c r="L321" i="1" s="1"/>
  <c r="L322" i="1" s="1"/>
  <c r="L323" i="1" s="1"/>
  <c r="L324" i="1" s="1"/>
  <c r="L325" i="1" s="1"/>
  <c r="L326" i="1" s="1"/>
  <c r="L327" i="1" s="1"/>
  <c r="L328" i="1" s="1"/>
  <c r="L329" i="1" s="1"/>
  <c r="L330" i="1" s="1"/>
  <c r="L331" i="1" s="1"/>
  <c r="L332" i="1" s="1"/>
  <c r="L333" i="1" s="1"/>
  <c r="L334" i="1" s="1"/>
  <c r="L335" i="1" s="1"/>
  <c r="L336" i="1" s="1"/>
  <c r="L337" i="1" s="1"/>
  <c r="L338" i="1" s="1"/>
  <c r="L339" i="1" s="1"/>
  <c r="L340" i="1" s="1"/>
  <c r="L341" i="1" s="1"/>
  <c r="L342" i="1" s="1"/>
  <c r="L343" i="1" s="1"/>
  <c r="L344" i="1" s="1"/>
  <c r="L345" i="1" s="1"/>
  <c r="L346" i="1" s="1"/>
  <c r="L347" i="1" s="1"/>
  <c r="L348" i="1" s="1"/>
  <c r="L349" i="1" s="1"/>
  <c r="L350" i="1" s="1"/>
  <c r="L351" i="1" s="1"/>
  <c r="L352" i="1" s="1"/>
  <c r="L353" i="1" s="1"/>
  <c r="L354" i="1" s="1"/>
  <c r="L355" i="1" s="1"/>
  <c r="L356" i="1" s="1"/>
  <c r="L357" i="1" s="1"/>
  <c r="L358" i="1" s="1"/>
  <c r="L359" i="1" s="1"/>
  <c r="E27" i="1"/>
  <c r="E28" i="1"/>
  <c r="E29" i="1"/>
  <c r="E30" i="1"/>
  <c r="E31" i="1"/>
  <c r="E32" i="1"/>
  <c r="E33" i="1"/>
  <c r="E34" i="1"/>
  <c r="E35" i="1"/>
  <c r="E39" i="1"/>
  <c r="E40" i="1"/>
  <c r="E41" i="1"/>
  <c r="E42" i="1"/>
  <c r="E43" i="1"/>
  <c r="E47" i="1"/>
  <c r="E48" i="1"/>
  <c r="E49" i="1"/>
  <c r="E50" i="1"/>
  <c r="E51" i="1"/>
  <c r="E52" i="1"/>
  <c r="E53" i="1"/>
  <c r="E54" i="1"/>
  <c r="E55" i="1"/>
  <c r="E56" i="1"/>
  <c r="E57" i="1"/>
  <c r="E58" i="1"/>
  <c r="E59" i="1"/>
  <c r="E60" i="1"/>
  <c r="E61" i="1"/>
  <c r="E62" i="1"/>
  <c r="E63" i="1"/>
  <c r="E64" i="1"/>
  <c r="E65" i="1"/>
  <c r="E66" i="1"/>
  <c r="E67" i="1"/>
  <c r="E68" i="1"/>
  <c r="E69" i="1"/>
  <c r="E70" i="1"/>
  <c r="E71" i="1"/>
  <c r="E72" i="1"/>
  <c r="E73" i="1"/>
  <c r="E74" i="1"/>
  <c r="E75" i="1"/>
  <c r="E76" i="1"/>
  <c r="E77" i="1"/>
  <c r="E78" i="1"/>
  <c r="E79" i="1"/>
  <c r="E80" i="1"/>
  <c r="E81" i="1"/>
  <c r="E87" i="1"/>
  <c r="E88" i="1"/>
  <c r="E89" i="1"/>
  <c r="E90" i="1"/>
  <c r="E91" i="1"/>
  <c r="E92" i="1"/>
  <c r="E93" i="1"/>
  <c r="E94" i="1"/>
  <c r="E95" i="1"/>
  <c r="E96" i="1"/>
  <c r="E97" i="1"/>
  <c r="E98" i="1"/>
  <c r="E99" i="1"/>
  <c r="E100" i="1"/>
  <c r="E101" i="1"/>
  <c r="E102" i="1"/>
  <c r="E103" i="1"/>
  <c r="E104" i="1"/>
  <c r="E105" i="1"/>
  <c r="E106" i="1"/>
  <c r="E107" i="1"/>
  <c r="E108" i="1"/>
  <c r="E109" i="1"/>
  <c r="E110" i="1"/>
  <c r="E111" i="1"/>
  <c r="E112" i="1"/>
  <c r="E113" i="1"/>
  <c r="E114" i="1"/>
  <c r="E115" i="1"/>
  <c r="E116" i="1"/>
  <c r="E117" i="1"/>
  <c r="E121" i="1"/>
  <c r="E122" i="1"/>
  <c r="E123" i="1"/>
  <c r="E124" i="1"/>
  <c r="E125" i="1"/>
  <c r="E126" i="1"/>
  <c r="E127" i="1"/>
  <c r="E128" i="1"/>
  <c r="E129" i="1"/>
  <c r="E130" i="1"/>
  <c r="E131" i="1"/>
  <c r="E132" i="1"/>
  <c r="E133" i="1"/>
  <c r="E134" i="1"/>
  <c r="E135" i="1"/>
  <c r="E136" i="1"/>
  <c r="E137" i="1"/>
  <c r="E138" i="1"/>
  <c r="E139" i="1"/>
  <c r="E140" i="1"/>
  <c r="E141" i="1"/>
  <c r="E142" i="1"/>
  <c r="E143" i="1"/>
  <c r="E144" i="1"/>
  <c r="E145" i="1"/>
  <c r="E146" i="1"/>
  <c r="E147" i="1"/>
  <c r="E148" i="1"/>
  <c r="E149" i="1"/>
  <c r="E150" i="1"/>
  <c r="E151" i="1"/>
  <c r="E152" i="1"/>
  <c r="E153" i="1"/>
  <c r="E154" i="1"/>
  <c r="E158" i="1"/>
  <c r="E159" i="1"/>
  <c r="E160" i="1"/>
  <c r="E161" i="1"/>
  <c r="E162" i="1"/>
  <c r="E163" i="1"/>
  <c r="E164" i="1"/>
  <c r="E165" i="1"/>
  <c r="E169" i="1"/>
  <c r="E170" i="1"/>
  <c r="E171" i="1"/>
  <c r="E172" i="1"/>
  <c r="E173" i="1"/>
  <c r="E174" i="1"/>
  <c r="E175" i="1"/>
  <c r="E176" i="1"/>
  <c r="E177" i="1"/>
  <c r="E178" i="1"/>
  <c r="E179" i="1"/>
  <c r="E180" i="1"/>
  <c r="E181" i="1"/>
  <c r="E182" i="1"/>
  <c r="E183" i="1"/>
  <c r="E184" i="1"/>
  <c r="E185" i="1"/>
  <c r="E186" i="1"/>
  <c r="E187" i="1"/>
  <c r="E188" i="1"/>
  <c r="E189" i="1"/>
  <c r="E190" i="1"/>
  <c r="E191" i="1"/>
  <c r="E192" i="1"/>
  <c r="E193" i="1"/>
  <c r="E194" i="1"/>
  <c r="E195" i="1"/>
  <c r="E196" i="1"/>
  <c r="E197" i="1"/>
  <c r="E198" i="1"/>
  <c r="E199" i="1"/>
  <c r="E200" i="1"/>
  <c r="E201" i="1"/>
  <c r="E210" i="1"/>
  <c r="E211" i="1"/>
  <c r="E212" i="1"/>
  <c r="E213" i="1"/>
  <c r="C38" i="2"/>
  <c r="C39" i="2"/>
  <c r="C24" i="2"/>
  <c r="C6" i="2"/>
  <c r="C25" i="2"/>
  <c r="C40" i="2"/>
  <c r="C7" i="2"/>
  <c r="C41" i="2"/>
  <c r="C8" i="2"/>
  <c r="C9" i="2"/>
  <c r="C42" i="2"/>
  <c r="C26" i="2"/>
  <c r="C27" i="2"/>
  <c r="C28" i="2"/>
  <c r="C29" i="2"/>
  <c r="C68" i="2"/>
  <c r="C30" i="2"/>
  <c r="C10" i="2"/>
  <c r="C11" i="2"/>
  <c r="C69" i="2"/>
  <c r="C31" i="2"/>
  <c r="C32" i="2"/>
  <c r="C70" i="2"/>
  <c r="C12" i="2"/>
  <c r="C13" i="2"/>
  <c r="C14" i="2"/>
  <c r="C43" i="2"/>
  <c r="C33" i="2"/>
  <c r="C15" i="2"/>
  <c r="C16" i="2"/>
  <c r="C44" i="2"/>
  <c r="C35" i="2"/>
  <c r="C17" i="2"/>
  <c r="C18" i="2"/>
  <c r="C36" i="2"/>
  <c r="C37" i="2"/>
  <c r="C71" i="2"/>
  <c r="C61" i="2"/>
  <c r="C62" i="2"/>
  <c r="C72" i="2"/>
  <c r="C45" i="2"/>
  <c r="C46" i="2"/>
  <c r="C47" i="2"/>
  <c r="C48" i="2"/>
  <c r="C49" i="2"/>
  <c r="C50" i="2"/>
  <c r="C51" i="2"/>
  <c r="C52" i="2"/>
  <c r="C53" i="2"/>
  <c r="C54" i="2"/>
  <c r="C63" i="2"/>
  <c r="C64" i="2"/>
  <c r="C19" i="2"/>
  <c r="C65" i="2"/>
  <c r="C66" i="2"/>
  <c r="C55" i="2"/>
  <c r="C56" i="2"/>
  <c r="C113" i="2"/>
  <c r="C57" i="2"/>
  <c r="C73" i="2"/>
  <c r="C114" i="2"/>
  <c r="C74" i="2"/>
  <c r="C58" i="2"/>
  <c r="C59" i="2"/>
  <c r="C115" i="2"/>
  <c r="C20" i="2"/>
  <c r="C75" i="2"/>
  <c r="C21" i="2"/>
  <c r="C76" i="2"/>
  <c r="C77" i="2"/>
  <c r="C78" i="2"/>
  <c r="C79" i="2"/>
  <c r="C80" i="2"/>
  <c r="C81" i="2"/>
  <c r="C82" i="2"/>
  <c r="C83" i="2"/>
  <c r="C84" i="2"/>
  <c r="C22" i="2"/>
  <c r="C85" i="2"/>
  <c r="C60" i="2"/>
  <c r="C86" i="2"/>
  <c r="C116" i="2"/>
  <c r="C87" i="2"/>
  <c r="C23" i="2"/>
  <c r="C123" i="2"/>
  <c r="C124" i="2"/>
  <c r="C125" i="2"/>
  <c r="C5" i="2"/>
</calcChain>
</file>

<file path=xl/sharedStrings.xml><?xml version="1.0" encoding="utf-8"?>
<sst xmlns="http://schemas.openxmlformats.org/spreadsheetml/2006/main" count="1784" uniqueCount="868">
  <si>
    <t>Date</t>
  </si>
  <si>
    <t>Date valeur</t>
  </si>
  <si>
    <t>Compte</t>
  </si>
  <si>
    <t>Débit</t>
  </si>
  <si>
    <t>Crédit</t>
  </si>
  <si>
    <t>Id Banque</t>
  </si>
  <si>
    <t>300760283626261100200EUR201903261078330100</t>
  </si>
  <si>
    <t>CB 454106 SNACK THIER 59BAVAY</t>
  </si>
  <si>
    <t>300760283626261100200EUR201903261078330000</t>
  </si>
  <si>
    <t>CB 548222 DAC AUCHAN  59VALENCIE</t>
  </si>
  <si>
    <t>300760283626261100200EUR201903251071243300</t>
  </si>
  <si>
    <t>CB 548222 SARRASINE   59FAMARS</t>
  </si>
  <si>
    <t>300760283626261100200EUR201903250910416500</t>
  </si>
  <si>
    <t>RELEVE LCR DU  180319  CONFORME</t>
  </si>
  <si>
    <t>300760283626261100200EUR201903216337445400</t>
  </si>
  <si>
    <t>PRLV B2B DGFIP</t>
  </si>
  <si>
    <t>PASDSN15032019-022019-7945135310</t>
  </si>
  <si>
    <t>300760283626261100200EUR201903211077562300</t>
  </si>
  <si>
    <t>CB 454106 LA POSTE 59 59BAVAY</t>
  </si>
  <si>
    <t>300760283626261100200EUR201903211077562200</t>
  </si>
  <si>
    <t>CB 454106 SMMATCH MAG 59BAVAY</t>
  </si>
  <si>
    <t>300760283626261100200EUR201903211077562500</t>
  </si>
  <si>
    <t>CB 548222 ECG17285PAU 75PARIS</t>
  </si>
  <si>
    <t>300760283626261100200EUR201903211077562400</t>
  </si>
  <si>
    <t>CB 548222 SNCF        75PARIS 10</t>
  </si>
  <si>
    <t>300760283626261100200EUR201903201077489700</t>
  </si>
  <si>
    <t>300760283626261100200EUR201903201077489900</t>
  </si>
  <si>
    <t>CB 454106 CARREFOUR D 59AULNOY L</t>
  </si>
  <si>
    <t>300760283626261100200EUR201903201077489800</t>
  </si>
  <si>
    <t>CB 548222 SNCF INTERN 75PARIS 12</t>
  </si>
  <si>
    <t>300760283626261100200EUR201903199227437400</t>
  </si>
  <si>
    <t>FRAIS E-VIR SEPA VERS EEE</t>
  </si>
  <si>
    <t>300760283626261100200EUR201903191071943100</t>
  </si>
  <si>
    <t>CB 454106 PIZZA NONNA 59VILLENEU</t>
  </si>
  <si>
    <t>300760283626261100200EUR201903190910220200</t>
  </si>
  <si>
    <t>RELEVE LCR DU  120319  CONFORME</t>
  </si>
  <si>
    <t>300760283626261100200EUR201903196313187700</t>
  </si>
  <si>
    <t>VIR TRESORERIE VILLENEUVE D</t>
  </si>
  <si>
    <t>FAC NoAF241-1 DU 31/01/2019VILLE</t>
  </si>
  <si>
    <t>300760283626261100200EUR201903180294486000</t>
  </si>
  <si>
    <t>E-VIR SEPA Hedon Vds + Thery</t>
  </si>
  <si>
    <t>300760283626261100200EUR201903181074851200</t>
  </si>
  <si>
    <t>CB 548222 GOOGLE GOOG GB   9,99</t>
  </si>
  <si>
    <t>300760283626261100200EUR201903181077422300</t>
  </si>
  <si>
    <t>300760283626261100200EUR201903181077422400</t>
  </si>
  <si>
    <t>CB 548222 SA DISTRIFI 59LILLE</t>
  </si>
  <si>
    <t>300760283626261100200EUR201903186330633100</t>
  </si>
  <si>
    <t>PRLV SEPA URSSAF Nord-Pas-de-Cal</t>
  </si>
  <si>
    <t>UR 317000001020473292    FEV 197</t>
  </si>
  <si>
    <t>300760283626261100200EUR201903159226010400</t>
  </si>
  <si>
    <t>300760283626261100200EUR201903159226010500</t>
  </si>
  <si>
    <t>300760283626261100200EUR201903156331072000</t>
  </si>
  <si>
    <t>PRLV SEPA MMA IARD SA-MMA IARD</t>
  </si>
  <si>
    <t>300760283626261100200EUR201903150910923300</t>
  </si>
  <si>
    <t>RELEVE LCR DU  080319  CONFORME</t>
  </si>
  <si>
    <t>300760283626261100200EUR201903140292147300</t>
  </si>
  <si>
    <t>E-VIR SEPA Salaire Alex fev 18</t>
  </si>
  <si>
    <t>300760283626261100200EUR201903140292147400</t>
  </si>
  <si>
    <t>E-VIR SEPA Salaire Etienn f?v18</t>
  </si>
  <si>
    <t>300760283626261100200EUR201903149222513600</t>
  </si>
  <si>
    <t>300760283626261100200EUR201903141077014800</t>
  </si>
  <si>
    <t>CB 454106 LEROY2C FAM 59FAMARS</t>
  </si>
  <si>
    <t>300760283626261100200EUR201903141073383600</t>
  </si>
  <si>
    <t>CB 548222 LE MATHYS   59AVESNES</t>
  </si>
  <si>
    <t>300760283626261100200EUR201903146313646500</t>
  </si>
  <si>
    <t>VIR TRESORERIE ARRAS MUNICIP</t>
  </si>
  <si>
    <t>FAC. AF244-1 DU 29/11/2018PROTOT</t>
  </si>
  <si>
    <t>300760283626261100200EUR201903130292603500</t>
  </si>
  <si>
    <t>E-VIR SEPA Dimatex</t>
  </si>
  <si>
    <t>300760283626261100200EUR201903139222665800</t>
  </si>
  <si>
    <t>300760283626261100200EUR201903139222665900</t>
  </si>
  <si>
    <t>300760283626261100200EUR201903139222666000</t>
  </si>
  <si>
    <t>300760283626261100200EUR201903139222666100</t>
  </si>
  <si>
    <t>300760283626261100200EUR201903139222666200</t>
  </si>
  <si>
    <t>300760283626261100200EUR201903139222666300</t>
  </si>
  <si>
    <t>300760283626261100200EUR201903139222666400</t>
  </si>
  <si>
    <t>300760283626261100200EUR201903131077341400</t>
  </si>
  <si>
    <t>CB 548222 DESIGN PROD 14TROARN</t>
  </si>
  <si>
    <t>300760283626261100200EUR201903120292948800</t>
  </si>
  <si>
    <t>E-VIR SEPA Hoorneart</t>
  </si>
  <si>
    <t>300760283626261100200EUR201903120292948700</t>
  </si>
  <si>
    <t>E-VIR SEPA Atelier du Verre</t>
  </si>
  <si>
    <t>300760283626261100200EUR201903120292949100</t>
  </si>
  <si>
    <t>E-VIR SEPA Dessenne</t>
  </si>
  <si>
    <t>300760283626261100200EUR201903120292949000</t>
  </si>
  <si>
    <t>300760283626261100200EUR201903120292948900</t>
  </si>
  <si>
    <t>E-VIR SEPA Unsteel</t>
  </si>
  <si>
    <t>300760283626261100200EUR201903120292949300</t>
  </si>
  <si>
    <t>300760283626261100200EUR201903120292949200</t>
  </si>
  <si>
    <t>300760283626261100200EUR201903129223924100</t>
  </si>
  <si>
    <t>300760283626261100200EUR201903129223924200</t>
  </si>
  <si>
    <t>300760283626261100200EUR201903129223924300</t>
  </si>
  <si>
    <t>300760283626261100200EUR201903121070484100</t>
  </si>
  <si>
    <t>CB 454106 BLONDES A C 59LESQUIN</t>
  </si>
  <si>
    <t>300760283626261100200EUR201903121079341300</t>
  </si>
  <si>
    <t>CB 454106 CARREFOUR D 59WASQUEHA</t>
  </si>
  <si>
    <t>300760283626261100200EUR201903110290944500</t>
  </si>
  <si>
    <t>E-VIR SEPA Dimatex 11/2018</t>
  </si>
  <si>
    <t>300760283626261100200EUR201903110290944600</t>
  </si>
  <si>
    <t>E-VIR SEPA Dimatex 10/2018</t>
  </si>
  <si>
    <t>300760283626261100200EUR201903112330963000</t>
  </si>
  <si>
    <t>FRAIS VIR SEPA PERMANENT</t>
  </si>
  <si>
    <t>300760283626261100200EUR201903115812177500</t>
  </si>
  <si>
    <t>02836 262611 0138 01FIN DE PRET:</t>
  </si>
  <si>
    <t>300760283626261100200EUR201903115812939000</t>
  </si>
  <si>
    <t>02836 262611 0104 00  6 068,29 E</t>
  </si>
  <si>
    <t>300760283626261100200EUR201903115812177300</t>
  </si>
  <si>
    <t>02836 262611 0138 00FIN DE PRET:</t>
  </si>
  <si>
    <t>300760283626261100200EUR201903111077201100</t>
  </si>
  <si>
    <t>CB 454106 LE PEPLUM   59BAVAY</t>
  </si>
  <si>
    <t>300760283626261100200EUR201903113361810200</t>
  </si>
  <si>
    <t>CHEQUE  N 1000065</t>
  </si>
  <si>
    <t>300760283626261100200EUR201903112332920200</t>
  </si>
  <si>
    <t>VIR SEPA SCI LT DECO</t>
  </si>
  <si>
    <t>300760283626261100200EUR201903110910645100</t>
  </si>
  <si>
    <t>RELEVE LCR DU  040319  CONFORME</t>
  </si>
  <si>
    <t>300760283626261100200EUR201903080295108300</t>
  </si>
  <si>
    <t>E-VIR SEPA Salaire Alex 01/2019</t>
  </si>
  <si>
    <t>300760283626261100200EUR201903081074604900</t>
  </si>
  <si>
    <t>CB 548222 SMMATCH MAG 59BAVAY</t>
  </si>
  <si>
    <t>300760283626261100200EUR201903081074605000</t>
  </si>
  <si>
    <t>300760283626261100200EUR201903081074604800</t>
  </si>
  <si>
    <t>CB 548222 DAC SM MATC 59BAVAY</t>
  </si>
  <si>
    <t>300760283626261100200EUR201903080910231000</t>
  </si>
  <si>
    <t>RELEVE LCR DU  010319  CONFORME</t>
  </si>
  <si>
    <t>300760283626261100200EUR201903071077519400</t>
  </si>
  <si>
    <t>CB 548222 DAVID JOACH 59BAVAY</t>
  </si>
  <si>
    <t>300760283626261100200EUR201903071077519300</t>
  </si>
  <si>
    <t>CB 454106 L'AZIZA     59VILLENEU</t>
  </si>
  <si>
    <t>300760283626261100200EUR201903071077519200</t>
  </si>
  <si>
    <t>CB 548222 REPRO CENTE 59VALENCIE</t>
  </si>
  <si>
    <t>300760283626261100200EUR201903071072953600</t>
  </si>
  <si>
    <t>CB 548222 BRICO DEPOT 59AULNOY L</t>
  </si>
  <si>
    <t>300760283626261100200EUR201903076317939900</t>
  </si>
  <si>
    <t>FAC. situation 6 DU 25/02/2019PO</t>
  </si>
  <si>
    <t>300760283626261100200EUR201903061077789500</t>
  </si>
  <si>
    <t>CB 454106 SANEF 2602- 60SENLIS</t>
  </si>
  <si>
    <t>300760283626261100200EUR201903061077789400</t>
  </si>
  <si>
    <t>300760283626261100200EUR201903066337229700</t>
  </si>
  <si>
    <t>PRLV SEPA Google Ireland Limited</t>
  </si>
  <si>
    <t>APPS COMMERCE:le-metal.net:GG101</t>
  </si>
  <si>
    <t>300760283626261100200EUR201903051076671900</t>
  </si>
  <si>
    <t>CB 454106 DAC SM MATC 59BAVAY</t>
  </si>
  <si>
    <t>300760283626261100200EUR201903058301285200</t>
  </si>
  <si>
    <t>REMISE CHEQUES</t>
  </si>
  <si>
    <t>300760283626261100200EUR201903049223196100</t>
  </si>
  <si>
    <t>COMMISSION D'INTERVENTION</t>
  </si>
  <si>
    <t>300760283626261100200EUR201903041078514800</t>
  </si>
  <si>
    <t>300760283626261100200EUR201903041078514700</t>
  </si>
  <si>
    <t>CB 548222 CARREFOUR D 59AULNOY L</t>
  </si>
  <si>
    <t>300760283626261100200EUR201903040910605400</t>
  </si>
  <si>
    <t>RELEVE LCR DU  250219  CONFORME</t>
  </si>
  <si>
    <t>300760283626261100200EUR201903046317675700</t>
  </si>
  <si>
    <t>VIR DRFIP ILE DE FRANCE ET D</t>
  </si>
  <si>
    <t>087013713 TPEJ TPE-JA04068122740</t>
  </si>
  <si>
    <t>300760283626261100200EUR201903020842566300</t>
  </si>
  <si>
    <t>INTERNET PRO (GRATUIT AVEC C.ALL</t>
  </si>
  <si>
    <t>300760283626261100200EUR201903019225927800</t>
  </si>
  <si>
    <t>300760283626261100200EUR201903019225927900</t>
  </si>
  <si>
    <t>300760283626261100200EUR201903019225928000</t>
  </si>
  <si>
    <t>300760283626261100200EUR201903019225928100</t>
  </si>
  <si>
    <t>300760283626261100200EUR201903011078044500</t>
  </si>
  <si>
    <t>300760283626261100200EUR201903010882667800</t>
  </si>
  <si>
    <t>COTIS.CONVENTION ALLIANCE</t>
  </si>
  <si>
    <t>300760283626261100200EUR201902281079658000</t>
  </si>
  <si>
    <t>CB 454106 SANEF 1902- 60SENLIS</t>
  </si>
  <si>
    <t>300760283626261100200EUR201902281079657900</t>
  </si>
  <si>
    <t>CB 454106 COTE BOULAN 59TOURCOIN</t>
  </si>
  <si>
    <t>300760283626261100200EUR201902280911860100</t>
  </si>
  <si>
    <t>RELEVE LCR DU  210219  CONFORME</t>
  </si>
  <si>
    <t>300760283626261100200EUR201902270293906000</t>
  </si>
  <si>
    <t>E-VIR SEPA Salaire Gournay 02/20</t>
  </si>
  <si>
    <t>300760283626261100200EUR201902270293905900</t>
  </si>
  <si>
    <t>300760283626261100200EUR201902270293906100</t>
  </si>
  <si>
    <t>E-VIR SEPA Salaire Lefort 02/201</t>
  </si>
  <si>
    <t>300760283626261100200EUR201902270293906200</t>
  </si>
  <si>
    <t>E-VIR SEPA Salaire Hutin 02/2018</t>
  </si>
  <si>
    <t>300760283626261100200EUR201902261070912300</t>
  </si>
  <si>
    <t>300760283626261100200EUR201902261078887300</t>
  </si>
  <si>
    <t>CB 454106 STATION TOT 59TEMPLEUV</t>
  </si>
  <si>
    <t>300760283626261100200EUR201902259223518500</t>
  </si>
  <si>
    <t>300760283626261100200EUR201902251071895000</t>
  </si>
  <si>
    <t>CB 454106 BOULANGERIE 59BOIS GRE</t>
  </si>
  <si>
    <t>300760283626261100200EUR201902251071894900</t>
  </si>
  <si>
    <t>300760283626261100200EUR201902253361734300</t>
  </si>
  <si>
    <t>CHEQUE  N 1000064</t>
  </si>
  <si>
    <t>300760283626261100200EUR201902250910381700</t>
  </si>
  <si>
    <t>RELEVE LCR DU  180219  CONFORME</t>
  </si>
  <si>
    <t>300760283626261100200EUR201902220292284800</t>
  </si>
  <si>
    <t>E-VIR SEPA Salaire Janvier Etien</t>
  </si>
  <si>
    <t>300760283626261100200EUR201902216333532200</t>
  </si>
  <si>
    <t>PASDSN15022019-012019-7945135310</t>
  </si>
  <si>
    <t>300760283626261100200EUR201902219222305300</t>
  </si>
  <si>
    <t>300760283626261100200EUR201902219222305400</t>
  </si>
  <si>
    <t>300760283626261100200EUR201902219222305500</t>
  </si>
  <si>
    <t>300760283626261100200EUR201902219222305600</t>
  </si>
  <si>
    <t>300760283626261100200EUR201902219222305700</t>
  </si>
  <si>
    <t>300760283626261100200EUR201902211077735600</t>
  </si>
  <si>
    <t>300760283626261100200EUR201902211077735500</t>
  </si>
  <si>
    <t>300760283626261100200EUR201902200292338400</t>
  </si>
  <si>
    <t>E-VIR SEPA LeLorrain buse chalum</t>
  </si>
  <si>
    <t>300760283626261100200EUR201902200292338700</t>
  </si>
  <si>
    <t>E-VIR SEPA PRORATA 5 VdS</t>
  </si>
  <si>
    <t>300760283626261100200EUR201902200292338600</t>
  </si>
  <si>
    <t>E-VIR SEPA TSR Loc poste</t>
  </si>
  <si>
    <t>300760283626261100200EUR201902200292338800</t>
  </si>
  <si>
    <t>E-VIR SEPA PRORATA Solde VdS</t>
  </si>
  <si>
    <t>300760283626261100200EUR201902200292338500</t>
  </si>
  <si>
    <t>300760283626261100200EUR201902201077919900</t>
  </si>
  <si>
    <t>CB 548222 SANEF 1202- 60SENLIS</t>
  </si>
  <si>
    <t>300760283626261100200EUR201902201077919800</t>
  </si>
  <si>
    <t>CB 454106 SANEF 1202- 60SENLIS</t>
  </si>
  <si>
    <t>300760283626261100200EUR201902201077919700</t>
  </si>
  <si>
    <t>CB 454106 BOULANGERIE 62ST LAURE</t>
  </si>
  <si>
    <t>300760283626261100200EUR201902199224398500</t>
  </si>
  <si>
    <t>300760283626261100200EUR201902191078588800</t>
  </si>
  <si>
    <t>300760283626261100200EUR201902180294347200</t>
  </si>
  <si>
    <t>E-VIR SEPA CIR Caillebotis Thery</t>
  </si>
  <si>
    <t>300760283626261100200EUR201902181074950400</t>
  </si>
  <si>
    <t>CB 454106 SHELL 3298  62RUMAUCOU</t>
  </si>
  <si>
    <t>300760283626261100200EUR201902181074862600</t>
  </si>
  <si>
    <t>300760283626261100200EUR201902181074950500</t>
  </si>
  <si>
    <t>300760283626261100200EUR201902186333935400</t>
  </si>
  <si>
    <t>UR 317000001020473292    JANV197</t>
  </si>
  <si>
    <t>300760283626261100200EUR201902180910410400</t>
  </si>
  <si>
    <t>RELEVE LCR DU  110219  CONFORME</t>
  </si>
  <si>
    <t>300760283626261100200EUR201902186316855300</t>
  </si>
  <si>
    <t>VIR TRESORERIE HENIN BEAUMON</t>
  </si>
  <si>
    <t>FAC. AF205-3 DU 30/11/2018SIT 3</t>
  </si>
  <si>
    <t>300760283626261100200EUR201902156333934900</t>
  </si>
  <si>
    <t>PRLV B2B CONGES INTEMPERIES BTP</t>
  </si>
  <si>
    <t>300760283626261100200EUR201902159222708000</t>
  </si>
  <si>
    <t>300760283626261100200EUR201902151073141800</t>
  </si>
  <si>
    <t>CB 548222 AMENDE PVE  35RENNES</t>
  </si>
  <si>
    <t>300760283626261100200EUR201902156339942500</t>
  </si>
  <si>
    <t>300760283626261100200EUR201902150910911000</t>
  </si>
  <si>
    <t>RELEVE LCR DU  080219  CONFORME</t>
  </si>
  <si>
    <t>300760283626261100200EUR201902140292128500</t>
  </si>
  <si>
    <t>E-VIR SEPA Loyer</t>
  </si>
  <si>
    <t>300760283626261100200EUR201902141074499200</t>
  </si>
  <si>
    <t>300760283626261100200EUR201902141073012200</t>
  </si>
  <si>
    <t>300760283626261100200EUR201902141074499100</t>
  </si>
  <si>
    <t>CB 454106 RELAIS ARRA 62ARRAS CE</t>
  </si>
  <si>
    <t>300760283626261100200EUR201902131079131900</t>
  </si>
  <si>
    <t>300760283626261100200EUR201902121070789100</t>
  </si>
  <si>
    <t>CB 454106 FOUR D ANNA 59VILLENEU</t>
  </si>
  <si>
    <t>300760283626261100200EUR201902121070789000</t>
  </si>
  <si>
    <t>CB 548222 CARREFOUR V 59AULNOY L</t>
  </si>
  <si>
    <t>300760283626261100200EUR201902126317075200</t>
  </si>
  <si>
    <t>FAC NoAF241-2 DU 31/12/2018VILLE</t>
  </si>
  <si>
    <t xml:space="preserve">No </t>
  </si>
  <si>
    <t>Libellé 1</t>
  </si>
  <si>
    <t>Libellé 2</t>
  </si>
  <si>
    <t>Carburant</t>
  </si>
  <si>
    <t>Resto</t>
  </si>
  <si>
    <t>Loyer</t>
  </si>
  <si>
    <t>Salaire</t>
  </si>
  <si>
    <t>Frais de banque</t>
  </si>
  <si>
    <t>Informatique</t>
  </si>
  <si>
    <t>Huon</t>
  </si>
  <si>
    <t>Brico depot</t>
  </si>
  <si>
    <t>Dessenne</t>
  </si>
  <si>
    <t>France galva</t>
  </si>
  <si>
    <t>Prêt Voiture</t>
  </si>
  <si>
    <t>Rbst Treso</t>
  </si>
  <si>
    <t>Hedon</t>
  </si>
  <si>
    <t>Divers Administration</t>
  </si>
  <si>
    <t>Assurance</t>
  </si>
  <si>
    <t>SFEC</t>
  </si>
  <si>
    <t>Charges sociales</t>
  </si>
  <si>
    <t>Speed Laser</t>
  </si>
  <si>
    <t>Déplacement</t>
  </si>
  <si>
    <t>TVA</t>
  </si>
  <si>
    <t>Air Liquide</t>
  </si>
  <si>
    <t>Foussier</t>
  </si>
  <si>
    <t>Meurant</t>
  </si>
  <si>
    <t>Trenois</t>
  </si>
  <si>
    <t>Fabory</t>
  </si>
  <si>
    <t>Amendes</t>
  </si>
  <si>
    <t>D'halluin</t>
  </si>
  <si>
    <t>CIR Caillebotis</t>
  </si>
  <si>
    <t>Laser Performance</t>
  </si>
  <si>
    <t>LeLorrain</t>
  </si>
  <si>
    <t>Ramery</t>
  </si>
  <si>
    <t>TSR</t>
  </si>
  <si>
    <t>Woood</t>
  </si>
  <si>
    <t>Akzonobel</t>
  </si>
  <si>
    <t>Subvention</t>
  </si>
  <si>
    <t>Valoutil</t>
  </si>
  <si>
    <t>Dimatex</t>
  </si>
  <si>
    <t>Cloture du Douaisis</t>
  </si>
  <si>
    <t>Hoornaert</t>
  </si>
  <si>
    <t>Atelier Du Verre</t>
  </si>
  <si>
    <t>Unsteel</t>
  </si>
  <si>
    <t>Leroy Merlin</t>
  </si>
  <si>
    <t>Tubolaser</t>
  </si>
  <si>
    <t>LD access</t>
  </si>
  <si>
    <t>Dardenne peintures</t>
  </si>
  <si>
    <t>Legallais</t>
  </si>
  <si>
    <t>Dematis</t>
  </si>
  <si>
    <t>Siligom</t>
  </si>
  <si>
    <t>Lefebvre Christian Ets.</t>
  </si>
  <si>
    <t>SJD batiment</t>
  </si>
  <si>
    <t>Metaux Express</t>
  </si>
  <si>
    <t xml:space="preserve">REMISE CHEQUES                  </t>
  </si>
  <si>
    <t>E-VIR SEPA LD ACCESS</t>
  </si>
  <si>
    <t>CHEQUE  N 1000066</t>
  </si>
  <si>
    <t>INFORMATION CAUTION</t>
  </si>
  <si>
    <t>Pietement</t>
  </si>
  <si>
    <t>Rejet Virement</t>
  </si>
  <si>
    <t>Remboursement</t>
  </si>
  <si>
    <t>Rbst Frais de banque</t>
  </si>
  <si>
    <t>Rbst TVA</t>
  </si>
  <si>
    <t>Treso</t>
  </si>
  <si>
    <t>Financement</t>
  </si>
  <si>
    <t>Entretien</t>
  </si>
  <si>
    <t>Rbst CCA Etienne</t>
  </si>
  <si>
    <t>Profilclo</t>
  </si>
  <si>
    <t>Kdi</t>
  </si>
  <si>
    <t>Salti</t>
  </si>
  <si>
    <t>MCB Ménage</t>
  </si>
  <si>
    <t>Tollens</t>
  </si>
  <si>
    <t>Levanor</t>
  </si>
  <si>
    <t>Carglass</t>
  </si>
  <si>
    <t>Leascorp SW</t>
  </si>
  <si>
    <t>Kiloutou</t>
  </si>
  <si>
    <t>Go Tronic</t>
  </si>
  <si>
    <t>Glassolutions</t>
  </si>
  <si>
    <t>Sud Loire Service</t>
  </si>
  <si>
    <t>Lobel</t>
  </si>
  <si>
    <t>Auger structure</t>
  </si>
  <si>
    <t>TS métaux</t>
  </si>
  <si>
    <t>Nord Laser Tube</t>
  </si>
  <si>
    <t>Picard serrure</t>
  </si>
  <si>
    <t>SAFE</t>
  </si>
  <si>
    <t>123Roulement</t>
  </si>
  <si>
    <t>BBA Embalages</t>
  </si>
  <si>
    <t>Morisaux Scierie</t>
  </si>
  <si>
    <t>OAP</t>
  </si>
  <si>
    <t>Technicoupe</t>
  </si>
  <si>
    <t>Castorama</t>
  </si>
  <si>
    <t>Diamond</t>
  </si>
  <si>
    <t>Carniere Defossez</t>
  </si>
  <si>
    <t>Mayelle</t>
  </si>
  <si>
    <t>ESC Europe Sanitaire Chauffage</t>
  </si>
  <si>
    <t>Emile Maurin</t>
  </si>
  <si>
    <t>ACGR</t>
  </si>
  <si>
    <t>Racetools</t>
  </si>
  <si>
    <t>Materiaux Du Bavaisis</t>
  </si>
  <si>
    <t>Ergalis</t>
  </si>
  <si>
    <t>David Vincent Soudure</t>
  </si>
  <si>
    <t>Master Outillage</t>
  </si>
  <si>
    <t>Vaco</t>
  </si>
  <si>
    <t>Comey</t>
  </si>
  <si>
    <t>Vente privé</t>
  </si>
  <si>
    <t>Rexel</t>
  </si>
  <si>
    <t>Couleur De Tollens</t>
  </si>
  <si>
    <t>Davo</t>
  </si>
  <si>
    <t>Gaines Thermoretractables</t>
  </si>
  <si>
    <t>Europodium</t>
  </si>
  <si>
    <t>JV Batiment</t>
  </si>
  <si>
    <t>Bossu Cuvelier</t>
  </si>
  <si>
    <t>France Air</t>
  </si>
  <si>
    <t>Samaro</t>
  </si>
  <si>
    <t>Le Comptoir Marsault</t>
  </si>
  <si>
    <t>Dibon</t>
  </si>
  <si>
    <t>Compagnons du Devoir</t>
  </si>
  <si>
    <t>Recette</t>
  </si>
  <si>
    <t>Depense</t>
  </si>
  <si>
    <t>Fournisseurs</t>
  </si>
  <si>
    <t>Vdsq Thery</t>
  </si>
  <si>
    <t>Tsr</t>
  </si>
  <si>
    <t>Péage</t>
  </si>
  <si>
    <t>Brico Depot</t>
  </si>
  <si>
    <t>Atelier du Verre</t>
  </si>
  <si>
    <t>Design production</t>
  </si>
  <si>
    <t>Google</t>
  </si>
  <si>
    <t>Repro Center</t>
  </si>
  <si>
    <t>Courrieres Harmonie</t>
  </si>
  <si>
    <t>Arras Vds</t>
  </si>
  <si>
    <t>Prêt voiture</t>
  </si>
  <si>
    <t>Prêt equip</t>
  </si>
  <si>
    <t>Prêt treso</t>
  </si>
  <si>
    <t>Sncf</t>
  </si>
  <si>
    <t>La Poste</t>
  </si>
  <si>
    <t>300760283626261100200EUR201903271076973200</t>
  </si>
  <si>
    <t>300760283626261100200EUR201903276333073800</t>
  </si>
  <si>
    <t>TVA1-032019-3310CA3</t>
  </si>
  <si>
    <t>300760283626261100200EUR201903278300790700</t>
  </si>
  <si>
    <t>300760283626261100200EUR201903280290692500</t>
  </si>
  <si>
    <t>300760283626261100200EUR201903280290692600</t>
  </si>
  <si>
    <t>E-VIR SEPA Salaire Hutin 03/19</t>
  </si>
  <si>
    <t>300760283626261100200EUR201903280290692700</t>
  </si>
  <si>
    <t>E-VIR SEPA Salaire Lefort 03/19</t>
  </si>
  <si>
    <t>300760283626261100200EUR201903280290692800</t>
  </si>
  <si>
    <t>E-VIR SEPA Salaire Gournay 03/19</t>
  </si>
  <si>
    <t>300760283626261100200EUR201903281078667500</t>
  </si>
  <si>
    <t>CB 454106 PIZZA   PAS 59BAVAY</t>
  </si>
  <si>
    <t>300760283626261100200EUR201903291524258100</t>
  </si>
  <si>
    <t>300760283626261100200EUR201903293351503500</t>
  </si>
  <si>
    <t>300760283626261100200EUR201903296318870100</t>
  </si>
  <si>
    <t>FAC. AF250-1 DU 28/02/2019REGLET</t>
  </si>
  <si>
    <t>300760283626261100200EUR201903296318870600</t>
  </si>
  <si>
    <t>FAC. situation 7 DU 12/03/2019LO</t>
  </si>
  <si>
    <t>300760283626261100200EUR201903296318871100</t>
  </si>
  <si>
    <t>FAC. AF249-1 DU 28/02/2019TABLEA</t>
  </si>
  <si>
    <t>300760283626261100200EUR201903299224983200</t>
  </si>
  <si>
    <t>300760283626261100200EUR201903299224983300</t>
  </si>
  <si>
    <t>300760283626261100200EUR201903299224983400</t>
  </si>
  <si>
    <t>300760283626261100200EUR201903299224983500</t>
  </si>
  <si>
    <t>300760283626261100200EUR201904010292490900</t>
  </si>
  <si>
    <t>E-VIR SEPA Salaire Alex 03/2019</t>
  </si>
  <si>
    <t>300760283626261100200EUR201904010912015100</t>
  </si>
  <si>
    <t>RELEVE LCR DU  250319  CONFORME</t>
  </si>
  <si>
    <t>300760283626261100200EUR201904011072636500</t>
  </si>
  <si>
    <t>CB 454106 GERSTEP     59WASQUEHA</t>
  </si>
  <si>
    <t>300760283626261100200EUR201904016312451200</t>
  </si>
  <si>
    <t>087402054 TPEJ TPE-JA04068122740</t>
  </si>
  <si>
    <t>300760283626261100200EUR201904019350908200</t>
  </si>
  <si>
    <t>OPERATION SUR CAUTION</t>
  </si>
  <si>
    <t>300760283626261100200EUR201904026330235500</t>
  </si>
  <si>
    <t>PRLV SEPA LEASECOM</t>
  </si>
  <si>
    <t>LP2728359/218L87051, date echean</t>
  </si>
  <si>
    <t>Ld Access</t>
  </si>
  <si>
    <t>Solidworks</t>
  </si>
  <si>
    <t>Categorie</t>
  </si>
  <si>
    <t>Client</t>
  </si>
  <si>
    <t>Alex Maçon</t>
  </si>
  <si>
    <t>Conforti</t>
  </si>
  <si>
    <t>Ville de Lille</t>
  </si>
  <si>
    <t>Deco Menuiserie</t>
  </si>
  <si>
    <t>Mayelle Leroy</t>
  </si>
  <si>
    <t>AF213-2 Porte de cave Leroy</t>
  </si>
  <si>
    <t>Porte noms Arras</t>
  </si>
  <si>
    <t>MCB</t>
  </si>
  <si>
    <t>Rbst Acompte Cloture Arras</t>
  </si>
  <si>
    <t>Date enc</t>
  </si>
  <si>
    <t>Carrefour</t>
  </si>
  <si>
    <t>Location Camion Arras</t>
  </si>
  <si>
    <t>Facturation</t>
  </si>
  <si>
    <t>300760283626261100200EUR201904010290684400</t>
  </si>
  <si>
    <t>E-VIR SEPA Salaire Etienne 03/20</t>
  </si>
  <si>
    <t>300760283626261100200EUR201904010290684500</t>
  </si>
  <si>
    <t>E-VIR SEPA Siligom Berlingo 1950</t>
  </si>
  <si>
    <t>300760283626261100200EUR201904010290684600</t>
  </si>
  <si>
    <t>E-VIR SEPA Metaux Express Anor</t>
  </si>
  <si>
    <t>300760283626261100200EUR201904010290684700</t>
  </si>
  <si>
    <t>E-VIR SEPA Dimatex Loc poste TIG</t>
  </si>
  <si>
    <t>300760283626261100200EUR201904010290684800</t>
  </si>
  <si>
    <t>E-VIR SEPA Dessenne Inox+Pied De</t>
  </si>
  <si>
    <t>300760283626261100200EUR201904010290684900</t>
  </si>
  <si>
    <t>E-VIR SEPA Dimatex fournitures</t>
  </si>
  <si>
    <t>300760283626261100200EUR201904010290685000</t>
  </si>
  <si>
    <t>E-VIR SEPA Dessenne Tableau Vell</t>
  </si>
  <si>
    <t>300760283626261100200EUR201904020296209200</t>
  </si>
  <si>
    <t>E-VIR SEPA Dematis</t>
  </si>
  <si>
    <t>300760283626261100200EUR201904020296209300</t>
  </si>
  <si>
    <t>E-VIR SEPA Lefevre prorata Anor</t>
  </si>
  <si>
    <t>300760283626261100200EUR201904020296209400</t>
  </si>
  <si>
    <t>E-VIR SEPA Ramery prorata Arras</t>
  </si>
  <si>
    <t>300760283626261100200EUR201904021072392200</t>
  </si>
  <si>
    <t>CB 454106 BOULANGERIE 59FERRIERE</t>
  </si>
  <si>
    <t>300760283626261100200EUR201904029229138500</t>
  </si>
  <si>
    <t>300760283626261100200EUR201904029229138600</t>
  </si>
  <si>
    <t>300760283626261100200EUR201904029229138700</t>
  </si>
  <si>
    <t>300760283626261100200EUR201904029229138800</t>
  </si>
  <si>
    <t>300760283626261100200EUR201904029229138900</t>
  </si>
  <si>
    <t>300760283626261100200EUR201904029229139000</t>
  </si>
  <si>
    <t>300760283626261100200EUR201904029229139100</t>
  </si>
  <si>
    <t>300760283626261100200EUR201904029229139200</t>
  </si>
  <si>
    <t>300760283626261100200EUR201904029229139300</t>
  </si>
  <si>
    <t>300760283626261100200EUR201904030619874400</t>
  </si>
  <si>
    <t>INTERETS-FRAIS/ARRETE DE COMPTE</t>
  </si>
  <si>
    <t>300760283626261100200EUR201904030842634000</t>
  </si>
  <si>
    <t>300760283626261100200EUR201904031079601800</t>
  </si>
  <si>
    <t>300760283626261100200EUR201904031079601900</t>
  </si>
  <si>
    <t>300760283626261100200EUR201904031079602000</t>
  </si>
  <si>
    <t>300760283626261100200EUR201904033360983400</t>
  </si>
  <si>
    <t>CHEQUE  N 1000067</t>
  </si>
  <si>
    <t>300760283626261100200EUR201904035810731100</t>
  </si>
  <si>
    <t>ASSURANCE EMPRUNTEUR</t>
  </si>
  <si>
    <t>300760283626261100200EUR201904039224477200</t>
  </si>
  <si>
    <t>300760283626261100200EUR201904039224477300</t>
  </si>
  <si>
    <t>300760283626261100200EUR201904039224477400</t>
  </si>
  <si>
    <t>300760283626261100200EUR201904046312808700</t>
  </si>
  <si>
    <t>FAC NoAF241-4 DU 28/02/2019VILLE</t>
  </si>
  <si>
    <t>300760283626261100200EUR201904046317210000</t>
  </si>
  <si>
    <t>VIR MOUCHIE CONCEPT BOIS</t>
  </si>
  <si>
    <t>300760283626261100200EUR201904046335287400</t>
  </si>
  <si>
    <t>300760283626261100200EUR201904056313048100</t>
  </si>
  <si>
    <t>FAC. AF250-2 DU 19/03/2019REGLET</t>
  </si>
  <si>
    <t>Description</t>
  </si>
  <si>
    <t>Banque +</t>
  </si>
  <si>
    <t>Banque -</t>
  </si>
  <si>
    <t>Compta +</t>
  </si>
  <si>
    <t>Compta -</t>
  </si>
  <si>
    <t>Balance</t>
  </si>
  <si>
    <t>X</t>
  </si>
  <si>
    <t>ComptaBanque -</t>
  </si>
  <si>
    <t>ComptaBanque +</t>
  </si>
  <si>
    <t>Salaire Alex Avril 2018</t>
  </si>
  <si>
    <t>Prorata</t>
  </si>
  <si>
    <t>F Banque -</t>
  </si>
  <si>
    <t>F Banque +</t>
  </si>
  <si>
    <t>F Compta -</t>
  </si>
  <si>
    <t>F Compta +</t>
  </si>
  <si>
    <t>T Compta -</t>
  </si>
  <si>
    <t>T Compta +</t>
  </si>
  <si>
    <t>Solde</t>
  </si>
  <si>
    <t> 02836 262611 0104 00 5 831,16 EUR</t>
  </si>
  <si>
    <t> 02836 262611 0138 00FIN DE PRET: 03/2020</t>
  </si>
  <si>
    <t> CB 454106 GERSTEP 59WASQUEHA LE 0802</t>
  </si>
  <si>
    <t> CB 454106 CARREFOUR D 59AULNOY L LE 0802</t>
  </si>
  <si>
    <t> CB 548222 BOULANGERIE 62BEAURAIN LE 0602</t>
  </si>
  <si>
    <t> CB 548222 BRICO DEPOT 62BEAURAIN LE 0602</t>
  </si>
  <si>
    <t> CB 548222 BRICO DEPOT 59AULNOY L LE 0602</t>
  </si>
  <si>
    <t> INTERNET PRO (GRATUIT AVEC C.ALLIANCE)</t>
  </si>
  <si>
    <t> CB 454106 SANEF 2901- 60SENLIS C LE 0402</t>
  </si>
  <si>
    <t> CB 548222 BRICO DEPOT 59AULNOY L LE 0502</t>
  </si>
  <si>
    <t> CB 548222 REXEL 59LA SENTI LE 0502</t>
  </si>
  <si>
    <t> CB 548222 CARREFOUR D 59AULNOY L LE 0502</t>
  </si>
  <si>
    <t> PRLV SEPA Google Ireland Limited</t>
  </si>
  <si>
    <t> Motif : APPS COMMERCE:le-metal.net:GG101PA7</t>
  </si>
  <si>
    <t> VIR TRESORERIE FOURMIES</t>
  </si>
  <si>
    <t> VIR SEPA SALAIRE MR ELOI GOURNAY</t>
  </si>
  <si>
    <t> VIR SEPA SALAIRE MAXIME LEFORT</t>
  </si>
  <si>
    <t> VIR SEPA SALAIRE LUDOVIC HUTIN</t>
  </si>
  <si>
    <t> COMMISSION D'INTERVENTION</t>
  </si>
  <si>
    <t> CB 454106 BURGER KING 59PETITE F LE 0102</t>
  </si>
  <si>
    <t> CB 454106 CARREFOUR D 59AULNOY L LE 0202</t>
  </si>
  <si>
    <t> RELEVE LCR DU 280119 CONFORME BAP</t>
  </si>
  <si>
    <t> CB 454106 GERSTEP 59WASQUEHA LE 3101</t>
  </si>
  <si>
    <t> 02836 262611 0138 01FIN DE PRET: 12/2020</t>
  </si>
  <si>
    <t> Motif : FACTURE AF231-2 ANOR</t>
  </si>
  <si>
    <t>Anor Médiathèque</t>
  </si>
  <si>
    <t>Speed laser</t>
  </si>
  <si>
    <t>AF257-1 Foramtion villeneuve d'Ascq</t>
  </si>
  <si>
    <t>AF241-5 Thery situation 5</t>
  </si>
  <si>
    <t>AF256-1 MO Lemyze</t>
  </si>
  <si>
    <t>AF231-4 Anor situation 4</t>
  </si>
  <si>
    <t>Constructys</t>
  </si>
  <si>
    <t>AF255-2 Aide Maxime 01.02.03/2019</t>
  </si>
  <si>
    <t>AF255-1 Aide Maxime 09.10.11.12/2018</t>
  </si>
  <si>
    <t>AF250-2 Réglettes affichage</t>
  </si>
  <si>
    <t>300760283626261100200EUR2019020101</t>
  </si>
  <si>
    <t>300760283626261100200EUR2019020402</t>
  </si>
  <si>
    <t>300760283626261100200EUR2019020403</t>
  </si>
  <si>
    <t>300760283626261100200EUR2019020404</t>
  </si>
  <si>
    <t>300760283626261100200EUR2019020401</t>
  </si>
  <si>
    <t>300760283626261100200EUR2019020501</t>
  </si>
  <si>
    <t>300760283626261100200EUR2019020502</t>
  </si>
  <si>
    <t>300760283626261100200EUR2019020503</t>
  </si>
  <si>
    <t>300760283626261100200EUR2019020601</t>
  </si>
  <si>
    <t>300760283626261100200EUR2019020602</t>
  </si>
  <si>
    <t>300760283626261100200EUR2019020603</t>
  </si>
  <si>
    <t>300760283626261100200EUR2019020604</t>
  </si>
  <si>
    <t>300760283626261100200EUR2019020605</t>
  </si>
  <si>
    <t>300760283626261100200EUR2019020606</t>
  </si>
  <si>
    <t>300760283626261100200EUR2019020607</t>
  </si>
  <si>
    <t>300760283626261100200EUR2019020701</t>
  </si>
  <si>
    <t>300760283626261100200EUR2019020702</t>
  </si>
  <si>
    <t>300760283626261100200EUR2019020703</t>
  </si>
  <si>
    <t>300760283626261100200EUR2019021101</t>
  </si>
  <si>
    <t>300760283626261100200EUR2019021102</t>
  </si>
  <si>
    <t>300760283626261100200EUR2019021103</t>
  </si>
  <si>
    <t>300760283626261100200EUR2019021104</t>
  </si>
  <si>
    <t>300760283626261100200EUR2019021105</t>
  </si>
  <si>
    <t>TVA Enc</t>
  </si>
  <si>
    <t>TVA Deb</t>
  </si>
  <si>
    <t>TVA Diff</t>
  </si>
  <si>
    <t>FA5710  RDP 122</t>
  </si>
  <si>
    <t>FA5709  RDP 121</t>
  </si>
  <si>
    <t>FA5708  RDP 119</t>
  </si>
  <si>
    <t>FA5707  RDP 118</t>
  </si>
  <si>
    <t>F.3524 bouchons oreilles - disque tronçonner</t>
  </si>
  <si>
    <t xml:space="preserve">FA91961  </t>
  </si>
  <si>
    <t>Design Production</t>
  </si>
  <si>
    <t>FAS005033  Inox MC interieur Thery</t>
  </si>
  <si>
    <t>F.52178  Thery (portails + cloture)</t>
  </si>
  <si>
    <t xml:space="preserve">F.955186459 </t>
  </si>
  <si>
    <t>F.52229 Arras (boites aux lettres + MC exterieur esca. principal)</t>
  </si>
  <si>
    <t>F.LO2760817/218L87051 assurance contrat SW</t>
  </si>
  <si>
    <t xml:space="preserve">F.1903357 </t>
  </si>
  <si>
    <t xml:space="preserve">F.9187186 </t>
  </si>
  <si>
    <t>F.FC209103 Livraison escalier Anor + pose</t>
  </si>
  <si>
    <t>F.8770104 (porte Arras 865HT + 190HT)</t>
  </si>
  <si>
    <t>meurant</t>
  </si>
  <si>
    <t>F.T100340 panneau Hevea escalier concept-ty</t>
  </si>
  <si>
    <t xml:space="preserve">F.FAL09067 </t>
  </si>
  <si>
    <t>AF254-1 Pied de table (descompte dette) 540€</t>
  </si>
  <si>
    <t>Pietement  (descompte dette) 432€</t>
  </si>
  <si>
    <t>Support Bruno  (descompte dette) 72€</t>
  </si>
  <si>
    <t>300760283626261100200EUR201904081074835700</t>
  </si>
  <si>
    <t>300760283626261100200EUR201904090910231000</t>
  </si>
  <si>
    <t>RELEVE LCR DU  020419  CONFORME</t>
  </si>
  <si>
    <t>300760283626261100200EUR201904096315265700</t>
  </si>
  <si>
    <t>VIR CONSTRUCTYS</t>
  </si>
  <si>
    <t>3118008994-QS METALLIER NIVEAU 3</t>
  </si>
  <si>
    <t>300760283626261100200EUR201904100910562200</t>
  </si>
  <si>
    <t>RELEVE LCR DU  030419  CONFORME</t>
  </si>
  <si>
    <t>300760283626261100200EUR201904101071707600</t>
  </si>
  <si>
    <t>300760283626261100200EUR201904101075720600</t>
  </si>
  <si>
    <t>CB 454106 N 60 SPRL     FRASNES-</t>
  </si>
  <si>
    <t>300760283626261100200EUR201904102330580700</t>
  </si>
  <si>
    <t>300760283626261100200EUR201904102333837500</t>
  </si>
  <si>
    <t>300760283626261100200EUR201904105810149800</t>
  </si>
  <si>
    <t>300760283626261100200EUR201904105810150000</t>
  </si>
  <si>
    <t>300760283626261100200EUR201904105812866500</t>
  </si>
  <si>
    <t>02836 262611 0104 00  6 304,42 E</t>
  </si>
  <si>
    <t>300760283626261100200EUR201904111070074500</t>
  </si>
  <si>
    <t>CB 454106 LE VENEZIA  62ARRAS</t>
  </si>
  <si>
    <t>HUON</t>
  </si>
  <si>
    <t>F.FA919842  Maillard caves + Raismes escalier principal</t>
  </si>
  <si>
    <t>fabory</t>
  </si>
  <si>
    <t xml:space="preserve">F.919027913 </t>
  </si>
  <si>
    <t>F.919029374</t>
  </si>
  <si>
    <t>F.919028763</t>
  </si>
  <si>
    <t xml:space="preserve">F.52338 </t>
  </si>
  <si>
    <t>300760283626261100200EUR201904120292513500</t>
  </si>
  <si>
    <t>E-VIR SEPA France Galva</t>
  </si>
  <si>
    <t>300760283626261100200EUR201904120292513600</t>
  </si>
  <si>
    <t>300760283626261100200EUR201904121075665100</t>
  </si>
  <si>
    <t>CB 548222 ESSO PILATE 59WASQUEHA</t>
  </si>
  <si>
    <t>300760283626261100200EUR201904121075665200</t>
  </si>
  <si>
    <t>300760283626261100200EUR201904123375040900</t>
  </si>
  <si>
    <t>CHEQUE  N 1000068</t>
  </si>
  <si>
    <t>300760283626261100200EUR201904150911059300</t>
  </si>
  <si>
    <t>RELEVE LCR DU  080419  CONFORME</t>
  </si>
  <si>
    <t>300760283626261100200EUR201904151073090600</t>
  </si>
  <si>
    <t>300760283626261100200EUR201904151073250400</t>
  </si>
  <si>
    <t>300760283626261100200EUR201904156333727800</t>
  </si>
  <si>
    <t>300760283626261100200EUR201904156334906400</t>
  </si>
  <si>
    <t>LO2760817/218L87051, date echean</t>
  </si>
  <si>
    <t>300760283626261100200EUR201904159223352500</t>
  </si>
  <si>
    <t>300760283626261100200EUR201904159223352600</t>
  </si>
  <si>
    <t>300760283626261100200EUR201904160910254200</t>
  </si>
  <si>
    <t>RELEVE LCR DU  090419  CONFORME</t>
  </si>
  <si>
    <t>300760283626261100200EUR201904161071901100</t>
  </si>
  <si>
    <t>300760283626261100200EUR201904166330805500</t>
  </si>
  <si>
    <t>UR 317000001020473292    MARS197</t>
  </si>
  <si>
    <t>300760283626261100200EUR201904171072952000</t>
  </si>
  <si>
    <t>CB 454106 K0679       59LEZENNES</t>
  </si>
  <si>
    <t>300760283626261100200EUR201904171078942600</t>
  </si>
  <si>
    <t>CB 454106 SANEF 0904- 60SENLIS</t>
  </si>
  <si>
    <t>300760283626261100200EUR201904181076047400</t>
  </si>
  <si>
    <t>CB 548222 GOOGLE *GOO GB   9,99</t>
  </si>
  <si>
    <t>300760283626261100200EUR201904231074478700</t>
  </si>
  <si>
    <t>CB 454106 BOUL PROUVY 59PROUVY</t>
  </si>
  <si>
    <t>F.0306/19 pliage tôle Thery + pliage tôles larmées Anor (x2)</t>
  </si>
  <si>
    <t>300760283626261100200EUR201904241079632900</t>
  </si>
  <si>
    <t>300760283626261100200EUR201904241079633000</t>
  </si>
  <si>
    <t>300760283626261100200EUR201904241079633100</t>
  </si>
  <si>
    <t>300760283626261100200EUR201904246330737800</t>
  </si>
  <si>
    <t>PASDSN15042019-032019-7945135310</t>
  </si>
  <si>
    <t>300760283626261100200EUR201904251077308300</t>
  </si>
  <si>
    <t>300760283626261100200EUR201904251077308400</t>
  </si>
  <si>
    <t>300760283626261100200EUR201904260292924500</t>
  </si>
  <si>
    <t>E-VIR SEPA Hoornaert mars</t>
  </si>
  <si>
    <t>300760283626261100200EUR201904261075198200</t>
  </si>
  <si>
    <t>CB 548222 QUINCAILLER 80AMIENS</t>
  </si>
  <si>
    <t>300760283626261100200EUR201904261075198300</t>
  </si>
  <si>
    <t>CB 548222 BRASSERIE D 80AMIENS</t>
  </si>
  <si>
    <t>300760283626261100200EUR201904291075959800</t>
  </si>
  <si>
    <t>300760283626261100200EUR201904296330240600</t>
  </si>
  <si>
    <t>TVA1-042019-3310CA3</t>
  </si>
  <si>
    <t>300760283626261100200EUR201904299224466100</t>
  </si>
  <si>
    <t>300760283626261100200EUR201904300911960600</t>
  </si>
  <si>
    <t>RELEVE LCR DU  230419  CONFORME</t>
  </si>
  <si>
    <t>300760283626261100200EUR201904306338845000</t>
  </si>
  <si>
    <t>PRLV SEPA PROBTP RETRAITE-PRO BT</t>
  </si>
  <si>
    <t>CNRO 71353254.4304042 DU 260419</t>
  </si>
  <si>
    <t>300760283626261100200EUR201904306339549400</t>
  </si>
  <si>
    <t>PRLV SEPA PROBTP ADP-PRO BTP</t>
  </si>
  <si>
    <t>CNRO 71353254.4304007 DU 300419</t>
  </si>
  <si>
    <t>Quincaillerie Picarde</t>
  </si>
  <si>
    <t>300760283626261100200EUR201904290290664400</t>
  </si>
  <si>
    <t>E-VIR SEPA Glass solution 05/201</t>
  </si>
  <si>
    <t>300760283626261100200EUR201904301076676600</t>
  </si>
  <si>
    <t>300760283626261100200EUR201904301076676700</t>
  </si>
  <si>
    <t>300760283626261100200EUR201904309227139700</t>
  </si>
  <si>
    <t>Saint Gobain</t>
  </si>
  <si>
    <t>F.52434 escalier Anor + stockage Maillard + transport</t>
  </si>
  <si>
    <t>F.19250 Gdc Mcb</t>
  </si>
  <si>
    <t>F.19249 Ferme d'en haut</t>
  </si>
  <si>
    <t>FA6107 15.92TTC + FA6106 115.44TTC + FA6105 360.28TTC    LCR</t>
  </si>
  <si>
    <t>FA920486  Local Poubelle + long separatif courette  Maillard</t>
  </si>
  <si>
    <t>F.3595 Manchette + bandeaux</t>
  </si>
  <si>
    <t xml:space="preserve">FAL09136 Töle Alu porte MCB + ? </t>
  </si>
  <si>
    <t>F19040956  stock foret + tarauds + outils</t>
  </si>
  <si>
    <t xml:space="preserve">Citroen </t>
  </si>
  <si>
    <t>F.313316 clé Berlingo  (Remboursement ?)</t>
  </si>
  <si>
    <t>F.03-JJS891 Meuleuse + ecrou serrage</t>
  </si>
  <si>
    <t>JK Technic</t>
  </si>
  <si>
    <t>FA042496 caillebotis portails + cloture Thery</t>
  </si>
  <si>
    <t>Location camion porte de cave Leroy</t>
  </si>
  <si>
    <t xml:space="preserve">Brico depot </t>
  </si>
  <si>
    <t>Colle PU + serre joint pompe</t>
  </si>
  <si>
    <t>AF258-1 MCB structure + MO</t>
  </si>
  <si>
    <t>mcB</t>
  </si>
  <si>
    <t>AF241-6 Thery situation 6 / Solde</t>
  </si>
  <si>
    <t>Trenois decamps</t>
  </si>
  <si>
    <t>F.8823096  Pack metallier visseuse + perfo + meuleuse Fein</t>
  </si>
  <si>
    <t>STTN</t>
  </si>
  <si>
    <t>AF259-1  Tôle + moulure portails Lille (autoliquidation TVA)</t>
  </si>
  <si>
    <t>CAPH</t>
  </si>
  <si>
    <t>AF196-5  Avancement escalier intérieur</t>
  </si>
  <si>
    <t>LMH</t>
  </si>
  <si>
    <t>AF234-2  Avancement separatif en caves</t>
  </si>
  <si>
    <t>Leroy Hegginger</t>
  </si>
  <si>
    <t>AF213-3  Solde porte de Cave</t>
  </si>
  <si>
    <t>AF233-8  Arras Portails + cloture + BAL + porte vide sanitaire</t>
  </si>
  <si>
    <t>F.19251 Main courantes Thery Int. + Pied Maxime + Tôle STTN</t>
  </si>
  <si>
    <t>F.955265378</t>
  </si>
  <si>
    <t>F.1904309</t>
  </si>
  <si>
    <t>F.T12420325</t>
  </si>
  <si>
    <t>F.03-JMT213 Lames de scie x5 + 2 gratuites</t>
  </si>
  <si>
    <t>300760283626261100200EUR201905021070344000</t>
  </si>
  <si>
    <t>CB 548222 SANEF 2304- 60SENLIS</t>
  </si>
  <si>
    <t>300760283626261100200EUR201905021070344100</t>
  </si>
  <si>
    <t>CB 454106 AGENCE CITR 59BAVAY</t>
  </si>
  <si>
    <t>300760283626261100200EUR201905021070344200</t>
  </si>
  <si>
    <t>CB 454106 SANEF 2304- 60SENLIS</t>
  </si>
  <si>
    <t>300760283626261100200EUR201905028300921400</t>
  </si>
  <si>
    <t>300760283626261100200EUR201905030296058200</t>
  </si>
  <si>
    <t>E-VIR SEPA Salaire Hutin 04/2019</t>
  </si>
  <si>
    <t>300760283626261100200EUR201905030296058300</t>
  </si>
  <si>
    <t>E-VIR SEPA Salaire Lefort 04/201</t>
  </si>
  <si>
    <t>300760283626261100200EUR201905030296058400</t>
  </si>
  <si>
    <t>E-VIR SEPA Salaire Gournay 04/20</t>
  </si>
  <si>
    <t>300760283626261100200EUR201905030910355300</t>
  </si>
  <si>
    <t>RELEVE LCR DU  250419  CONFORME</t>
  </si>
  <si>
    <t>300760283626261100200EUR201905036333999600</t>
  </si>
  <si>
    <t>300760283626261100200EUR201905060842843200</t>
  </si>
  <si>
    <t>300760283626261100200EUR201905061073300100</t>
  </si>
  <si>
    <t>300760283626261100200EUR201905061073300200</t>
  </si>
  <si>
    <t>300760283626261100200EUR201905061073300300</t>
  </si>
  <si>
    <t>300760283626261100200EUR201905069227476000</t>
  </si>
  <si>
    <t>300760283626261100200EUR201905069227476100</t>
  </si>
  <si>
    <t>300760283626261100200EUR201905069227476200</t>
  </si>
  <si>
    <t>300760283626261100200EUR201905070910223500</t>
  </si>
  <si>
    <t>RELEVE LCR DU  290419  CONFORME</t>
  </si>
  <si>
    <t>300760283626261100200EUR201905071071661600</t>
  </si>
  <si>
    <t>CB 454106 BRICO DEPOT 59AULNOY L</t>
  </si>
  <si>
    <t>300760283626261100200EUR201905071079334700</t>
  </si>
  <si>
    <t>300760283626261100200EUR201905086318739800</t>
  </si>
  <si>
    <t>300760283626261100200EUR201905100910868900</t>
  </si>
  <si>
    <t>RELEVE LCR DU  030519  CONFORME</t>
  </si>
  <si>
    <t>300760283626261100200EUR201905101076362100</t>
  </si>
  <si>
    <t>300760283626261100200EUR201905102330644800</t>
  </si>
  <si>
    <t>300760283626261100200EUR201905102334719400</t>
  </si>
  <si>
    <t>300760283626261100200EUR201905105810418800</t>
  </si>
  <si>
    <t>300760283626261100200EUR201905105810419000</t>
  </si>
  <si>
    <t>300760283626261100200EUR201905105813200100</t>
  </si>
  <si>
    <t>02836 262611 0104 00  6 542,70 E</t>
  </si>
  <si>
    <t>300760283626261100200EUR201905130910436400</t>
  </si>
  <si>
    <t>RELEVE LCR DU  060519  CONFORME</t>
  </si>
  <si>
    <t>300760283626261100200EUR201905131078301500</t>
  </si>
  <si>
    <t>300760283626261100200EUR201905131078301600</t>
  </si>
  <si>
    <t>CB 548222 ESSO QUERCI 59LE QUESN</t>
  </si>
  <si>
    <t>300760283626261100200EUR201905131078301700</t>
  </si>
  <si>
    <t>CB 454106 CHEZ AHMED  59LE QUESN</t>
  </si>
  <si>
    <t>300760283626261100200EUR201905140292621300</t>
  </si>
  <si>
    <t>E-VIR SEPA Salaire Alex 04/2019</t>
  </si>
  <si>
    <t>300760283626261100200EUR201905140292621400</t>
  </si>
  <si>
    <t>E-VIR SEPA Salaire Etienne 04/20</t>
  </si>
  <si>
    <t>300760283626261100200EUR201905141078422800</t>
  </si>
  <si>
    <t>CB 548222 BRICO DEPOT 62BEAURAIN</t>
  </si>
  <si>
    <t>300760283626261100200EUR201905141078422900</t>
  </si>
  <si>
    <t>CB 548222 BOULANGERIE 62ST LAURE</t>
  </si>
  <si>
    <t>300760283626261100200EUR201905146311836000</t>
  </si>
  <si>
    <t>VIR TRESORERIE FOURMIES</t>
  </si>
  <si>
    <t>FACTURE AF231-4 DECISION  DEC 10</t>
  </si>
  <si>
    <t>300760283626261100200EUR201905148302100100</t>
  </si>
  <si>
    <t>300760283626261100200EUR201905150910929600</t>
  </si>
  <si>
    <t>RELEVE LCR DU  080519  CONFORME</t>
  </si>
  <si>
    <t>300760283626261100200EUR201905151078689100</t>
  </si>
  <si>
    <t>CB 548222 SANEF 0705- 60SENLIS C</t>
  </si>
  <si>
    <t>300760283626261100200EUR201905151078689200</t>
  </si>
  <si>
    <t>300760283626261100200EUR201905156318384900</t>
  </si>
  <si>
    <t>VIR SOGESSUR</t>
  </si>
  <si>
    <t>SI000000000994539</t>
  </si>
  <si>
    <t>300760283626261100200EUR201905156336600200</t>
  </si>
  <si>
    <t>300760283626261100200EUR201905156336758100</t>
  </si>
  <si>
    <t>300760283626261100200EUR201905159223020200</t>
  </si>
  <si>
    <t>300760283626261100200EUR201905159223020300</t>
  </si>
  <si>
    <t>300760283626261100200EUR201905161073307500</t>
  </si>
  <si>
    <t>CB 548222 EFFIA       59VALENCIE</t>
  </si>
  <si>
    <t>300760283626261100200EUR201905161078956100</t>
  </si>
  <si>
    <t>CB 454106 INFOGREFFE  94VINCENNE</t>
  </si>
  <si>
    <t>300760283626261100200EUR201905166316003300</t>
  </si>
  <si>
    <t>FAC NoAF241-5 DU 30/03/2019VILLE</t>
  </si>
  <si>
    <t>300760283626261100200EUR201905166336600700</t>
  </si>
  <si>
    <t>UR 317000001020473292    AVR 197</t>
  </si>
  <si>
    <t>300760283626261100200EUR201905170910263600</t>
  </si>
  <si>
    <t>RELEVE LCR DU  100519  CONFORME</t>
  </si>
  <si>
    <t xml:space="preserve">F.52537 </t>
  </si>
  <si>
    <t>F.919036514  ecrous maillard</t>
  </si>
  <si>
    <t>huon</t>
  </si>
  <si>
    <t>FA921083 grillage maillard + IPE Dias + tole noir sainghien</t>
  </si>
  <si>
    <t>CP du Douaisis</t>
  </si>
  <si>
    <t>F.201904308 Cloture Arras</t>
  </si>
  <si>
    <t xml:space="preserve">FAC1194  Marche HEVEA44 CAPH </t>
  </si>
  <si>
    <t>Bricard</t>
  </si>
  <si>
    <t>F.40159602 Culindres VdS</t>
  </si>
  <si>
    <t>caquant</t>
  </si>
  <si>
    <t>FC19CA050318 joint escalierCAPH                          Virement à faire</t>
  </si>
  <si>
    <t>300760283626261100200EUR201905171075104700</t>
  </si>
  <si>
    <t>300760283626261100200EUR201905178300538700</t>
  </si>
  <si>
    <t>300760283626261100200EUR201905201075133800</t>
  </si>
  <si>
    <t>300760283626261100200EUR201905201076359300</t>
  </si>
  <si>
    <t>CB 454106 LE NERVIEN  59BAVAY</t>
  </si>
  <si>
    <t>300760283626261100200EUR201905201076359400</t>
  </si>
  <si>
    <t>CB 548222 AUCHAN PETI 59PETITE F</t>
  </si>
  <si>
    <t>300760283626261100200EUR201905210292625500</t>
  </si>
  <si>
    <t>E-VIR SEPA Dessenne porte Leroy</t>
  </si>
  <si>
    <t>300760283626261100200EUR201905211070916400</t>
  </si>
  <si>
    <t>CB 454106 CHEVALIER S 59VALENCIE</t>
  </si>
  <si>
    <t>300760283626261100200EUR201905216314858300</t>
  </si>
  <si>
    <t>FAC. situation 8 DU 10/05/2019LO</t>
  </si>
  <si>
    <t>300760283626261100200EUR201905226336867000</t>
  </si>
  <si>
    <t>PASDSN15052019-042019-7945135310</t>
  </si>
  <si>
    <t>300760283626261100200EUR201905229222488400</t>
  </si>
  <si>
    <t>300760283626261100200EUR201905246317605600</t>
  </si>
  <si>
    <t>remboursement pInalitIs marchI 2</t>
  </si>
  <si>
    <t>300760283626261100200EUR201905246317606100</t>
  </si>
  <si>
    <t>FAC. AF205-4 DU 28/02/2019SIT 4</t>
  </si>
  <si>
    <t>AF264-1 formation paris x2</t>
  </si>
  <si>
    <t>AF262-1 Main courantes Inox Chopin</t>
  </si>
  <si>
    <t>Villeneuve d''ascq</t>
  </si>
  <si>
    <t>AF234-3 Maillard</t>
  </si>
  <si>
    <t>AF196-6 CAPH</t>
  </si>
  <si>
    <t>concept-ty</t>
  </si>
  <si>
    <t>AF263-1 Escalier Prouvy MABEO</t>
  </si>
  <si>
    <t>Sainghin en Melantois</t>
  </si>
  <si>
    <t>AF261-1 Tôles des maires x3</t>
  </si>
  <si>
    <t>AF260-1 Linteaux</t>
  </si>
  <si>
    <t>EIRL Dias vilela</t>
  </si>
  <si>
    <t>F.9318342 visserie</t>
  </si>
  <si>
    <t>F.FAL09225 tôles Inox CAPH</t>
  </si>
  <si>
    <t>F.1905006 Solde Prorata Thery</t>
  </si>
  <si>
    <t xml:space="preserve">F.FA921690 </t>
  </si>
  <si>
    <t>F.T101291 Hevea 33 3panneaux + bois palissade Maillard</t>
  </si>
  <si>
    <t>LK acier métal</t>
  </si>
  <si>
    <t>F.218159 MC InoX chopin</t>
  </si>
  <si>
    <t>SV cloture</t>
  </si>
  <si>
    <t>F.FAC190102 Beton MC Chopin / AUTOLIQUIDATION / Cheque</t>
  </si>
  <si>
    <t>F.FA6432  RDP 128+130+131+133  LCR Total</t>
  </si>
  <si>
    <t>F.FAC1194 marches escalier CAPH</t>
  </si>
  <si>
    <t>F.52679  Local poubelle Maillard</t>
  </si>
  <si>
    <t xml:space="preserve">F.52625 </t>
  </si>
  <si>
    <t>F.919039125</t>
  </si>
  <si>
    <t xml:space="preserve">F.1905005 </t>
  </si>
  <si>
    <t>F.919037371</t>
  </si>
  <si>
    <t>Saint maclou</t>
  </si>
  <si>
    <t>F.CLFAC001706309 protection escalier CAPH</t>
  </si>
  <si>
    <t>F.0511/19  toles noir Saingien + debit/livraison grillage Maillard</t>
  </si>
  <si>
    <t>Shark impression</t>
  </si>
  <si>
    <t>F.001801 Adhésif Pont lumiere salle Harmonie</t>
  </si>
  <si>
    <t>name="no"</t>
  </si>
  <si>
    <t>name="societe"</t>
  </si>
  <si>
    <t>name="pointer"</t>
  </si>
  <si>
    <t>name="datevaleur"</t>
  </si>
  <si>
    <t>name="datecompta"</t>
  </si>
  <si>
    <t>name="compte"</t>
  </si>
  <si>
    <t>name="description"</t>
  </si>
  <si>
    <t>name="valeur"</t>
  </si>
  <si>
    <t>name="tvapct"</t>
  </si>
  <si>
    <t>name="tva"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</si>
</sst>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44" formatCode="_-* #,##0.00\ &quot;€&quot;_-;\-* #,##0.00\ &quot;€&quot;_-;_-* &quot;-&quot;??\ &quot;€&quot;_-;_-@_-"/>
    <numFmt numFmtId="164" formatCode="_-* #,##0.00\ _€_-;\-* #,##0.00\ _€_-;_-* &quot;-&quot;??\ _€_-;_-@_-"/>
    <numFmt numFmtId="165" formatCode="mmm\ yy"/>
    <numFmt numFmtId="166" formatCode="0.0"/>
    <numFmt numFmtId="167" formatCode="0.00;\-0.00;;"/>
    <numFmt numFmtId="168" formatCode="[$-40C]d\ mmm\ yy;@"/>
  </numFmts>
  <fonts count="1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000000"/>
      <name val="Calibri"/>
      <family val="2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3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  <xf numFmtId="164" fontId="1" fillId="0" borderId="0" applyFont="0" applyFill="0" applyBorder="0" applyAlignment="0" applyProtection="0"/>
  </cellStyleXfs>
  <cellXfs count="14">
    <xf numFmtId="0" fontId="0" fillId="0" borderId="0" xfId="0"/>
    <xf numFmtId="14" fontId="0" fillId="0" borderId="0" xfId="0" applyNumberFormat="1"/>
    <xf numFmtId="165" fontId="0" fillId="0" borderId="0" xfId="0" applyNumberFormat="1"/>
    <xf numFmtId="166" fontId="0" fillId="0" borderId="0" xfId="42" applyNumberFormat="1" applyFont="1"/>
    <xf numFmtId="0" fontId="0" fillId="0" borderId="0" xfId="0" applyAlignment="1">
      <alignment horizontal="center" vertical="center"/>
    </xf>
    <xf numFmtId="0" fontId="0" fillId="0" borderId="0" xfId="0" applyAlignment="1">
      <alignment vertical="center"/>
    </xf>
    <xf numFmtId="2" fontId="0" fillId="0" borderId="0" xfId="0" applyNumberFormat="1"/>
    <xf numFmtId="167" fontId="0" fillId="0" borderId="0" xfId="42" applyNumberFormat="1" applyFont="1" applyAlignment="1">
      <alignment horizontal="right" vertical="center"/>
    </xf>
    <xf numFmtId="167" fontId="0" fillId="0" borderId="0" xfId="0" applyNumberFormat="1" applyAlignment="1">
      <alignment vertical="center"/>
    </xf>
    <xf numFmtId="168" fontId="0" fillId="0" borderId="0" xfId="0" applyNumberFormat="1"/>
    <xf numFmtId="44" fontId="0" fillId="0" borderId="0" xfId="0" applyNumberFormat="1"/>
    <xf numFmtId="44" fontId="0" fillId="0" borderId="0" xfId="42" applyNumberFormat="1" applyFont="1"/>
    <xf numFmtId="44" fontId="0" fillId="0" borderId="0" xfId="0" applyNumberFormat="1" applyAlignment="1">
      <alignment horizontal="center" vertical="center"/>
    </xf>
    <xf numFmtId="166" fontId="0" fillId="0" borderId="0" xfId="0" applyNumberFormat="1"/>
  </cellXfs>
  <cellStyles count="43">
    <cellStyle name="20 % - Accent1" xfId="19" builtinId="30" customBuiltin="1"/>
    <cellStyle name="20 % - Accent2" xfId="23" builtinId="34" customBuiltin="1"/>
    <cellStyle name="20 % - Accent3" xfId="27" builtinId="38" customBuiltin="1"/>
    <cellStyle name="20 % - Accent4" xfId="31" builtinId="42" customBuiltin="1"/>
    <cellStyle name="20 % - Accent5" xfId="35" builtinId="46" customBuiltin="1"/>
    <cellStyle name="20 % - Accent6" xfId="39" builtinId="50" customBuiltin="1"/>
    <cellStyle name="40 % - Accent1" xfId="20" builtinId="31" customBuiltin="1"/>
    <cellStyle name="40 % - Accent2" xfId="24" builtinId="35" customBuiltin="1"/>
    <cellStyle name="40 % - Accent3" xfId="28" builtinId="39" customBuiltin="1"/>
    <cellStyle name="40 % - Accent4" xfId="32" builtinId="43" customBuiltin="1"/>
    <cellStyle name="40 % - Accent5" xfId="36" builtinId="47" customBuiltin="1"/>
    <cellStyle name="40 % - Accent6" xfId="40" builtinId="51" customBuiltin="1"/>
    <cellStyle name="60 % - Accent1" xfId="21" builtinId="32" customBuiltin="1"/>
    <cellStyle name="60 % - Accent2" xfId="25" builtinId="36" customBuiltin="1"/>
    <cellStyle name="60 % - Accent3" xfId="29" builtinId="40" customBuiltin="1"/>
    <cellStyle name="60 % - Accent4" xfId="33" builtinId="44" customBuiltin="1"/>
    <cellStyle name="60 % - Accent5" xfId="37" builtinId="48" customBuiltin="1"/>
    <cellStyle name="60 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Avertissement" xfId="14" builtinId="11" customBuiltin="1"/>
    <cellStyle name="Calcul" xfId="11" builtinId="22" customBuiltin="1"/>
    <cellStyle name="Cellule liée" xfId="12" builtinId="24" customBuiltin="1"/>
    <cellStyle name="Entrée" xfId="9" builtinId="20" customBuiltin="1"/>
    <cellStyle name="Insatisfaisant" xfId="7" builtinId="27" customBuiltin="1"/>
    <cellStyle name="Milliers" xfId="42" builtinId="3"/>
    <cellStyle name="Neutre" xfId="8" builtinId="28" customBuiltin="1"/>
    <cellStyle name="Normal" xfId="0" builtinId="0"/>
    <cellStyle name="Note" xfId="15" builtinId="10" customBuiltin="1"/>
    <cellStyle name="Satisfaisant" xfId="6" builtinId="26" customBuiltin="1"/>
    <cellStyle name="Sortie" xfId="10" builtinId="21" customBuiltin="1"/>
    <cellStyle name="Texte explicatif" xfId="16" builtinId="53" customBuiltin="1"/>
    <cellStyle name="Titre" xfId="1" builtinId="15" customBuiltin="1"/>
    <cellStyle name="Titre 1" xfId="2" builtinId="16" customBuiltin="1"/>
    <cellStyle name="Titre 2" xfId="3" builtinId="17" customBuiltin="1"/>
    <cellStyle name="Titre 3" xfId="4" builtinId="18" customBuiltin="1"/>
    <cellStyle name="Titre 4" xfId="5" builtinId="19" customBuiltin="1"/>
    <cellStyle name="Total" xfId="17" builtinId="25" customBuiltin="1"/>
    <cellStyle name="Vérification" xfId="13" builtinId="23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200025</xdr:colOff>
          <xdr:row>0</xdr:row>
          <xdr:rowOff>133350</xdr:rowOff>
        </xdr:from>
        <xdr:to>
          <xdr:col>3</xdr:col>
          <xdr:colOff>533400</xdr:colOff>
          <xdr:row>3</xdr:row>
          <xdr:rowOff>171450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Importer banque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/>
  <dimension ref="A1"/>
  <sheetViews>
    <sheetView workbookViewId="0"/>
  </sheetViews>
  <sheetFormatPr baseColWidth="10" defaultRowHeight="15" x14ac:dyDescent="0.25"/>
  <sheetData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Importer_Banque">
                <anchor moveWithCells="1" sizeWithCells="1">
                  <from>
                    <xdr:col>0</xdr:col>
                    <xdr:colOff>200025</xdr:colOff>
                    <xdr:row>0</xdr:row>
                    <xdr:rowOff>133350</xdr:rowOff>
                  </from>
                  <to>
                    <xdr:col>3</xdr:col>
                    <xdr:colOff>533400</xdr:colOff>
                    <xdr:row>3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2"/>
  <dimension ref="A1:Q359"/>
  <sheetViews>
    <sheetView zoomScale="85" zoomScaleNormal="85" workbookViewId="0">
      <pane ySplit="1" topLeftCell="A2" activePane="bottomLeft" state="frozen"/>
      <selection activeCell="B1" sqref="B1"/>
      <selection pane="bottomLeft" activeCell="G13" sqref="G13"/>
    </sheetView>
  </sheetViews>
  <sheetFormatPr baseColWidth="10" defaultRowHeight="15" x14ac:dyDescent="0.25"/>
  <cols>
    <col min="1" max="1" width="45" customWidth="1"/>
    <col min="2" max="2" width="6.85546875" bestFit="1" customWidth="1"/>
    <col min="3" max="3" width="10.85546875" bestFit="1" customWidth="1"/>
    <col min="4" max="4" width="4.85546875" bestFit="1" customWidth="1"/>
    <col min="5" max="5" width="13.140625" bestFit="1" customWidth="1"/>
    <col min="6" max="6" width="21.7109375" bestFit="1" customWidth="1"/>
    <col min="7" max="7" width="42.140625" bestFit="1" customWidth="1"/>
    <col min="8" max="8" width="45.140625" bestFit="1" customWidth="1"/>
    <col min="9" max="10" width="12.140625" style="10" bestFit="1" customWidth="1"/>
    <col min="11" max="11" width="11" style="11" bestFit="1" customWidth="1"/>
    <col min="12" max="12" width="12.140625" style="10" bestFit="1" customWidth="1"/>
    <col min="14" max="14" width="5.85546875" bestFit="1" customWidth="1"/>
    <col min="15" max="15" width="10" bestFit="1" customWidth="1"/>
    <col min="16" max="16" width="6.42578125" bestFit="1" customWidth="1"/>
    <col min="17" max="17" width="9.7109375" bestFit="1" customWidth="1"/>
  </cols>
  <sheetData>
    <row r="1" spans="1:17" x14ac:dyDescent="0.25">
      <c r="A1" t="s">
        <v>5</v>
      </c>
      <c r="B1" t="s">
        <v>250</v>
      </c>
      <c r="C1" s="1" t="s">
        <v>0</v>
      </c>
      <c r="D1" t="s">
        <v>497</v>
      </c>
      <c r="E1" t="s">
        <v>425</v>
      </c>
      <c r="F1" t="s">
        <v>2</v>
      </c>
      <c r="G1" t="s">
        <v>251</v>
      </c>
      <c r="H1" t="s">
        <v>252</v>
      </c>
      <c r="I1" s="10" t="s">
        <v>3</v>
      </c>
      <c r="J1" s="10" t="s">
        <v>4</v>
      </c>
      <c r="K1" s="11" t="s">
        <v>272</v>
      </c>
      <c r="L1" s="10">
        <v>-17219.900000000001</v>
      </c>
      <c r="N1" t="s">
        <v>3</v>
      </c>
      <c r="O1">
        <f>SUBTOTAL(9,I:I)</f>
        <v>197969.42999999991</v>
      </c>
      <c r="P1" t="s">
        <v>4</v>
      </c>
      <c r="Q1">
        <f>SUBTOTAL(9,J:J)</f>
        <v>216532.22999999998</v>
      </c>
    </row>
    <row r="2" spans="1:17" x14ac:dyDescent="0.25">
      <c r="A2" t="s">
        <v>544</v>
      </c>
      <c r="B2">
        <v>1</v>
      </c>
      <c r="C2" s="1">
        <v>43497</v>
      </c>
      <c r="D2">
        <v>1</v>
      </c>
      <c r="E2" t="str">
        <f>IF(F2&lt;&gt;"",INDEX(Balance!A:A,MATCH(F2,Balance!B:B,0)),"")</f>
        <v>Depense</v>
      </c>
      <c r="F2" t="s">
        <v>254</v>
      </c>
      <c r="G2" t="s">
        <v>531</v>
      </c>
      <c r="I2" s="10">
        <v>22</v>
      </c>
      <c r="K2" s="11">
        <f t="shared" ref="K2:K29" si="0">IF(I2&gt;0,I2-(I2/TVA),-(J2-(J2/TVA)))</f>
        <v>3.6666666666666643</v>
      </c>
      <c r="L2" s="10">
        <f t="shared" ref="L2:L27" si="1">L1-I2+J2</f>
        <v>-17241.900000000001</v>
      </c>
    </row>
    <row r="3" spans="1:17" x14ac:dyDescent="0.25">
      <c r="A3" t="s">
        <v>548</v>
      </c>
      <c r="B3">
        <v>2</v>
      </c>
      <c r="C3" s="1">
        <v>43500</v>
      </c>
      <c r="D3">
        <v>1</v>
      </c>
      <c r="E3" t="str">
        <f>IF(F3&lt;&gt;"",INDEX(Balance!A:A,MATCH(F3,Balance!B:B,0)),"")</f>
        <v>Depense</v>
      </c>
      <c r="F3" t="s">
        <v>257</v>
      </c>
      <c r="G3" t="s">
        <v>527</v>
      </c>
      <c r="I3" s="10">
        <v>9.6999999999999993</v>
      </c>
      <c r="K3" s="11">
        <f t="shared" si="0"/>
        <v>1.6166666666666654</v>
      </c>
      <c r="L3" s="10">
        <f t="shared" si="1"/>
        <v>-17251.600000000002</v>
      </c>
    </row>
    <row r="4" spans="1:17" x14ac:dyDescent="0.25">
      <c r="A4" t="s">
        <v>545</v>
      </c>
      <c r="B4">
        <v>3</v>
      </c>
      <c r="C4" s="1">
        <v>43500</v>
      </c>
      <c r="D4">
        <v>1</v>
      </c>
      <c r="E4" t="str">
        <f>IF(F4&lt;&gt;"",INDEX(Balance!A:A,MATCH(F4,Balance!B:B,0)),"")</f>
        <v>Depense</v>
      </c>
      <c r="F4" t="s">
        <v>254</v>
      </c>
      <c r="G4" t="s">
        <v>528</v>
      </c>
      <c r="I4" s="10">
        <v>22.55</v>
      </c>
      <c r="K4" s="11">
        <f t="shared" si="0"/>
        <v>3.7583333333333329</v>
      </c>
      <c r="L4" s="10">
        <f t="shared" si="1"/>
        <v>-17274.150000000001</v>
      </c>
    </row>
    <row r="5" spans="1:17" x14ac:dyDescent="0.25">
      <c r="A5" t="s">
        <v>546</v>
      </c>
      <c r="B5">
        <v>4</v>
      </c>
      <c r="C5" s="1">
        <v>43500</v>
      </c>
      <c r="D5">
        <v>1</v>
      </c>
      <c r="E5" t="str">
        <f>IF(F5&lt;&gt;"",INDEX(Balance!A:A,MATCH(F5,Balance!B:B,0)),"")</f>
        <v>Depense</v>
      </c>
      <c r="F5" t="s">
        <v>253</v>
      </c>
      <c r="G5" t="s">
        <v>529</v>
      </c>
      <c r="I5" s="10">
        <v>78.78</v>
      </c>
      <c r="K5" s="11">
        <f t="shared" si="0"/>
        <v>13.129999999999995</v>
      </c>
      <c r="L5" s="10">
        <f t="shared" si="1"/>
        <v>-17352.93</v>
      </c>
    </row>
    <row r="6" spans="1:17" x14ac:dyDescent="0.25">
      <c r="A6" t="s">
        <v>547</v>
      </c>
      <c r="B6">
        <v>5</v>
      </c>
      <c r="C6" s="1">
        <v>43500</v>
      </c>
      <c r="E6" t="str">
        <f>IF(F6&lt;&gt;"",INDEX(Balance!A:A,MATCH(F6,Balance!B:B,0)),"")</f>
        <v/>
      </c>
      <c r="G6" t="s">
        <v>530</v>
      </c>
      <c r="I6" s="10">
        <v>10795.39</v>
      </c>
      <c r="K6" s="11">
        <f t="shared" si="0"/>
        <v>1799.2316666666666</v>
      </c>
      <c r="L6" s="10">
        <f t="shared" si="1"/>
        <v>-28148.32</v>
      </c>
    </row>
    <row r="7" spans="1:17" x14ac:dyDescent="0.25">
      <c r="C7" s="1"/>
      <c r="E7" t="str">
        <f>IF(F7&lt;&gt;"",INDEX(Balance!A:A,MATCH(F7,Balance!B:B,0)),"")</f>
        <v>Fournisseurs</v>
      </c>
      <c r="F7" t="s">
        <v>535</v>
      </c>
      <c r="I7" s="10">
        <v>10487.7</v>
      </c>
    </row>
    <row r="8" spans="1:17" x14ac:dyDescent="0.25">
      <c r="C8" s="1"/>
      <c r="E8" t="str">
        <f>IF(F8&lt;&gt;"",INDEX(Balance!A:A,MATCH(F8,Balance!B:B,0)),"")</f>
        <v>Fournisseurs</v>
      </c>
      <c r="F8" t="s">
        <v>277</v>
      </c>
      <c r="I8" s="10">
        <v>307.69</v>
      </c>
    </row>
    <row r="9" spans="1:17" x14ac:dyDescent="0.25">
      <c r="A9" t="s">
        <v>549</v>
      </c>
      <c r="B9">
        <v>6</v>
      </c>
      <c r="C9" s="1">
        <v>43501</v>
      </c>
      <c r="D9">
        <v>1</v>
      </c>
      <c r="E9" t="str">
        <f>IF(F9&lt;&gt;"",INDEX(Balance!A:A,MATCH(F9,Balance!B:B,0)),"")</f>
        <v>Depense</v>
      </c>
      <c r="F9" t="s">
        <v>256</v>
      </c>
      <c r="G9" t="s">
        <v>524</v>
      </c>
      <c r="I9" s="10">
        <v>639.03</v>
      </c>
      <c r="K9" s="11">
        <f t="shared" si="0"/>
        <v>106.505</v>
      </c>
      <c r="L9" s="10">
        <f>L6-I9+J9</f>
        <v>-28787.35</v>
      </c>
    </row>
    <row r="10" spans="1:17" x14ac:dyDescent="0.25">
      <c r="A10" t="s">
        <v>550</v>
      </c>
      <c r="B10">
        <v>7</v>
      </c>
      <c r="C10" s="1">
        <v>43501</v>
      </c>
      <c r="D10">
        <v>1</v>
      </c>
      <c r="E10" t="str">
        <f>IF(F10&lt;&gt;"",INDEX(Balance!A:A,MATCH(F10,Balance!B:B,0)),"")</f>
        <v>Depense</v>
      </c>
      <c r="F10" t="s">
        <v>256</v>
      </c>
      <c r="G10" t="s">
        <v>525</v>
      </c>
      <c r="I10" s="10">
        <v>1141.1400000000001</v>
      </c>
      <c r="K10" s="11">
        <f t="shared" si="0"/>
        <v>190.18999999999994</v>
      </c>
      <c r="L10" s="10">
        <f t="shared" si="1"/>
        <v>-29928.489999999998</v>
      </c>
    </row>
    <row r="11" spans="1:17" x14ac:dyDescent="0.25">
      <c r="A11" t="s">
        <v>551</v>
      </c>
      <c r="B11">
        <v>8</v>
      </c>
      <c r="C11" s="1">
        <v>43501</v>
      </c>
      <c r="D11">
        <v>1</v>
      </c>
      <c r="E11" t="str">
        <f>IF(F11&lt;&gt;"",INDEX(Balance!A:A,MATCH(F11,Balance!B:B,0)),"")</f>
        <v>Depense</v>
      </c>
      <c r="F11" t="s">
        <v>256</v>
      </c>
      <c r="G11" t="s">
        <v>526</v>
      </c>
      <c r="I11" s="10">
        <v>1501.28</v>
      </c>
      <c r="K11" s="11">
        <f t="shared" si="0"/>
        <v>250.21333333333337</v>
      </c>
      <c r="L11" s="10">
        <f t="shared" si="1"/>
        <v>-31429.769999999997</v>
      </c>
    </row>
    <row r="12" spans="1:17" x14ac:dyDescent="0.25">
      <c r="A12" t="s">
        <v>552</v>
      </c>
      <c r="B12">
        <v>9</v>
      </c>
      <c r="C12" s="1">
        <v>43502</v>
      </c>
      <c r="D12">
        <v>1</v>
      </c>
      <c r="E12" t="str">
        <f>IF(F12&lt;&gt;"",INDEX(Balance!A:A,MATCH(F12,Balance!B:B,0)),"")</f>
        <v>Depense</v>
      </c>
      <c r="F12" t="s">
        <v>257</v>
      </c>
      <c r="G12" t="s">
        <v>516</v>
      </c>
      <c r="K12" s="11">
        <f t="shared" si="0"/>
        <v>0</v>
      </c>
      <c r="L12" s="10">
        <f t="shared" si="1"/>
        <v>-31429.769999999997</v>
      </c>
    </row>
    <row r="13" spans="1:17" x14ac:dyDescent="0.25">
      <c r="A13" t="s">
        <v>553</v>
      </c>
      <c r="B13">
        <v>10</v>
      </c>
      <c r="C13" s="1">
        <v>43502</v>
      </c>
      <c r="D13">
        <v>1</v>
      </c>
      <c r="E13" t="str">
        <f>IF(F13&lt;&gt;"",INDEX(Balance!A:A,MATCH(F13,Balance!B:B,0)),"")</f>
        <v>Depense</v>
      </c>
      <c r="F13" t="s">
        <v>372</v>
      </c>
      <c r="G13" t="s">
        <v>517</v>
      </c>
      <c r="I13" s="10">
        <v>3.2</v>
      </c>
      <c r="K13" s="11">
        <f t="shared" si="0"/>
        <v>0.53333333333333321</v>
      </c>
      <c r="L13" s="10">
        <f t="shared" si="1"/>
        <v>-31432.969999999998</v>
      </c>
    </row>
    <row r="14" spans="1:17" x14ac:dyDescent="0.25">
      <c r="A14" t="s">
        <v>554</v>
      </c>
      <c r="B14">
        <v>11</v>
      </c>
      <c r="C14" s="1">
        <v>43502</v>
      </c>
      <c r="D14">
        <v>1</v>
      </c>
      <c r="E14" t="str">
        <f>IF(F14&lt;&gt;"",INDEX(Balance!A:A,MATCH(F14,Balance!B:B,0)),"")</f>
        <v>Fournisseurs</v>
      </c>
      <c r="F14" t="s">
        <v>373</v>
      </c>
      <c r="G14" t="s">
        <v>518</v>
      </c>
      <c r="I14" s="10">
        <v>18.7</v>
      </c>
      <c r="K14" s="11">
        <f t="shared" si="0"/>
        <v>3.1166666666666654</v>
      </c>
      <c r="L14" s="10">
        <f t="shared" si="1"/>
        <v>-31451.67</v>
      </c>
    </row>
    <row r="15" spans="1:17" x14ac:dyDescent="0.25">
      <c r="A15" t="s">
        <v>555</v>
      </c>
      <c r="B15">
        <v>12</v>
      </c>
      <c r="C15" s="1">
        <v>43502</v>
      </c>
      <c r="D15">
        <v>1</v>
      </c>
      <c r="E15" t="str">
        <f>IF(F15&lt;&gt;"",INDEX(Balance!A:A,MATCH(F15,Balance!B:B,0)),"")</f>
        <v>Fournisseurs</v>
      </c>
      <c r="F15" t="s">
        <v>355</v>
      </c>
      <c r="G15" t="s">
        <v>519</v>
      </c>
      <c r="I15" s="10">
        <v>41.32</v>
      </c>
      <c r="K15" s="11">
        <f t="shared" si="0"/>
        <v>6.8866666666666632</v>
      </c>
      <c r="L15" s="10">
        <f t="shared" si="1"/>
        <v>-31492.989999999998</v>
      </c>
    </row>
    <row r="16" spans="1:17" x14ac:dyDescent="0.25">
      <c r="A16" t="s">
        <v>556</v>
      </c>
      <c r="B16">
        <v>13</v>
      </c>
      <c r="C16" s="1">
        <v>43502</v>
      </c>
      <c r="D16">
        <v>1</v>
      </c>
      <c r="E16" t="str">
        <f>IF(F16&lt;&gt;"",INDEX(Balance!A:A,MATCH(F16,Balance!B:B,0)),"")</f>
        <v>Depense</v>
      </c>
      <c r="F16" t="s">
        <v>253</v>
      </c>
      <c r="G16" t="s">
        <v>520</v>
      </c>
      <c r="I16" s="10">
        <v>77.13</v>
      </c>
      <c r="K16" s="11">
        <f t="shared" si="0"/>
        <v>12.85499999999999</v>
      </c>
      <c r="L16" s="10">
        <f t="shared" si="1"/>
        <v>-31570.12</v>
      </c>
    </row>
    <row r="17" spans="1:12" x14ac:dyDescent="0.25">
      <c r="A17" t="s">
        <v>557</v>
      </c>
      <c r="B17">
        <v>14</v>
      </c>
      <c r="C17" s="1">
        <v>43502</v>
      </c>
      <c r="D17">
        <v>1</v>
      </c>
      <c r="E17" t="str">
        <f>IF(F17&lt;&gt;"",INDEX(Balance!A:A,MATCH(F17,Balance!B:B,0)),"")</f>
        <v>Fournisseurs</v>
      </c>
      <c r="F17" t="s">
        <v>376</v>
      </c>
      <c r="G17" t="s">
        <v>521</v>
      </c>
      <c r="H17" t="s">
        <v>522</v>
      </c>
      <c r="I17" s="10">
        <v>8</v>
      </c>
      <c r="K17" s="11">
        <f t="shared" si="0"/>
        <v>1.333333333333333</v>
      </c>
      <c r="L17" s="10">
        <f t="shared" si="1"/>
        <v>-31578.12</v>
      </c>
    </row>
    <row r="18" spans="1:12" x14ac:dyDescent="0.25">
      <c r="A18" t="s">
        <v>558</v>
      </c>
      <c r="B18">
        <v>15</v>
      </c>
      <c r="C18" s="1">
        <v>43502</v>
      </c>
      <c r="E18" t="str">
        <f>IF(F18&lt;&gt;"",INDEX(Balance!A:A,MATCH(F18,Balance!B:B,0)),"")</f>
        <v>Client</v>
      </c>
      <c r="F18" t="s">
        <v>534</v>
      </c>
      <c r="G18" t="s">
        <v>523</v>
      </c>
      <c r="H18" t="s">
        <v>533</v>
      </c>
      <c r="J18" s="10">
        <v>8898.84</v>
      </c>
      <c r="K18" s="11">
        <f t="shared" si="0"/>
        <v>-1483.1399999999994</v>
      </c>
      <c r="L18" s="10">
        <f t="shared" si="1"/>
        <v>-22679.279999999999</v>
      </c>
    </row>
    <row r="19" spans="1:12" x14ac:dyDescent="0.25">
      <c r="A19" t="s">
        <v>559</v>
      </c>
      <c r="B19">
        <v>16</v>
      </c>
      <c r="C19" s="1">
        <v>43503</v>
      </c>
      <c r="D19">
        <v>1</v>
      </c>
      <c r="E19" t="str">
        <f>IF(F19&lt;&gt;"",INDEX(Balance!A:A,MATCH(F19,Balance!B:B,0)),"")</f>
        <v>Depense</v>
      </c>
      <c r="F19" t="s">
        <v>254</v>
      </c>
      <c r="G19" t="s">
        <v>513</v>
      </c>
      <c r="I19" s="10">
        <v>12.75</v>
      </c>
      <c r="K19" s="11">
        <f t="shared" si="0"/>
        <v>2.125</v>
      </c>
      <c r="L19" s="10">
        <f t="shared" si="1"/>
        <v>-22692.03</v>
      </c>
    </row>
    <row r="20" spans="1:12" x14ac:dyDescent="0.25">
      <c r="A20" t="s">
        <v>560</v>
      </c>
      <c r="B20">
        <v>17</v>
      </c>
      <c r="C20" s="1">
        <v>43503</v>
      </c>
      <c r="D20">
        <v>1</v>
      </c>
      <c r="E20" t="str">
        <f>IF(F20&lt;&gt;"",INDEX(Balance!A:A,MATCH(F20,Balance!B:B,0)),"")</f>
        <v>Fournisseurs</v>
      </c>
      <c r="F20" t="s">
        <v>373</v>
      </c>
      <c r="G20" t="s">
        <v>514</v>
      </c>
      <c r="I20" s="10">
        <v>50.22</v>
      </c>
      <c r="K20" s="11">
        <f t="shared" si="0"/>
        <v>8.3699999999999974</v>
      </c>
      <c r="L20" s="10">
        <f t="shared" si="1"/>
        <v>-22742.25</v>
      </c>
    </row>
    <row r="21" spans="1:12" x14ac:dyDescent="0.25">
      <c r="A21" t="s">
        <v>561</v>
      </c>
      <c r="B21">
        <v>18</v>
      </c>
      <c r="C21" s="1">
        <v>43503</v>
      </c>
      <c r="D21">
        <v>1</v>
      </c>
      <c r="E21" t="str">
        <f>IF(F21&lt;&gt;"",INDEX(Balance!A:A,MATCH(F21,Balance!B:B,0)),"")</f>
        <v>Fournisseurs</v>
      </c>
      <c r="F21" t="s">
        <v>373</v>
      </c>
      <c r="G21" t="s">
        <v>515</v>
      </c>
      <c r="I21" s="10">
        <v>74.150000000000006</v>
      </c>
      <c r="K21" s="11">
        <f t="shared" si="0"/>
        <v>12.358333333333334</v>
      </c>
      <c r="L21" s="10">
        <f t="shared" si="1"/>
        <v>-22816.400000000001</v>
      </c>
    </row>
    <row r="22" spans="1:12" x14ac:dyDescent="0.25">
      <c r="A22" t="s">
        <v>562</v>
      </c>
      <c r="B22">
        <v>19</v>
      </c>
      <c r="C22" s="1">
        <v>43507</v>
      </c>
      <c r="D22">
        <v>1</v>
      </c>
      <c r="E22" t="str">
        <f>IF(F22&lt;&gt;"",INDEX(Balance!A:A,MATCH(F22,Balance!B:B,0)),"")</f>
        <v>Depense</v>
      </c>
      <c r="F22" t="s">
        <v>381</v>
      </c>
      <c r="G22" t="s">
        <v>532</v>
      </c>
      <c r="I22" s="10">
        <v>237.15</v>
      </c>
      <c r="K22" s="11">
        <f t="shared" si="0"/>
        <v>39.525000000000006</v>
      </c>
      <c r="L22" s="10">
        <f t="shared" si="1"/>
        <v>-23053.550000000003</v>
      </c>
    </row>
    <row r="23" spans="1:12" x14ac:dyDescent="0.25">
      <c r="A23" t="s">
        <v>563</v>
      </c>
      <c r="B23">
        <v>20</v>
      </c>
      <c r="C23" s="1">
        <v>43507</v>
      </c>
      <c r="D23">
        <v>1</v>
      </c>
      <c r="E23" t="str">
        <f>IF(F23&lt;&gt;"",INDEX(Balance!A:A,MATCH(F23,Balance!B:B,0)),"")</f>
        <v>Depense</v>
      </c>
      <c r="F23" t="s">
        <v>382</v>
      </c>
      <c r="G23" t="s">
        <v>509</v>
      </c>
      <c r="I23" s="10">
        <v>260</v>
      </c>
      <c r="K23" s="11">
        <f t="shared" si="0"/>
        <v>43.333333333333314</v>
      </c>
      <c r="L23" s="10">
        <f t="shared" si="1"/>
        <v>-23313.550000000003</v>
      </c>
    </row>
    <row r="24" spans="1:12" x14ac:dyDescent="0.25">
      <c r="A24" t="s">
        <v>564</v>
      </c>
      <c r="B24">
        <v>21</v>
      </c>
      <c r="C24" s="1">
        <v>43507</v>
      </c>
      <c r="D24">
        <v>1</v>
      </c>
      <c r="E24" t="str">
        <f>IF(F24&lt;&gt;"",INDEX(Balance!A:A,MATCH(F24,Balance!B:B,0)),"")</f>
        <v>Depense</v>
      </c>
      <c r="F24" t="s">
        <v>380</v>
      </c>
      <c r="G24" t="s">
        <v>510</v>
      </c>
      <c r="I24" s="10">
        <v>380</v>
      </c>
      <c r="K24" s="11">
        <f t="shared" si="0"/>
        <v>63.333333333333314</v>
      </c>
      <c r="L24" s="10">
        <f t="shared" si="1"/>
        <v>-23693.550000000003</v>
      </c>
    </row>
    <row r="25" spans="1:12" x14ac:dyDescent="0.25">
      <c r="A25" t="s">
        <v>565</v>
      </c>
      <c r="B25">
        <v>22</v>
      </c>
      <c r="C25" s="1">
        <v>43507</v>
      </c>
      <c r="D25">
        <v>1</v>
      </c>
      <c r="E25" t="str">
        <f>IF(F25&lt;&gt;"",INDEX(Balance!A:A,MATCH(F25,Balance!B:B,0)),"")</f>
        <v>Depense</v>
      </c>
      <c r="F25" t="s">
        <v>254</v>
      </c>
      <c r="G25" t="s">
        <v>511</v>
      </c>
      <c r="I25" s="10">
        <v>11.45</v>
      </c>
      <c r="K25" s="11">
        <f t="shared" si="0"/>
        <v>1.9083333333333332</v>
      </c>
      <c r="L25" s="10">
        <f t="shared" si="1"/>
        <v>-23705.000000000004</v>
      </c>
    </row>
    <row r="26" spans="1:12" x14ac:dyDescent="0.25">
      <c r="A26" t="s">
        <v>566</v>
      </c>
      <c r="B26">
        <v>23</v>
      </c>
      <c r="C26" s="1">
        <v>43507</v>
      </c>
      <c r="D26">
        <v>1</v>
      </c>
      <c r="E26" t="str">
        <f>IF(F26&lt;&gt;"",INDEX(Balance!A:A,MATCH(F26,Balance!B:B,0)),"")</f>
        <v>Depense</v>
      </c>
      <c r="F26" t="s">
        <v>253</v>
      </c>
      <c r="G26" t="s">
        <v>512</v>
      </c>
      <c r="I26" s="10">
        <v>73.52</v>
      </c>
      <c r="K26" s="11">
        <f t="shared" si="0"/>
        <v>12.25333333333333</v>
      </c>
      <c r="L26" s="10">
        <f t="shared" si="1"/>
        <v>-23778.520000000004</v>
      </c>
    </row>
    <row r="27" spans="1:12" x14ac:dyDescent="0.25">
      <c r="A27" t="s">
        <v>246</v>
      </c>
      <c r="B27">
        <v>24</v>
      </c>
      <c r="C27" s="1">
        <v>43508</v>
      </c>
      <c r="D27">
        <v>1</v>
      </c>
      <c r="E27" t="str">
        <f>IF(F27&lt;&gt;"",INDEX(Balance!A:A,MATCH(F27,Balance!B:B,0)),"")</f>
        <v>Fournisseurs</v>
      </c>
      <c r="F27" t="s">
        <v>437</v>
      </c>
      <c r="G27" t="s">
        <v>247</v>
      </c>
      <c r="H27" t="s">
        <v>438</v>
      </c>
      <c r="I27" s="10">
        <v>176</v>
      </c>
      <c r="K27" s="11">
        <f t="shared" si="0"/>
        <v>29.333333333333314</v>
      </c>
      <c r="L27" s="10">
        <f t="shared" si="1"/>
        <v>-23954.520000000004</v>
      </c>
    </row>
    <row r="28" spans="1:12" x14ac:dyDescent="0.25">
      <c r="A28" t="s">
        <v>244</v>
      </c>
      <c r="B28">
        <v>25</v>
      </c>
      <c r="C28" s="1">
        <v>43508</v>
      </c>
      <c r="D28">
        <v>1</v>
      </c>
      <c r="E28" t="str">
        <f>IF(F28&lt;&gt;"",INDEX(Balance!A:A,MATCH(F28,Balance!B:B,0)),"")</f>
        <v>Depense</v>
      </c>
      <c r="F28" t="s">
        <v>254</v>
      </c>
      <c r="G28" t="s">
        <v>245</v>
      </c>
      <c r="I28" s="10">
        <v>4.8499999999999996</v>
      </c>
      <c r="K28" s="11">
        <f t="shared" si="0"/>
        <v>0.80833333333333268</v>
      </c>
      <c r="L28" s="10">
        <f t="shared" ref="L28:L35" si="2">L27-I28+J28</f>
        <v>-23959.370000000003</v>
      </c>
    </row>
    <row r="29" spans="1:12" x14ac:dyDescent="0.25">
      <c r="A29" t="s">
        <v>248</v>
      </c>
      <c r="B29">
        <v>26</v>
      </c>
      <c r="C29" s="1">
        <v>43508</v>
      </c>
      <c r="E29" t="str">
        <f>IF(F29&lt;&gt;"",INDEX(Balance!A:A,MATCH(F29,Balance!B:B,0)),"")</f>
        <v>Client</v>
      </c>
      <c r="F29" t="s">
        <v>370</v>
      </c>
      <c r="G29" t="s">
        <v>37</v>
      </c>
      <c r="H29" t="s">
        <v>249</v>
      </c>
      <c r="J29" s="10">
        <v>23562.7</v>
      </c>
      <c r="K29" s="11">
        <f t="shared" si="0"/>
        <v>-3927.116666666665</v>
      </c>
      <c r="L29" s="10">
        <f t="shared" si="2"/>
        <v>-396.67000000000189</v>
      </c>
    </row>
    <row r="30" spans="1:12" x14ac:dyDescent="0.25">
      <c r="A30" t="s">
        <v>243</v>
      </c>
      <c r="B30">
        <v>27</v>
      </c>
      <c r="C30" s="1">
        <v>43509</v>
      </c>
      <c r="D30">
        <v>1</v>
      </c>
      <c r="E30" t="str">
        <f>IF(F30&lt;&gt;"",INDEX(Balance!A:A,MATCH(F30,Balance!B:B,0)),"")</f>
        <v>Depense</v>
      </c>
      <c r="F30" t="s">
        <v>253</v>
      </c>
      <c r="G30" t="s">
        <v>149</v>
      </c>
      <c r="I30" s="10">
        <v>51.11</v>
      </c>
      <c r="K30" s="11">
        <f t="shared" ref="K30:K35" si="3">IF(I30&gt;0,I30-(I30/TVA),-(J30-(J30/TVA)))</f>
        <v>8.5183333333333309</v>
      </c>
      <c r="L30" s="10">
        <f t="shared" si="2"/>
        <v>-447.78000000000191</v>
      </c>
    </row>
    <row r="31" spans="1:12" x14ac:dyDescent="0.25">
      <c r="A31" t="s">
        <v>237</v>
      </c>
      <c r="B31">
        <v>28</v>
      </c>
      <c r="C31" s="1">
        <v>43510</v>
      </c>
      <c r="E31" t="str">
        <f>IF(F31&lt;&gt;"",INDEX(Balance!A:A,MATCH(F31,Balance!B:B,0)),"")</f>
        <v>Depense</v>
      </c>
      <c r="F31" t="s">
        <v>255</v>
      </c>
      <c r="G31" t="s">
        <v>238</v>
      </c>
      <c r="I31" s="10">
        <v>1300</v>
      </c>
      <c r="K31" s="11">
        <f t="shared" si="3"/>
        <v>216.66666666666652</v>
      </c>
      <c r="L31" s="10">
        <f t="shared" si="2"/>
        <v>-1747.780000000002</v>
      </c>
    </row>
    <row r="32" spans="1:12" x14ac:dyDescent="0.25">
      <c r="A32" t="s">
        <v>240</v>
      </c>
      <c r="B32">
        <v>29</v>
      </c>
      <c r="C32" s="1">
        <v>43510</v>
      </c>
      <c r="D32">
        <v>1</v>
      </c>
      <c r="E32" t="str">
        <f>IF(F32&lt;&gt;"",INDEX(Balance!A:A,MATCH(F32,Balance!B:B,0)),"")</f>
        <v>Fournisseurs</v>
      </c>
      <c r="F32" t="s">
        <v>373</v>
      </c>
      <c r="G32" t="s">
        <v>132</v>
      </c>
      <c r="I32" s="10">
        <v>90</v>
      </c>
      <c r="K32" s="11">
        <f t="shared" si="3"/>
        <v>15</v>
      </c>
      <c r="L32" s="10">
        <f t="shared" si="2"/>
        <v>-1837.780000000002</v>
      </c>
    </row>
    <row r="33" spans="1:12" x14ac:dyDescent="0.25">
      <c r="A33" t="s">
        <v>241</v>
      </c>
      <c r="B33">
        <v>30</v>
      </c>
      <c r="C33" s="1">
        <v>43510</v>
      </c>
      <c r="D33">
        <v>1</v>
      </c>
      <c r="E33" t="str">
        <f>IF(F33&lt;&gt;"",INDEX(Balance!A:A,MATCH(F33,Balance!B:B,0)),"")</f>
        <v>Depense</v>
      </c>
      <c r="F33" t="s">
        <v>253</v>
      </c>
      <c r="G33" t="s">
        <v>242</v>
      </c>
      <c r="I33" s="10">
        <v>94.12</v>
      </c>
      <c r="K33" s="11">
        <f t="shared" si="3"/>
        <v>15.686666666666667</v>
      </c>
      <c r="L33" s="10">
        <f t="shared" si="2"/>
        <v>-1931.9000000000019</v>
      </c>
    </row>
    <row r="34" spans="1:12" x14ac:dyDescent="0.25">
      <c r="A34" t="s">
        <v>239</v>
      </c>
      <c r="B34">
        <v>31</v>
      </c>
      <c r="C34" s="1">
        <v>43510</v>
      </c>
      <c r="D34">
        <v>1</v>
      </c>
      <c r="E34" t="str">
        <f>IF(F34&lt;&gt;"",INDEX(Balance!A:A,MATCH(F34,Balance!B:B,0)),"")</f>
        <v>Depense</v>
      </c>
      <c r="F34" t="s">
        <v>254</v>
      </c>
      <c r="G34" t="s">
        <v>219</v>
      </c>
      <c r="I34" s="10">
        <v>15.8</v>
      </c>
      <c r="K34" s="11">
        <f t="shared" si="3"/>
        <v>2.6333333333333329</v>
      </c>
      <c r="L34" s="10">
        <f t="shared" si="2"/>
        <v>-1947.7000000000019</v>
      </c>
    </row>
    <row r="35" spans="1:12" x14ac:dyDescent="0.25">
      <c r="A35" t="s">
        <v>235</v>
      </c>
      <c r="B35">
        <v>32</v>
      </c>
      <c r="C35" s="1">
        <v>43511</v>
      </c>
      <c r="E35" t="str">
        <f>IF(F35&lt;&gt;"",INDEX(Balance!A:A,MATCH(F35,Balance!B:B,0)),"")</f>
        <v/>
      </c>
      <c r="G35" t="s">
        <v>236</v>
      </c>
      <c r="I35" s="10">
        <v>6377.59</v>
      </c>
      <c r="K35" s="11">
        <f t="shared" si="3"/>
        <v>1062.9316666666664</v>
      </c>
      <c r="L35" s="10">
        <f t="shared" si="2"/>
        <v>-8325.2900000000027</v>
      </c>
    </row>
    <row r="36" spans="1:12" x14ac:dyDescent="0.25">
      <c r="C36" s="1"/>
      <c r="E36" t="str">
        <f>IF(F36&lt;&gt;"",INDEX(Balance!A:A,MATCH(F36,Balance!B:B,0)),"")</f>
        <v>Fournisseurs</v>
      </c>
      <c r="F36" t="s">
        <v>268</v>
      </c>
      <c r="I36" s="10">
        <v>797.12</v>
      </c>
    </row>
    <row r="37" spans="1:12" x14ac:dyDescent="0.25">
      <c r="C37" s="1"/>
      <c r="E37" t="str">
        <f>IF(F37&lt;&gt;"",INDEX(Balance!A:A,MATCH(F37,Balance!B:B,0)),"")</f>
        <v>Fournisseurs</v>
      </c>
      <c r="F37" t="s">
        <v>279</v>
      </c>
      <c r="I37" s="10">
        <v>1330.73</v>
      </c>
    </row>
    <row r="38" spans="1:12" x14ac:dyDescent="0.25">
      <c r="C38" s="1"/>
      <c r="E38" t="str">
        <f>IF(F38&lt;&gt;"",INDEX(Balance!A:A,MATCH(F38,Balance!B:B,0)),"")</f>
        <v>Fournisseurs</v>
      </c>
      <c r="F38" t="s">
        <v>262</v>
      </c>
      <c r="I38" s="10">
        <v>4249.74</v>
      </c>
    </row>
    <row r="39" spans="1:12" x14ac:dyDescent="0.25">
      <c r="A39" t="s">
        <v>232</v>
      </c>
      <c r="B39">
        <v>33</v>
      </c>
      <c r="C39" s="1">
        <v>43511</v>
      </c>
      <c r="D39">
        <v>1</v>
      </c>
      <c r="E39" t="str">
        <f>IF(F39&lt;&gt;"",INDEX(Balance!A:A,MATCH(F39,Balance!B:B,0)),"")</f>
        <v>Depense</v>
      </c>
      <c r="F39" t="s">
        <v>278</v>
      </c>
      <c r="G39" t="s">
        <v>233</v>
      </c>
      <c r="I39" s="10">
        <v>135</v>
      </c>
      <c r="K39" s="11">
        <f t="shared" ref="K39:K44" si="4">IF(I39&gt;0,I39-(I39/TVA),-(J39-(J39/TVA)))</f>
        <v>22.5</v>
      </c>
      <c r="L39" s="10">
        <f>L35-I39+J39</f>
        <v>-8460.2900000000027</v>
      </c>
    </row>
    <row r="40" spans="1:12" x14ac:dyDescent="0.25">
      <c r="A40" t="s">
        <v>229</v>
      </c>
      <c r="B40">
        <v>34</v>
      </c>
      <c r="C40" s="1">
        <v>43511</v>
      </c>
      <c r="D40">
        <v>1</v>
      </c>
      <c r="E40" t="str">
        <f>IF(F40&lt;&gt;"",INDEX(Balance!A:A,MATCH(F40,Balance!B:B,0)),"")</f>
        <v>Depense</v>
      </c>
      <c r="F40" t="s">
        <v>269</v>
      </c>
      <c r="G40" t="s">
        <v>230</v>
      </c>
      <c r="I40" s="10">
        <v>3088</v>
      </c>
      <c r="K40" s="11">
        <f t="shared" si="4"/>
        <v>514.66666666666652</v>
      </c>
      <c r="L40" s="10">
        <f>L39-I40+J40</f>
        <v>-11548.290000000003</v>
      </c>
    </row>
    <row r="41" spans="1:12" x14ac:dyDescent="0.25">
      <c r="A41" t="s">
        <v>234</v>
      </c>
      <c r="B41">
        <v>35</v>
      </c>
      <c r="C41" s="1">
        <v>43511</v>
      </c>
      <c r="D41">
        <v>1</v>
      </c>
      <c r="E41" t="str">
        <f>IF(F41&lt;&gt;"",INDEX(Balance!A:A,MATCH(F41,Balance!B:B,0)),"")</f>
        <v>Depense</v>
      </c>
      <c r="F41" t="s">
        <v>267</v>
      </c>
      <c r="G41" t="s">
        <v>52</v>
      </c>
      <c r="I41" s="10">
        <v>162</v>
      </c>
      <c r="K41" s="11">
        <f t="shared" si="4"/>
        <v>27</v>
      </c>
      <c r="L41" s="10">
        <f>L40-I41+J41</f>
        <v>-11710.290000000003</v>
      </c>
    </row>
    <row r="42" spans="1:12" x14ac:dyDescent="0.25">
      <c r="A42" t="s">
        <v>231</v>
      </c>
      <c r="B42">
        <v>36</v>
      </c>
      <c r="C42" s="1">
        <v>43511</v>
      </c>
      <c r="D42">
        <v>1</v>
      </c>
      <c r="E42" t="str">
        <f>IF(F42&lt;&gt;"",INDEX(Balance!A:A,MATCH(F42,Balance!B:B,0)),"")</f>
        <v>Depense</v>
      </c>
      <c r="F42" t="s">
        <v>257</v>
      </c>
      <c r="G42" t="s">
        <v>31</v>
      </c>
      <c r="I42" s="10">
        <v>0.21</v>
      </c>
      <c r="K42" s="11">
        <f t="shared" si="4"/>
        <v>3.5000000000000003E-2</v>
      </c>
      <c r="L42" s="10">
        <f>L41-I42+J42</f>
        <v>-11710.500000000002</v>
      </c>
    </row>
    <row r="43" spans="1:12" x14ac:dyDescent="0.25">
      <c r="A43" t="s">
        <v>216</v>
      </c>
      <c r="B43">
        <v>37</v>
      </c>
      <c r="C43" s="1">
        <v>43514</v>
      </c>
      <c r="E43" t="str">
        <f>IF(F43&lt;&gt;"",INDEX(Balance!A:A,MATCH(F43,Balance!B:B,0)),"")</f>
        <v>Fournisseurs</v>
      </c>
      <c r="F43" t="s">
        <v>280</v>
      </c>
      <c r="G43" t="s">
        <v>217</v>
      </c>
      <c r="I43" s="10">
        <v>961.2</v>
      </c>
      <c r="K43" s="11">
        <f t="shared" si="4"/>
        <v>160.19999999999993</v>
      </c>
      <c r="L43" s="10">
        <f>L42-I43+J43</f>
        <v>-12671.700000000003</v>
      </c>
    </row>
    <row r="44" spans="1:12" x14ac:dyDescent="0.25">
      <c r="A44" t="s">
        <v>224</v>
      </c>
      <c r="B44">
        <v>38</v>
      </c>
      <c r="C44" s="1">
        <v>43514</v>
      </c>
      <c r="E44" t="str">
        <f>IF(F44&lt;&gt;"",INDEX(Balance!A:A,MATCH(F44,Balance!B:B,0)),"")</f>
        <v/>
      </c>
      <c r="G44" t="s">
        <v>225</v>
      </c>
      <c r="I44" s="10">
        <v>2614.4299999999998</v>
      </c>
      <c r="K44" s="11">
        <f t="shared" si="4"/>
        <v>435.73833333333323</v>
      </c>
      <c r="L44" s="10">
        <f>L43-I44+J44</f>
        <v>-15286.130000000003</v>
      </c>
    </row>
    <row r="45" spans="1:12" x14ac:dyDescent="0.25">
      <c r="C45" s="1"/>
      <c r="E45" t="str">
        <f>IF(F45&lt;&gt;"",INDEX(Balance!A:A,MATCH(F45,Balance!B:B,0)),"")</f>
        <v>Fournisseurs</v>
      </c>
      <c r="F45" t="s">
        <v>277</v>
      </c>
      <c r="I45" s="10">
        <v>816.83</v>
      </c>
    </row>
    <row r="46" spans="1:12" x14ac:dyDescent="0.25">
      <c r="C46" s="1"/>
      <c r="E46" t="str">
        <f>IF(F46&lt;&gt;"",INDEX(Balance!A:A,MATCH(F46,Balance!B:B,0)),"")</f>
        <v>Fournisseurs</v>
      </c>
      <c r="F46" t="s">
        <v>281</v>
      </c>
      <c r="I46" s="10">
        <v>1797.6</v>
      </c>
    </row>
    <row r="47" spans="1:12" x14ac:dyDescent="0.25">
      <c r="A47" t="s">
        <v>220</v>
      </c>
      <c r="B47">
        <v>39</v>
      </c>
      <c r="C47" s="1">
        <v>43514</v>
      </c>
      <c r="D47">
        <v>1</v>
      </c>
      <c r="E47" t="str">
        <f>IF(F47&lt;&gt;"",INDEX(Balance!A:A,MATCH(F47,Balance!B:B,0)),"")</f>
        <v>Fournisseurs</v>
      </c>
      <c r="F47" t="s">
        <v>376</v>
      </c>
      <c r="G47" t="s">
        <v>42</v>
      </c>
      <c r="I47" s="10">
        <v>9.99</v>
      </c>
      <c r="K47" s="11">
        <f t="shared" ref="K47:K82" si="5">IF(I47&gt;0,I47-(I47/TVA),-(J47-(J47/TVA)))</f>
        <v>1.6649999999999991</v>
      </c>
      <c r="L47" s="10">
        <f>L44-I47+J47</f>
        <v>-15296.120000000003</v>
      </c>
    </row>
    <row r="48" spans="1:12" x14ac:dyDescent="0.25">
      <c r="A48" t="s">
        <v>218</v>
      </c>
      <c r="B48">
        <v>40</v>
      </c>
      <c r="C48" s="1">
        <v>43514</v>
      </c>
      <c r="D48">
        <v>1</v>
      </c>
      <c r="E48" t="str">
        <f>IF(F48&lt;&gt;"",INDEX(Balance!A:A,MATCH(F48,Balance!B:B,0)),"")</f>
        <v>Depense</v>
      </c>
      <c r="F48" t="s">
        <v>254</v>
      </c>
      <c r="G48" t="s">
        <v>219</v>
      </c>
      <c r="I48" s="10">
        <v>9.5</v>
      </c>
      <c r="K48" s="11">
        <f t="shared" si="5"/>
        <v>1.583333333333333</v>
      </c>
      <c r="L48" s="10">
        <f t="shared" ref="L48:L82" si="6">L47-I48+J48</f>
        <v>-15305.620000000003</v>
      </c>
    </row>
    <row r="49" spans="1:12" x14ac:dyDescent="0.25">
      <c r="A49" t="s">
        <v>221</v>
      </c>
      <c r="B49">
        <v>41</v>
      </c>
      <c r="C49" s="1">
        <v>43514</v>
      </c>
      <c r="D49">
        <v>1</v>
      </c>
      <c r="E49" t="str">
        <f>IF(F49&lt;&gt;"",INDEX(Balance!A:A,MATCH(F49,Balance!B:B,0)),"")</f>
        <v>Depense</v>
      </c>
      <c r="F49" t="s">
        <v>254</v>
      </c>
      <c r="G49" t="s">
        <v>213</v>
      </c>
      <c r="I49" s="10">
        <v>19.7</v>
      </c>
      <c r="K49" s="11">
        <f t="shared" si="5"/>
        <v>3.2833333333333314</v>
      </c>
      <c r="L49" s="10">
        <f t="shared" si="6"/>
        <v>-15325.320000000003</v>
      </c>
    </row>
    <row r="50" spans="1:12" x14ac:dyDescent="0.25">
      <c r="A50" t="s">
        <v>226</v>
      </c>
      <c r="B50">
        <v>42</v>
      </c>
      <c r="C50" s="1">
        <v>43514</v>
      </c>
      <c r="E50" t="str">
        <f>IF(F50&lt;&gt;"",INDEX(Balance!A:A,MATCH(F50,Balance!B:B,0)),"")</f>
        <v>Client</v>
      </c>
      <c r="F50" t="s">
        <v>378</v>
      </c>
      <c r="G50" t="s">
        <v>227</v>
      </c>
      <c r="H50" t="s">
        <v>228</v>
      </c>
      <c r="J50" s="10">
        <v>15785.51</v>
      </c>
      <c r="K50" s="11">
        <f t="shared" si="5"/>
        <v>-2630.9183333333331</v>
      </c>
      <c r="L50" s="10">
        <f t="shared" si="6"/>
        <v>460.18999999999687</v>
      </c>
    </row>
    <row r="51" spans="1:12" x14ac:dyDescent="0.25">
      <c r="A51" t="s">
        <v>222</v>
      </c>
      <c r="B51">
        <v>43</v>
      </c>
      <c r="C51" s="1">
        <v>43514</v>
      </c>
      <c r="D51">
        <v>1</v>
      </c>
      <c r="E51" t="str">
        <f>IF(F51&lt;&gt;"",INDEX(Balance!A:A,MATCH(F51,Balance!B:B,0)),"")</f>
        <v>Depense</v>
      </c>
      <c r="F51" t="s">
        <v>269</v>
      </c>
      <c r="G51" t="s">
        <v>47</v>
      </c>
      <c r="H51" t="s">
        <v>223</v>
      </c>
      <c r="I51" s="10">
        <v>2671</v>
      </c>
      <c r="K51" s="11">
        <f t="shared" si="5"/>
        <v>445.16666666666652</v>
      </c>
      <c r="L51" s="10">
        <f t="shared" si="6"/>
        <v>-2210.8100000000031</v>
      </c>
    </row>
    <row r="52" spans="1:12" x14ac:dyDescent="0.25">
      <c r="A52" t="s">
        <v>215</v>
      </c>
      <c r="B52">
        <v>44</v>
      </c>
      <c r="C52" s="1">
        <v>43515</v>
      </c>
      <c r="D52">
        <v>1</v>
      </c>
      <c r="E52" t="str">
        <f>IF(F52&lt;&gt;"",INDEX(Balance!A:A,MATCH(F52,Balance!B:B,0)),"")</f>
        <v>Depense</v>
      </c>
      <c r="F52" t="s">
        <v>253</v>
      </c>
      <c r="G52" t="s">
        <v>142</v>
      </c>
      <c r="I52" s="10">
        <v>79.319999999999993</v>
      </c>
      <c r="K52" s="11">
        <f t="shared" si="5"/>
        <v>13.219999999999999</v>
      </c>
      <c r="L52" s="10">
        <f t="shared" si="6"/>
        <v>-2290.1300000000033</v>
      </c>
    </row>
    <row r="53" spans="1:12" x14ac:dyDescent="0.25">
      <c r="A53" t="s">
        <v>214</v>
      </c>
      <c r="B53">
        <v>45</v>
      </c>
      <c r="C53" s="1">
        <v>43515</v>
      </c>
      <c r="D53">
        <v>1</v>
      </c>
      <c r="E53" t="str">
        <f>IF(F53&lt;&gt;"",INDEX(Balance!A:A,MATCH(F53,Balance!B:B,0)),"")</f>
        <v>Depense</v>
      </c>
      <c r="F53" t="s">
        <v>257</v>
      </c>
      <c r="G53" t="s">
        <v>31</v>
      </c>
      <c r="I53" s="10">
        <v>0.21</v>
      </c>
      <c r="K53" s="11">
        <f t="shared" si="5"/>
        <v>3.5000000000000003E-2</v>
      </c>
      <c r="L53" s="10">
        <f t="shared" si="6"/>
        <v>-2290.3400000000033</v>
      </c>
    </row>
    <row r="54" spans="1:12" x14ac:dyDescent="0.25">
      <c r="A54" t="s">
        <v>199</v>
      </c>
      <c r="B54">
        <v>46</v>
      </c>
      <c r="C54" s="1">
        <v>43516</v>
      </c>
      <c r="E54" t="str">
        <f>IF(F54&lt;&gt;"",INDEX(Balance!A:A,MATCH(F54,Balance!B:B,0)),"")</f>
        <v>Fournisseurs</v>
      </c>
      <c r="F54" t="s">
        <v>282</v>
      </c>
      <c r="G54" t="s">
        <v>200</v>
      </c>
      <c r="I54" s="10">
        <v>19.78</v>
      </c>
      <c r="K54" s="11">
        <f t="shared" si="5"/>
        <v>3.2966666666666669</v>
      </c>
      <c r="L54" s="10">
        <f t="shared" si="6"/>
        <v>-2310.1200000000035</v>
      </c>
    </row>
    <row r="55" spans="1:12" x14ac:dyDescent="0.25">
      <c r="A55" t="s">
        <v>207</v>
      </c>
      <c r="B55">
        <v>47</v>
      </c>
      <c r="C55" s="1">
        <v>43516</v>
      </c>
      <c r="E55" t="str">
        <f>IF(F55&lt;&gt;"",INDEX(Balance!A:A,MATCH(F55,Balance!B:B,0)),"")</f>
        <v>Fournisseurs</v>
      </c>
      <c r="F55" t="s">
        <v>371</v>
      </c>
      <c r="G55" t="s">
        <v>204</v>
      </c>
      <c r="I55" s="10">
        <v>468</v>
      </c>
      <c r="K55" s="11">
        <f t="shared" si="5"/>
        <v>78</v>
      </c>
      <c r="L55" s="10">
        <f t="shared" si="6"/>
        <v>-2778.1200000000035</v>
      </c>
    </row>
    <row r="56" spans="1:12" x14ac:dyDescent="0.25">
      <c r="A56" t="s">
        <v>203</v>
      </c>
      <c r="B56">
        <v>48</v>
      </c>
      <c r="C56" s="1">
        <v>43516</v>
      </c>
      <c r="E56" t="str">
        <f>IF(F56&lt;&gt;"",INDEX(Balance!A:A,MATCH(F56,Balance!B:B,0)),"")</f>
        <v>Fournisseurs</v>
      </c>
      <c r="F56" t="s">
        <v>371</v>
      </c>
      <c r="G56" t="s">
        <v>204</v>
      </c>
      <c r="I56" s="10">
        <v>202.8</v>
      </c>
      <c r="K56" s="11">
        <f t="shared" si="5"/>
        <v>33.799999999999983</v>
      </c>
      <c r="L56" s="10">
        <f t="shared" si="6"/>
        <v>-2980.9200000000037</v>
      </c>
    </row>
    <row r="57" spans="1:12" x14ac:dyDescent="0.25">
      <c r="A57" t="s">
        <v>201</v>
      </c>
      <c r="B57">
        <v>49</v>
      </c>
      <c r="C57" s="1">
        <v>43516</v>
      </c>
      <c r="D57">
        <v>1</v>
      </c>
      <c r="E57" t="str">
        <f>IF(F57&lt;&gt;"",INDEX(Balance!A:A,MATCH(F57,Balance!B:B,0)),"")</f>
        <v>Fournisseurs</v>
      </c>
      <c r="F57" t="s">
        <v>357</v>
      </c>
      <c r="G57" t="s">
        <v>202</v>
      </c>
      <c r="I57" s="10">
        <v>142.9</v>
      </c>
      <c r="K57" s="11">
        <f t="shared" si="5"/>
        <v>23.816666666666663</v>
      </c>
      <c r="L57" s="10">
        <f t="shared" si="6"/>
        <v>-3123.8200000000038</v>
      </c>
    </row>
    <row r="58" spans="1:12" x14ac:dyDescent="0.25">
      <c r="A58" t="s">
        <v>205</v>
      </c>
      <c r="B58">
        <v>50</v>
      </c>
      <c r="C58" s="1">
        <v>43516</v>
      </c>
      <c r="D58">
        <v>1</v>
      </c>
      <c r="E58" t="str">
        <f>IF(F58&lt;&gt;"",INDEX(Balance!A:A,MATCH(F58,Balance!B:B,0)),"")</f>
        <v>Fournisseurs</v>
      </c>
      <c r="F58" t="s">
        <v>357</v>
      </c>
      <c r="G58" t="s">
        <v>206</v>
      </c>
      <c r="I58" s="10">
        <v>266.95</v>
      </c>
      <c r="K58" s="11">
        <f t="shared" si="5"/>
        <v>44.491666666666646</v>
      </c>
      <c r="L58" s="10">
        <f t="shared" si="6"/>
        <v>-3390.7700000000036</v>
      </c>
    </row>
    <row r="59" spans="1:12" x14ac:dyDescent="0.25">
      <c r="A59" t="s">
        <v>212</v>
      </c>
      <c r="B59">
        <v>51</v>
      </c>
      <c r="C59" s="1">
        <v>43516</v>
      </c>
      <c r="D59">
        <v>1</v>
      </c>
      <c r="E59" t="str">
        <f>IF(F59&lt;&gt;"",INDEX(Balance!A:A,MATCH(F59,Balance!B:B,0)),"")</f>
        <v>Depense</v>
      </c>
      <c r="F59" t="s">
        <v>254</v>
      </c>
      <c r="G59" t="s">
        <v>213</v>
      </c>
      <c r="I59" s="10">
        <v>26.9</v>
      </c>
      <c r="K59" s="11">
        <f t="shared" si="5"/>
        <v>4.4833333333333307</v>
      </c>
      <c r="L59" s="10">
        <f t="shared" si="6"/>
        <v>-3417.6700000000037</v>
      </c>
    </row>
    <row r="60" spans="1:12" x14ac:dyDescent="0.25">
      <c r="A60" t="s">
        <v>210</v>
      </c>
      <c r="B60">
        <v>52</v>
      </c>
      <c r="C60" s="1">
        <v>43516</v>
      </c>
      <c r="D60">
        <v>1</v>
      </c>
      <c r="E60" t="str">
        <f>IF(F60&lt;&gt;"",INDEX(Balance!A:A,MATCH(F60,Balance!B:B,0)),"")</f>
        <v>Depense</v>
      </c>
      <c r="F60" t="s">
        <v>372</v>
      </c>
      <c r="G60" t="s">
        <v>211</v>
      </c>
      <c r="I60" s="10">
        <v>6.2</v>
      </c>
      <c r="K60" s="11">
        <f t="shared" si="5"/>
        <v>1.0333333333333332</v>
      </c>
      <c r="L60" s="10">
        <f t="shared" si="6"/>
        <v>-3423.8700000000035</v>
      </c>
    </row>
    <row r="61" spans="1:12" x14ac:dyDescent="0.25">
      <c r="A61" t="s">
        <v>208</v>
      </c>
      <c r="B61">
        <v>53</v>
      </c>
      <c r="C61" s="1">
        <v>43516</v>
      </c>
      <c r="D61">
        <v>1</v>
      </c>
      <c r="E61" t="str">
        <f>IF(F61&lt;&gt;"",INDEX(Balance!A:A,MATCH(F61,Balance!B:B,0)),"")</f>
        <v>Depense</v>
      </c>
      <c r="F61" t="s">
        <v>372</v>
      </c>
      <c r="G61" t="s">
        <v>209</v>
      </c>
      <c r="I61" s="10">
        <v>4.9000000000000004</v>
      </c>
      <c r="K61" s="11">
        <f t="shared" si="5"/>
        <v>0.81666666666666643</v>
      </c>
      <c r="L61" s="10">
        <f t="shared" si="6"/>
        <v>-3428.7700000000036</v>
      </c>
    </row>
    <row r="62" spans="1:12" x14ac:dyDescent="0.25">
      <c r="A62" t="s">
        <v>198</v>
      </c>
      <c r="B62">
        <v>54</v>
      </c>
      <c r="C62" s="1">
        <v>43517</v>
      </c>
      <c r="D62">
        <v>1</v>
      </c>
      <c r="E62" t="str">
        <f>IF(F62&lt;&gt;"",INDEX(Balance!A:A,MATCH(F62,Balance!B:B,0)),"")</f>
        <v>Depense</v>
      </c>
      <c r="F62" t="s">
        <v>253</v>
      </c>
      <c r="G62" t="s">
        <v>122</v>
      </c>
      <c r="I62" s="10">
        <v>77.06</v>
      </c>
      <c r="K62" s="11">
        <f t="shared" si="5"/>
        <v>12.843333333333334</v>
      </c>
      <c r="L62" s="10">
        <f t="shared" si="6"/>
        <v>-3505.8300000000036</v>
      </c>
    </row>
    <row r="63" spans="1:12" x14ac:dyDescent="0.25">
      <c r="A63" t="s">
        <v>197</v>
      </c>
      <c r="B63">
        <v>55</v>
      </c>
      <c r="C63" s="1">
        <v>43517</v>
      </c>
      <c r="D63">
        <v>1</v>
      </c>
      <c r="E63" t="str">
        <f>IF(F63&lt;&gt;"",INDEX(Balance!A:A,MATCH(F63,Balance!B:B,0)),"")</f>
        <v>Depense</v>
      </c>
      <c r="F63" t="s">
        <v>254</v>
      </c>
      <c r="G63" t="s">
        <v>109</v>
      </c>
      <c r="I63" s="10">
        <v>16.3</v>
      </c>
      <c r="K63" s="11">
        <f t="shared" si="5"/>
        <v>2.7166666666666668</v>
      </c>
      <c r="L63" s="10">
        <f t="shared" si="6"/>
        <v>-3522.1300000000037</v>
      </c>
    </row>
    <row r="64" spans="1:12" x14ac:dyDescent="0.25">
      <c r="A64" t="s">
        <v>190</v>
      </c>
      <c r="B64">
        <v>56</v>
      </c>
      <c r="C64" s="1">
        <v>43517</v>
      </c>
      <c r="D64">
        <v>1</v>
      </c>
      <c r="E64" t="str">
        <f>IF(F64&lt;&gt;"",INDEX(Balance!A:A,MATCH(F64,Balance!B:B,0)),"")</f>
        <v>Depense</v>
      </c>
      <c r="F64" t="s">
        <v>269</v>
      </c>
      <c r="G64" t="s">
        <v>15</v>
      </c>
      <c r="H64" t="s">
        <v>191</v>
      </c>
      <c r="I64" s="10">
        <v>151</v>
      </c>
      <c r="K64" s="11">
        <f t="shared" si="5"/>
        <v>25.166666666666657</v>
      </c>
      <c r="L64" s="10">
        <f t="shared" si="6"/>
        <v>-3673.1300000000037</v>
      </c>
    </row>
    <row r="65" spans="1:12" x14ac:dyDescent="0.25">
      <c r="A65" t="s">
        <v>192</v>
      </c>
      <c r="B65">
        <v>57</v>
      </c>
      <c r="C65" s="1">
        <v>43517</v>
      </c>
      <c r="D65">
        <v>1</v>
      </c>
      <c r="E65" t="str">
        <f>IF(F65&lt;&gt;"",INDEX(Balance!A:A,MATCH(F65,Balance!B:B,0)),"")</f>
        <v>Depense</v>
      </c>
      <c r="F65" t="s">
        <v>257</v>
      </c>
      <c r="G65" t="s">
        <v>31</v>
      </c>
      <c r="I65" s="10">
        <v>0.21</v>
      </c>
      <c r="K65" s="11">
        <f t="shared" si="5"/>
        <v>3.5000000000000003E-2</v>
      </c>
      <c r="L65" s="10">
        <f t="shared" si="6"/>
        <v>-3673.3400000000038</v>
      </c>
    </row>
    <row r="66" spans="1:12" x14ac:dyDescent="0.25">
      <c r="A66" t="s">
        <v>193</v>
      </c>
      <c r="B66">
        <v>58</v>
      </c>
      <c r="C66" s="1">
        <v>43517</v>
      </c>
      <c r="D66">
        <v>1</v>
      </c>
      <c r="E66" t="str">
        <f>IF(F66&lt;&gt;"",INDEX(Balance!A:A,MATCH(F66,Balance!B:B,0)),"")</f>
        <v>Depense</v>
      </c>
      <c r="F66" t="s">
        <v>257</v>
      </c>
      <c r="G66" t="s">
        <v>31</v>
      </c>
      <c r="I66" s="10">
        <v>0.21</v>
      </c>
      <c r="K66" s="11">
        <f t="shared" si="5"/>
        <v>3.5000000000000003E-2</v>
      </c>
      <c r="L66" s="10">
        <f t="shared" si="6"/>
        <v>-3673.5500000000038</v>
      </c>
    </row>
    <row r="67" spans="1:12" x14ac:dyDescent="0.25">
      <c r="A67" t="s">
        <v>194</v>
      </c>
      <c r="B67">
        <v>59</v>
      </c>
      <c r="C67" s="1">
        <v>43517</v>
      </c>
      <c r="D67">
        <v>1</v>
      </c>
      <c r="E67" t="str">
        <f>IF(F67&lt;&gt;"",INDEX(Balance!A:A,MATCH(F67,Balance!B:B,0)),"")</f>
        <v>Depense</v>
      </c>
      <c r="F67" t="s">
        <v>257</v>
      </c>
      <c r="G67" t="s">
        <v>31</v>
      </c>
      <c r="I67" s="10">
        <v>0.21</v>
      </c>
      <c r="K67" s="11">
        <f t="shared" si="5"/>
        <v>3.5000000000000003E-2</v>
      </c>
      <c r="L67" s="10">
        <f t="shared" si="6"/>
        <v>-3673.7600000000039</v>
      </c>
    </row>
    <row r="68" spans="1:12" x14ac:dyDescent="0.25">
      <c r="A68" t="s">
        <v>195</v>
      </c>
      <c r="B68">
        <v>60</v>
      </c>
      <c r="C68" s="1">
        <v>43517</v>
      </c>
      <c r="D68">
        <v>1</v>
      </c>
      <c r="E68" t="str">
        <f>IF(F68&lt;&gt;"",INDEX(Balance!A:A,MATCH(F68,Balance!B:B,0)),"")</f>
        <v>Depense</v>
      </c>
      <c r="F68" t="s">
        <v>257</v>
      </c>
      <c r="G68" t="s">
        <v>31</v>
      </c>
      <c r="I68" s="10">
        <v>0.21</v>
      </c>
      <c r="K68" s="11">
        <f t="shared" si="5"/>
        <v>3.5000000000000003E-2</v>
      </c>
      <c r="L68" s="10">
        <f t="shared" si="6"/>
        <v>-3673.9700000000039</v>
      </c>
    </row>
    <row r="69" spans="1:12" x14ac:dyDescent="0.25">
      <c r="A69" t="s">
        <v>196</v>
      </c>
      <c r="B69">
        <v>61</v>
      </c>
      <c r="C69" s="1">
        <v>43517</v>
      </c>
      <c r="D69">
        <v>1</v>
      </c>
      <c r="E69" t="str">
        <f>IF(F69&lt;&gt;"",INDEX(Balance!A:A,MATCH(F69,Balance!B:B,0)),"")</f>
        <v>Depense</v>
      </c>
      <c r="F69" t="s">
        <v>257</v>
      </c>
      <c r="G69" t="s">
        <v>31</v>
      </c>
      <c r="I69" s="10">
        <v>0.21</v>
      </c>
      <c r="K69" s="11">
        <f t="shared" si="5"/>
        <v>3.5000000000000003E-2</v>
      </c>
      <c r="L69" s="10">
        <f t="shared" si="6"/>
        <v>-3674.1800000000039</v>
      </c>
    </row>
    <row r="70" spans="1:12" x14ac:dyDescent="0.25">
      <c r="A70" t="s">
        <v>188</v>
      </c>
      <c r="B70">
        <v>62</v>
      </c>
      <c r="C70" s="1">
        <v>43518</v>
      </c>
      <c r="D70">
        <v>1</v>
      </c>
      <c r="E70" t="str">
        <f>IF(F70&lt;&gt;"",INDEX(Balance!A:A,MATCH(F70,Balance!B:B,0)),"")</f>
        <v>Depense</v>
      </c>
      <c r="F70" t="s">
        <v>256</v>
      </c>
      <c r="G70" t="s">
        <v>189</v>
      </c>
      <c r="I70" s="10">
        <v>1536.73</v>
      </c>
      <c r="K70" s="11">
        <f t="shared" si="5"/>
        <v>256.12166666666667</v>
      </c>
      <c r="L70" s="10">
        <f t="shared" si="6"/>
        <v>-5210.9100000000035</v>
      </c>
    </row>
    <row r="71" spans="1:12" x14ac:dyDescent="0.25">
      <c r="A71" t="s">
        <v>186</v>
      </c>
      <c r="B71">
        <v>63</v>
      </c>
      <c r="C71" s="1">
        <v>43521</v>
      </c>
      <c r="E71" t="str">
        <f>IF(F71&lt;&gt;"",INDEX(Balance!A:A,MATCH(F71,Balance!B:B,0)),"")</f>
        <v>Fournisseurs</v>
      </c>
      <c r="F71" t="s">
        <v>277</v>
      </c>
      <c r="G71" t="s">
        <v>187</v>
      </c>
      <c r="I71" s="10">
        <v>303.60000000000002</v>
      </c>
      <c r="K71" s="11">
        <f t="shared" si="5"/>
        <v>50.599999999999994</v>
      </c>
      <c r="L71" s="10">
        <f t="shared" si="6"/>
        <v>-5514.5100000000039</v>
      </c>
    </row>
    <row r="72" spans="1:12" x14ac:dyDescent="0.25">
      <c r="A72" t="s">
        <v>183</v>
      </c>
      <c r="B72">
        <v>64</v>
      </c>
      <c r="C72" s="1">
        <v>43521</v>
      </c>
      <c r="D72">
        <v>1</v>
      </c>
      <c r="E72" t="str">
        <f>IF(F72&lt;&gt;"",INDEX(Balance!A:A,MATCH(F72,Balance!B:B,0)),"")</f>
        <v>Depense</v>
      </c>
      <c r="F72" t="s">
        <v>253</v>
      </c>
      <c r="G72" t="s">
        <v>149</v>
      </c>
      <c r="I72" s="10">
        <v>75.56</v>
      </c>
      <c r="K72" s="11">
        <f t="shared" si="5"/>
        <v>12.593333333333334</v>
      </c>
      <c r="L72" s="10">
        <f t="shared" si="6"/>
        <v>-5590.0700000000043</v>
      </c>
    </row>
    <row r="73" spans="1:12" x14ac:dyDescent="0.25">
      <c r="A73" t="s">
        <v>181</v>
      </c>
      <c r="B73">
        <v>65</v>
      </c>
      <c r="C73" s="1">
        <v>43521</v>
      </c>
      <c r="D73">
        <v>1</v>
      </c>
      <c r="E73" t="str">
        <f>IF(F73&lt;&gt;"",INDEX(Balance!A:A,MATCH(F73,Balance!B:B,0)),"")</f>
        <v>Depense</v>
      </c>
      <c r="F73" t="s">
        <v>254</v>
      </c>
      <c r="G73" t="s">
        <v>182</v>
      </c>
      <c r="I73" s="10">
        <v>11.95</v>
      </c>
      <c r="K73" s="11">
        <f t="shared" si="5"/>
        <v>1.9916666666666654</v>
      </c>
      <c r="L73" s="10">
        <f t="shared" si="6"/>
        <v>-5602.0200000000041</v>
      </c>
    </row>
    <row r="74" spans="1:12" x14ac:dyDescent="0.25">
      <c r="A74" t="s">
        <v>184</v>
      </c>
      <c r="B74">
        <v>66</v>
      </c>
      <c r="C74" s="1">
        <v>43521</v>
      </c>
      <c r="E74" t="str">
        <f>IF(F74&lt;&gt;"",INDEX(Balance!A:A,MATCH(F74,Balance!B:B,0)),"")</f>
        <v>Fournisseurs</v>
      </c>
      <c r="F74" t="s">
        <v>285</v>
      </c>
      <c r="G74" t="s">
        <v>185</v>
      </c>
      <c r="H74" t="s">
        <v>433</v>
      </c>
      <c r="I74" s="10">
        <v>1252.92</v>
      </c>
      <c r="K74" s="11">
        <f t="shared" si="5"/>
        <v>208.81999999999994</v>
      </c>
      <c r="L74" s="10">
        <f t="shared" si="6"/>
        <v>-6854.9400000000041</v>
      </c>
    </row>
    <row r="75" spans="1:12" x14ac:dyDescent="0.25">
      <c r="A75" t="s">
        <v>180</v>
      </c>
      <c r="B75">
        <v>67</v>
      </c>
      <c r="C75" s="1">
        <v>43521</v>
      </c>
      <c r="D75">
        <v>1</v>
      </c>
      <c r="E75" t="str">
        <f>IF(F75&lt;&gt;"",INDEX(Balance!A:A,MATCH(F75,Balance!B:B,0)),"")</f>
        <v>Depense</v>
      </c>
      <c r="F75" t="s">
        <v>257</v>
      </c>
      <c r="G75" t="s">
        <v>31</v>
      </c>
      <c r="I75" s="10">
        <v>0.21</v>
      </c>
      <c r="K75" s="11">
        <f t="shared" si="5"/>
        <v>3.5000000000000003E-2</v>
      </c>
      <c r="L75" s="10">
        <f t="shared" si="6"/>
        <v>-6855.1500000000042</v>
      </c>
    </row>
    <row r="76" spans="1:12" x14ac:dyDescent="0.25">
      <c r="A76" t="s">
        <v>177</v>
      </c>
      <c r="B76">
        <v>68</v>
      </c>
      <c r="C76" s="1">
        <v>43522</v>
      </c>
      <c r="D76">
        <v>1</v>
      </c>
      <c r="E76" t="str">
        <f>IF(F76&lt;&gt;"",INDEX(Balance!A:A,MATCH(F76,Balance!B:B,0)),"")</f>
        <v>Fournisseurs</v>
      </c>
      <c r="F76" t="s">
        <v>373</v>
      </c>
      <c r="G76" t="s">
        <v>132</v>
      </c>
      <c r="I76" s="10">
        <v>34.35</v>
      </c>
      <c r="K76" s="11">
        <f t="shared" si="5"/>
        <v>5.7249999999999979</v>
      </c>
      <c r="L76" s="10">
        <f t="shared" si="6"/>
        <v>-6889.5000000000045</v>
      </c>
    </row>
    <row r="77" spans="1:12" x14ac:dyDescent="0.25">
      <c r="A77" t="s">
        <v>178</v>
      </c>
      <c r="B77">
        <v>69</v>
      </c>
      <c r="C77" s="1">
        <v>43522</v>
      </c>
      <c r="D77">
        <v>1</v>
      </c>
      <c r="E77" t="str">
        <f>IF(F77&lt;&gt;"",INDEX(Balance!A:A,MATCH(F77,Balance!B:B,0)),"")</f>
        <v>Depense</v>
      </c>
      <c r="F77" t="s">
        <v>253</v>
      </c>
      <c r="G77" t="s">
        <v>179</v>
      </c>
      <c r="I77" s="10">
        <v>82.12</v>
      </c>
      <c r="K77" s="11">
        <f t="shared" si="5"/>
        <v>13.686666666666667</v>
      </c>
      <c r="L77" s="10">
        <f t="shared" si="6"/>
        <v>-6971.6200000000044</v>
      </c>
    </row>
    <row r="78" spans="1:12" x14ac:dyDescent="0.25">
      <c r="A78" t="s">
        <v>172</v>
      </c>
      <c r="B78">
        <v>70</v>
      </c>
      <c r="C78" s="1">
        <v>43523</v>
      </c>
      <c r="D78">
        <v>1</v>
      </c>
      <c r="E78" t="str">
        <f>IF(F78&lt;&gt;"",INDEX(Balance!A:A,MATCH(F78,Balance!B:B,0)),"")</f>
        <v>Depense</v>
      </c>
      <c r="F78" t="s">
        <v>256</v>
      </c>
      <c r="G78" t="s">
        <v>117</v>
      </c>
      <c r="I78" s="10">
        <v>900</v>
      </c>
      <c r="K78" s="11">
        <f t="shared" si="5"/>
        <v>150</v>
      </c>
      <c r="L78" s="10">
        <f t="shared" si="6"/>
        <v>-7871.6200000000044</v>
      </c>
    </row>
    <row r="79" spans="1:12" x14ac:dyDescent="0.25">
      <c r="A79" t="s">
        <v>170</v>
      </c>
      <c r="B79">
        <v>71</v>
      </c>
      <c r="C79" s="1">
        <v>43523</v>
      </c>
      <c r="D79">
        <v>1</v>
      </c>
      <c r="E79" t="str">
        <f>IF(F79&lt;&gt;"",INDEX(Balance!A:A,MATCH(F79,Balance!B:B,0)),"")</f>
        <v>Depense</v>
      </c>
      <c r="F79" t="s">
        <v>256</v>
      </c>
      <c r="G79" t="s">
        <v>171</v>
      </c>
      <c r="I79" s="10">
        <v>804.21</v>
      </c>
      <c r="K79" s="11">
        <f t="shared" si="5"/>
        <v>134.03499999999997</v>
      </c>
      <c r="L79" s="10">
        <f t="shared" si="6"/>
        <v>-8675.8300000000054</v>
      </c>
    </row>
    <row r="80" spans="1:12" x14ac:dyDescent="0.25">
      <c r="A80" t="s">
        <v>173</v>
      </c>
      <c r="B80">
        <v>72</v>
      </c>
      <c r="C80" s="1">
        <v>43523</v>
      </c>
      <c r="D80">
        <v>1</v>
      </c>
      <c r="E80" t="str">
        <f>IF(F80&lt;&gt;"",INDEX(Balance!A:A,MATCH(F80,Balance!B:B,0)),"")</f>
        <v>Depense</v>
      </c>
      <c r="F80" t="s">
        <v>256</v>
      </c>
      <c r="G80" t="s">
        <v>174</v>
      </c>
      <c r="I80" s="10">
        <v>1416.64</v>
      </c>
      <c r="K80" s="11">
        <f t="shared" si="5"/>
        <v>236.10666666666657</v>
      </c>
      <c r="L80" s="10">
        <f t="shared" si="6"/>
        <v>-10092.470000000005</v>
      </c>
    </row>
    <row r="81" spans="1:12" x14ac:dyDescent="0.25">
      <c r="A81" t="s">
        <v>175</v>
      </c>
      <c r="B81">
        <v>73</v>
      </c>
      <c r="C81" s="1">
        <v>43523</v>
      </c>
      <c r="D81">
        <v>1</v>
      </c>
      <c r="E81" t="str">
        <f>IF(F81&lt;&gt;"",INDEX(Balance!A:A,MATCH(F81,Balance!B:B,0)),"")</f>
        <v>Depense</v>
      </c>
      <c r="F81" t="s">
        <v>256</v>
      </c>
      <c r="G81" t="s">
        <v>176</v>
      </c>
      <c r="I81" s="10">
        <v>1860.16</v>
      </c>
      <c r="K81" s="11">
        <f t="shared" si="5"/>
        <v>310.02666666666664</v>
      </c>
      <c r="L81" s="10">
        <f t="shared" si="6"/>
        <v>-11952.630000000005</v>
      </c>
    </row>
    <row r="82" spans="1:12" x14ac:dyDescent="0.25">
      <c r="A82" t="s">
        <v>168</v>
      </c>
      <c r="B82">
        <v>74</v>
      </c>
      <c r="C82" s="1">
        <v>43524</v>
      </c>
      <c r="E82" t="str">
        <f>IF(F82&lt;&gt;"",INDEX(Balance!A:A,MATCH(F82,Balance!B:B,0)),"")</f>
        <v/>
      </c>
      <c r="G82" t="s">
        <v>169</v>
      </c>
      <c r="I82" s="10">
        <v>3264.87</v>
      </c>
      <c r="K82" s="11">
        <f t="shared" si="5"/>
        <v>544.14499999999998</v>
      </c>
      <c r="L82" s="10">
        <f t="shared" si="6"/>
        <v>-15217.500000000004</v>
      </c>
    </row>
    <row r="83" spans="1:12" x14ac:dyDescent="0.25">
      <c r="C83" s="1"/>
      <c r="E83" t="str">
        <f>IF(F83&lt;&gt;"",INDEX(Balance!A:A,MATCH(F83,Balance!B:B,0)),"")</f>
        <v>Fournisseurs</v>
      </c>
      <c r="F83" t="s">
        <v>276</v>
      </c>
      <c r="I83" s="10">
        <v>429.54</v>
      </c>
    </row>
    <row r="84" spans="1:12" x14ac:dyDescent="0.25">
      <c r="C84" s="1"/>
      <c r="E84" t="str">
        <f>IF(F84&lt;&gt;"",INDEX(Balance!A:A,MATCH(F84,Balance!B:B,0)),"")</f>
        <v>Fournisseurs</v>
      </c>
      <c r="F84" t="s">
        <v>286</v>
      </c>
      <c r="I84" s="10">
        <v>444</v>
      </c>
    </row>
    <row r="85" spans="1:12" x14ac:dyDescent="0.25">
      <c r="C85" s="1"/>
      <c r="E85" t="str">
        <f>IF(F85&lt;&gt;"",INDEX(Balance!A:A,MATCH(F85,Balance!B:B,0)),"")</f>
        <v>Fournisseurs</v>
      </c>
      <c r="F85" t="s">
        <v>274</v>
      </c>
      <c r="I85" s="10">
        <v>455.24</v>
      </c>
    </row>
    <row r="86" spans="1:12" x14ac:dyDescent="0.25">
      <c r="C86" s="1"/>
      <c r="E86" t="str">
        <f>IF(F86&lt;&gt;"",INDEX(Balance!A:A,MATCH(F86,Balance!B:B,0)),"")</f>
        <v>Fournisseurs</v>
      </c>
      <c r="F86" t="s">
        <v>259</v>
      </c>
      <c r="I86" s="10">
        <v>1936.09</v>
      </c>
    </row>
    <row r="87" spans="1:12" x14ac:dyDescent="0.25">
      <c r="A87" t="s">
        <v>166</v>
      </c>
      <c r="B87">
        <v>75</v>
      </c>
      <c r="C87" s="1">
        <v>43524</v>
      </c>
      <c r="D87">
        <v>1</v>
      </c>
      <c r="E87" t="str">
        <f>IF(F87&lt;&gt;"",INDEX(Balance!A:A,MATCH(F87,Balance!B:B,0)),"")</f>
        <v>Depense</v>
      </c>
      <c r="F87" t="s">
        <v>254</v>
      </c>
      <c r="G87" t="s">
        <v>167</v>
      </c>
      <c r="I87" s="10">
        <v>14.85</v>
      </c>
      <c r="K87" s="11">
        <f t="shared" ref="K87:K118" si="7">IF(I87&gt;0,I87-(I87/TVA),-(J87-(J87/TVA)))</f>
        <v>2.4749999999999996</v>
      </c>
      <c r="L87" s="10">
        <f>L82-I87+J87</f>
        <v>-15232.350000000004</v>
      </c>
    </row>
    <row r="88" spans="1:12" x14ac:dyDescent="0.25">
      <c r="A88" t="s">
        <v>164</v>
      </c>
      <c r="B88">
        <v>76</v>
      </c>
      <c r="C88" s="1">
        <v>43524</v>
      </c>
      <c r="D88">
        <v>1</v>
      </c>
      <c r="E88" t="str">
        <f>IF(F88&lt;&gt;"",INDEX(Balance!A:A,MATCH(F88,Balance!B:B,0)),"")</f>
        <v>Depense</v>
      </c>
      <c r="F88" t="s">
        <v>372</v>
      </c>
      <c r="G88" t="s">
        <v>165</v>
      </c>
      <c r="I88" s="10">
        <v>3.1</v>
      </c>
      <c r="K88" s="11">
        <f t="shared" si="7"/>
        <v>0.51666666666666661</v>
      </c>
      <c r="L88" s="10">
        <f t="shared" ref="L88:L118" si="8">L87-I88+J88</f>
        <v>-15235.450000000004</v>
      </c>
    </row>
    <row r="89" spans="1:12" x14ac:dyDescent="0.25">
      <c r="A89" t="s">
        <v>162</v>
      </c>
      <c r="B89">
        <v>77</v>
      </c>
      <c r="C89" s="1">
        <v>43525</v>
      </c>
      <c r="D89">
        <v>1</v>
      </c>
      <c r="E89" t="str">
        <f>IF(F89&lt;&gt;"",INDEX(Balance!A:A,MATCH(F89,Balance!B:B,0)),"")</f>
        <v>Depense</v>
      </c>
      <c r="F89" t="s">
        <v>257</v>
      </c>
      <c r="G89" t="s">
        <v>163</v>
      </c>
      <c r="I89" s="10">
        <v>132</v>
      </c>
      <c r="K89" s="11">
        <f t="shared" si="7"/>
        <v>22</v>
      </c>
      <c r="L89" s="10">
        <f t="shared" si="8"/>
        <v>-15367.450000000004</v>
      </c>
    </row>
    <row r="90" spans="1:12" x14ac:dyDescent="0.25">
      <c r="A90" t="s">
        <v>161</v>
      </c>
      <c r="B90">
        <v>78</v>
      </c>
      <c r="C90" s="1">
        <v>43525</v>
      </c>
      <c r="D90">
        <v>1</v>
      </c>
      <c r="E90" t="str">
        <f>IF(F90&lt;&gt;"",INDEX(Balance!A:A,MATCH(F90,Balance!B:B,0)),"")</f>
        <v>Depense</v>
      </c>
      <c r="F90" t="s">
        <v>254</v>
      </c>
      <c r="G90" t="s">
        <v>33</v>
      </c>
      <c r="I90" s="10">
        <v>16</v>
      </c>
      <c r="K90" s="11">
        <f t="shared" si="7"/>
        <v>2.6666666666666661</v>
      </c>
      <c r="L90" s="10">
        <f t="shared" si="8"/>
        <v>-15383.450000000004</v>
      </c>
    </row>
    <row r="91" spans="1:12" x14ac:dyDescent="0.25">
      <c r="A91" t="s">
        <v>157</v>
      </c>
      <c r="B91">
        <v>79</v>
      </c>
      <c r="C91" s="1">
        <v>43525</v>
      </c>
      <c r="D91">
        <v>1</v>
      </c>
      <c r="E91" t="str">
        <f>IF(F91&lt;&gt;"",INDEX(Balance!A:A,MATCH(F91,Balance!B:B,0)),"")</f>
        <v>Depense</v>
      </c>
      <c r="F91" t="s">
        <v>257</v>
      </c>
      <c r="G91" t="s">
        <v>31</v>
      </c>
      <c r="I91" s="10">
        <v>0.21</v>
      </c>
      <c r="K91" s="11">
        <f t="shared" si="7"/>
        <v>3.5000000000000003E-2</v>
      </c>
      <c r="L91" s="10">
        <f t="shared" si="8"/>
        <v>-15383.660000000003</v>
      </c>
    </row>
    <row r="92" spans="1:12" x14ac:dyDescent="0.25">
      <c r="A92" t="s">
        <v>158</v>
      </c>
      <c r="B92">
        <v>80</v>
      </c>
      <c r="C92" s="1">
        <v>43525</v>
      </c>
      <c r="D92">
        <v>1</v>
      </c>
      <c r="E92" t="str">
        <f>IF(F92&lt;&gt;"",INDEX(Balance!A:A,MATCH(F92,Balance!B:B,0)),"")</f>
        <v>Depense</v>
      </c>
      <c r="F92" t="s">
        <v>257</v>
      </c>
      <c r="G92" t="s">
        <v>31</v>
      </c>
      <c r="I92" s="10">
        <v>0.21</v>
      </c>
      <c r="K92" s="11">
        <f t="shared" si="7"/>
        <v>3.5000000000000003E-2</v>
      </c>
      <c r="L92" s="10">
        <f t="shared" si="8"/>
        <v>-15383.870000000003</v>
      </c>
    </row>
    <row r="93" spans="1:12" x14ac:dyDescent="0.25">
      <c r="A93" t="s">
        <v>159</v>
      </c>
      <c r="B93">
        <v>81</v>
      </c>
      <c r="C93" s="1">
        <v>43525</v>
      </c>
      <c r="D93">
        <v>1</v>
      </c>
      <c r="E93" t="str">
        <f>IF(F93&lt;&gt;"",INDEX(Balance!A:A,MATCH(F93,Balance!B:B,0)),"")</f>
        <v>Depense</v>
      </c>
      <c r="F93" t="s">
        <v>257</v>
      </c>
      <c r="G93" t="s">
        <v>31</v>
      </c>
      <c r="I93" s="10">
        <v>0.21</v>
      </c>
      <c r="K93" s="11">
        <f t="shared" si="7"/>
        <v>3.5000000000000003E-2</v>
      </c>
      <c r="L93" s="10">
        <f t="shared" si="8"/>
        <v>-15384.080000000002</v>
      </c>
    </row>
    <row r="94" spans="1:12" x14ac:dyDescent="0.25">
      <c r="A94" t="s">
        <v>160</v>
      </c>
      <c r="B94">
        <v>82</v>
      </c>
      <c r="C94" s="1">
        <v>43525</v>
      </c>
      <c r="D94">
        <v>1</v>
      </c>
      <c r="E94" t="str">
        <f>IF(F94&lt;&gt;"",INDEX(Balance!A:A,MATCH(F94,Balance!B:B,0)),"")</f>
        <v>Depense</v>
      </c>
      <c r="F94" t="s">
        <v>257</v>
      </c>
      <c r="G94" t="s">
        <v>31</v>
      </c>
      <c r="I94" s="10">
        <v>0.21</v>
      </c>
      <c r="K94" s="11">
        <f t="shared" si="7"/>
        <v>3.5000000000000003E-2</v>
      </c>
      <c r="L94" s="10">
        <f t="shared" si="8"/>
        <v>-15384.29</v>
      </c>
    </row>
    <row r="95" spans="1:12" x14ac:dyDescent="0.25">
      <c r="A95" t="s">
        <v>155</v>
      </c>
      <c r="B95">
        <v>83</v>
      </c>
      <c r="C95" s="1">
        <v>43526</v>
      </c>
      <c r="D95">
        <v>1</v>
      </c>
      <c r="E95" t="str">
        <f>IF(F95&lt;&gt;"",INDEX(Balance!A:A,MATCH(F95,Balance!B:B,0)),"")</f>
        <v>Depense</v>
      </c>
      <c r="F95" t="s">
        <v>257</v>
      </c>
      <c r="G95" t="s">
        <v>156</v>
      </c>
      <c r="J95" s="10">
        <v>0</v>
      </c>
      <c r="K95" s="11">
        <f t="shared" si="7"/>
        <v>0</v>
      </c>
      <c r="L95" s="10">
        <f t="shared" si="8"/>
        <v>-15384.29</v>
      </c>
    </row>
    <row r="96" spans="1:12" x14ac:dyDescent="0.25">
      <c r="A96" t="s">
        <v>150</v>
      </c>
      <c r="B96">
        <v>84</v>
      </c>
      <c r="C96" s="1">
        <v>43528</v>
      </c>
      <c r="D96">
        <v>1</v>
      </c>
      <c r="E96" t="str">
        <f>IF(F96&lt;&gt;"",INDEX(Balance!A:A,MATCH(F96,Balance!B:B,0)),"")</f>
        <v>Fournisseurs</v>
      </c>
      <c r="F96" t="s">
        <v>273</v>
      </c>
      <c r="G96" t="s">
        <v>151</v>
      </c>
      <c r="I96" s="10">
        <v>311.74</v>
      </c>
      <c r="K96" s="11">
        <f t="shared" si="7"/>
        <v>51.956666666666649</v>
      </c>
      <c r="L96" s="10">
        <f t="shared" si="8"/>
        <v>-15696.03</v>
      </c>
    </row>
    <row r="97" spans="1:12" x14ac:dyDescent="0.25">
      <c r="A97" t="s">
        <v>148</v>
      </c>
      <c r="B97">
        <v>85</v>
      </c>
      <c r="C97" s="1">
        <v>43528</v>
      </c>
      <c r="D97">
        <v>1</v>
      </c>
      <c r="E97" t="str">
        <f>IF(F97&lt;&gt;"",INDEX(Balance!A:A,MATCH(F97,Balance!B:B,0)),"")</f>
        <v>Depense</v>
      </c>
      <c r="F97" t="s">
        <v>253</v>
      </c>
      <c r="G97" t="s">
        <v>149</v>
      </c>
      <c r="I97" s="10">
        <v>72.239999999999995</v>
      </c>
      <c r="K97" s="11">
        <f t="shared" si="7"/>
        <v>12.04</v>
      </c>
      <c r="L97" s="10">
        <f t="shared" si="8"/>
        <v>-15768.27</v>
      </c>
    </row>
    <row r="98" spans="1:12" x14ac:dyDescent="0.25">
      <c r="A98" t="s">
        <v>147</v>
      </c>
      <c r="B98">
        <v>86</v>
      </c>
      <c r="C98" s="1">
        <v>43528</v>
      </c>
      <c r="D98">
        <v>1</v>
      </c>
      <c r="E98" t="str">
        <f>IF(F98&lt;&gt;"",INDEX(Balance!A:A,MATCH(F98,Balance!B:B,0)),"")</f>
        <v>Depense</v>
      </c>
      <c r="F98" t="s">
        <v>254</v>
      </c>
      <c r="G98" t="s">
        <v>33</v>
      </c>
      <c r="I98" s="10">
        <v>21</v>
      </c>
      <c r="K98" s="11">
        <f t="shared" si="7"/>
        <v>3.5</v>
      </c>
      <c r="L98" s="10">
        <f t="shared" si="8"/>
        <v>-15789.27</v>
      </c>
    </row>
    <row r="99" spans="1:12" x14ac:dyDescent="0.25">
      <c r="A99" t="s">
        <v>152</v>
      </c>
      <c r="B99">
        <v>87</v>
      </c>
      <c r="C99" s="1">
        <v>43528</v>
      </c>
      <c r="D99">
        <v>1</v>
      </c>
      <c r="E99" t="str">
        <f>IF(F99&lt;&gt;"",INDEX(Balance!A:A,MATCH(F99,Balance!B:B,0)),"")</f>
        <v>Recette</v>
      </c>
      <c r="F99" t="s">
        <v>287</v>
      </c>
      <c r="G99" t="s">
        <v>153</v>
      </c>
      <c r="H99" t="s">
        <v>154</v>
      </c>
      <c r="J99" s="10">
        <v>1063.33</v>
      </c>
      <c r="K99" s="11">
        <f t="shared" si="7"/>
        <v>-177.22166666666658</v>
      </c>
      <c r="L99" s="10">
        <f t="shared" si="8"/>
        <v>-14725.94</v>
      </c>
    </row>
    <row r="100" spans="1:12" x14ac:dyDescent="0.25">
      <c r="A100" t="s">
        <v>145</v>
      </c>
      <c r="B100">
        <v>88</v>
      </c>
      <c r="C100" s="1">
        <v>43528</v>
      </c>
      <c r="D100">
        <v>1</v>
      </c>
      <c r="E100" t="str">
        <f>IF(F100&lt;&gt;"",INDEX(Balance!A:A,MATCH(F100,Balance!B:B,0)),"")</f>
        <v>Depense</v>
      </c>
      <c r="F100" t="s">
        <v>257</v>
      </c>
      <c r="G100" t="s">
        <v>146</v>
      </c>
      <c r="I100" s="10">
        <v>174.6</v>
      </c>
      <c r="K100" s="11">
        <f t="shared" si="7"/>
        <v>29.099999999999994</v>
      </c>
      <c r="L100" s="10">
        <f t="shared" si="8"/>
        <v>-14900.54</v>
      </c>
    </row>
    <row r="101" spans="1:12" x14ac:dyDescent="0.25">
      <c r="A101" t="s">
        <v>141</v>
      </c>
      <c r="B101">
        <v>89</v>
      </c>
      <c r="C101" s="1">
        <v>43529</v>
      </c>
      <c r="D101">
        <v>1</v>
      </c>
      <c r="E101" t="str">
        <f>IF(F101&lt;&gt;"",INDEX(Balance!A:A,MATCH(F101,Balance!B:B,0)),"")</f>
        <v>Depense</v>
      </c>
      <c r="F101" t="s">
        <v>253</v>
      </c>
      <c r="G101" t="s">
        <v>142</v>
      </c>
      <c r="I101" s="10">
        <v>74.150000000000006</v>
      </c>
      <c r="K101" s="11">
        <f t="shared" si="7"/>
        <v>12.358333333333334</v>
      </c>
      <c r="L101" s="10">
        <f t="shared" si="8"/>
        <v>-14974.69</v>
      </c>
    </row>
    <row r="102" spans="1:12" x14ac:dyDescent="0.25">
      <c r="A102" t="s">
        <v>143</v>
      </c>
      <c r="B102">
        <v>90</v>
      </c>
      <c r="C102" s="1">
        <v>43529</v>
      </c>
      <c r="E102" t="str">
        <f>IF(F102&lt;&gt;"",INDEX(Balance!A:A,MATCH(F102,Balance!B:B,0)),"")</f>
        <v>Client</v>
      </c>
      <c r="F102" t="s">
        <v>427</v>
      </c>
      <c r="G102" t="s">
        <v>144</v>
      </c>
      <c r="J102" s="10">
        <v>720</v>
      </c>
      <c r="K102" s="11">
        <f t="shared" si="7"/>
        <v>-120</v>
      </c>
      <c r="L102" s="10">
        <f t="shared" si="8"/>
        <v>-14254.69</v>
      </c>
    </row>
    <row r="103" spans="1:12" x14ac:dyDescent="0.25">
      <c r="A103" t="s">
        <v>137</v>
      </c>
      <c r="B103">
        <v>91</v>
      </c>
      <c r="C103" s="1">
        <v>43530</v>
      </c>
      <c r="D103">
        <v>1</v>
      </c>
      <c r="E103" t="str">
        <f>IF(F103&lt;&gt;"",INDEX(Balance!A:A,MATCH(F103,Balance!B:B,0)),"")</f>
        <v>Depense</v>
      </c>
      <c r="F103" t="s">
        <v>254</v>
      </c>
      <c r="G103" t="s">
        <v>33</v>
      </c>
      <c r="I103" s="10">
        <v>23</v>
      </c>
      <c r="K103" s="11">
        <f t="shared" si="7"/>
        <v>3.8333333333333321</v>
      </c>
      <c r="L103" s="10">
        <f t="shared" si="8"/>
        <v>-14277.69</v>
      </c>
    </row>
    <row r="104" spans="1:12" x14ac:dyDescent="0.25">
      <c r="A104" t="s">
        <v>135</v>
      </c>
      <c r="B104">
        <v>92</v>
      </c>
      <c r="C104" s="1">
        <v>43530</v>
      </c>
      <c r="D104">
        <v>1</v>
      </c>
      <c r="E104" t="str">
        <f>IF(F104&lt;&gt;"",INDEX(Balance!A:A,MATCH(F104,Balance!B:B,0)),"")</f>
        <v>Depense</v>
      </c>
      <c r="F104" t="s">
        <v>372</v>
      </c>
      <c r="G104" t="s">
        <v>136</v>
      </c>
      <c r="I104" s="10">
        <v>3.9</v>
      </c>
      <c r="K104" s="11">
        <f t="shared" si="7"/>
        <v>0.64999999999999991</v>
      </c>
      <c r="L104" s="10">
        <f t="shared" si="8"/>
        <v>-14281.59</v>
      </c>
    </row>
    <row r="105" spans="1:12" x14ac:dyDescent="0.25">
      <c r="A105" t="s">
        <v>138</v>
      </c>
      <c r="B105">
        <v>93</v>
      </c>
      <c r="C105" s="1">
        <v>43530</v>
      </c>
      <c r="D105">
        <v>1</v>
      </c>
      <c r="E105" t="str">
        <f>IF(F105&lt;&gt;"",INDEX(Balance!A:A,MATCH(F105,Balance!B:B,0)),"")</f>
        <v>Fournisseurs</v>
      </c>
      <c r="F105" t="s">
        <v>376</v>
      </c>
      <c r="G105" t="s">
        <v>139</v>
      </c>
      <c r="H105" t="s">
        <v>140</v>
      </c>
      <c r="I105" s="10">
        <v>8</v>
      </c>
      <c r="K105" s="11">
        <f t="shared" si="7"/>
        <v>1.333333333333333</v>
      </c>
      <c r="L105" s="10">
        <f t="shared" si="8"/>
        <v>-14289.59</v>
      </c>
    </row>
    <row r="106" spans="1:12" x14ac:dyDescent="0.25">
      <c r="A106" t="s">
        <v>131</v>
      </c>
      <c r="B106">
        <v>94</v>
      </c>
      <c r="C106" s="1">
        <v>43531</v>
      </c>
      <c r="D106">
        <v>1</v>
      </c>
      <c r="E106" t="str">
        <f>IF(F106&lt;&gt;"",INDEX(Balance!A:A,MATCH(F106,Balance!B:B,0)),"")</f>
        <v>Fournisseurs</v>
      </c>
      <c r="F106" t="s">
        <v>373</v>
      </c>
      <c r="G106" t="s">
        <v>132</v>
      </c>
      <c r="I106" s="10">
        <v>48.8</v>
      </c>
      <c r="K106" s="11">
        <f t="shared" si="7"/>
        <v>8.1333333333333329</v>
      </c>
      <c r="L106" s="10">
        <f t="shared" si="8"/>
        <v>-14338.39</v>
      </c>
    </row>
    <row r="107" spans="1:12" x14ac:dyDescent="0.25">
      <c r="A107" t="s">
        <v>129</v>
      </c>
      <c r="B107">
        <v>95</v>
      </c>
      <c r="C107" s="1">
        <v>43531</v>
      </c>
      <c r="D107">
        <v>1</v>
      </c>
      <c r="E107" t="str">
        <f>IF(F107&lt;&gt;"",INDEX(Balance!A:A,MATCH(F107,Balance!B:B,0)),"")</f>
        <v>Fournisseurs</v>
      </c>
      <c r="F107" t="s">
        <v>377</v>
      </c>
      <c r="G107" t="s">
        <v>130</v>
      </c>
      <c r="I107" s="10">
        <v>12</v>
      </c>
      <c r="K107" s="11">
        <f t="shared" si="7"/>
        <v>2</v>
      </c>
      <c r="L107" s="10">
        <f t="shared" si="8"/>
        <v>-14350.39</v>
      </c>
    </row>
    <row r="108" spans="1:12" x14ac:dyDescent="0.25">
      <c r="A108" t="s">
        <v>127</v>
      </c>
      <c r="B108">
        <v>96</v>
      </c>
      <c r="C108" s="1">
        <v>43531</v>
      </c>
      <c r="D108">
        <v>1</v>
      </c>
      <c r="E108" t="str">
        <f>IF(F108&lt;&gt;"",INDEX(Balance!A:A,MATCH(F108,Balance!B:B,0)),"")</f>
        <v>Depense</v>
      </c>
      <c r="F108" t="s">
        <v>254</v>
      </c>
      <c r="G108" t="s">
        <v>128</v>
      </c>
      <c r="I108" s="10">
        <v>11.2</v>
      </c>
      <c r="K108" s="11">
        <f t="shared" si="7"/>
        <v>1.8666666666666654</v>
      </c>
      <c r="L108" s="10">
        <f t="shared" si="8"/>
        <v>-14361.59</v>
      </c>
    </row>
    <row r="109" spans="1:12" x14ac:dyDescent="0.25">
      <c r="A109" t="s">
        <v>125</v>
      </c>
      <c r="B109">
        <v>97</v>
      </c>
      <c r="C109" s="1">
        <v>43531</v>
      </c>
      <c r="D109">
        <v>1</v>
      </c>
      <c r="E109" t="str">
        <f>IF(F109&lt;&gt;"",INDEX(Balance!A:A,MATCH(F109,Balance!B:B,0)),"")</f>
        <v>Depense</v>
      </c>
      <c r="F109" t="s">
        <v>254</v>
      </c>
      <c r="G109" t="s">
        <v>126</v>
      </c>
      <c r="I109" s="10">
        <v>9.5</v>
      </c>
      <c r="K109" s="11">
        <f t="shared" si="7"/>
        <v>1.583333333333333</v>
      </c>
      <c r="L109" s="10">
        <f t="shared" si="8"/>
        <v>-14371.09</v>
      </c>
    </row>
    <row r="110" spans="1:12" x14ac:dyDescent="0.25">
      <c r="A110" t="s">
        <v>133</v>
      </c>
      <c r="B110">
        <v>98</v>
      </c>
      <c r="C110" s="1">
        <v>43531</v>
      </c>
      <c r="E110" t="str">
        <f>IF(F110&lt;&gt;"",INDEX(Balance!A:A,MATCH(F110,Balance!B:B,0)),"")</f>
        <v>Client</v>
      </c>
      <c r="F110" t="s">
        <v>379</v>
      </c>
      <c r="G110" t="s">
        <v>65</v>
      </c>
      <c r="H110" t="s">
        <v>134</v>
      </c>
      <c r="J110" s="10">
        <v>28744.53</v>
      </c>
      <c r="K110" s="11">
        <f t="shared" si="7"/>
        <v>-4790.7549999999974</v>
      </c>
      <c r="L110" s="10">
        <f t="shared" si="8"/>
        <v>14373.439999999999</v>
      </c>
    </row>
    <row r="111" spans="1:12" x14ac:dyDescent="0.25">
      <c r="A111" t="s">
        <v>116</v>
      </c>
      <c r="B111">
        <v>99</v>
      </c>
      <c r="C111" s="1">
        <v>43532</v>
      </c>
      <c r="D111">
        <v>1</v>
      </c>
      <c r="E111" t="str">
        <f>IF(F111&lt;&gt;"",INDEX(Balance!A:A,MATCH(F111,Balance!B:B,0)),"")</f>
        <v>Depense</v>
      </c>
      <c r="F111" t="s">
        <v>256</v>
      </c>
      <c r="G111" t="s">
        <v>117</v>
      </c>
      <c r="I111" s="10">
        <v>776.06</v>
      </c>
      <c r="K111" s="11">
        <f t="shared" si="7"/>
        <v>129.34333333333325</v>
      </c>
      <c r="L111" s="10">
        <f t="shared" si="8"/>
        <v>13597.38</v>
      </c>
    </row>
    <row r="112" spans="1:12" x14ac:dyDescent="0.25">
      <c r="A112" t="s">
        <v>123</v>
      </c>
      <c r="B112">
        <v>100</v>
      </c>
      <c r="C112" s="1">
        <v>43532</v>
      </c>
      <c r="E112" t="str">
        <f>IF(F112&lt;&gt;"",INDEX(Balance!A:A,MATCH(F112,Balance!B:B,0)),"")</f>
        <v>Fournisseurs</v>
      </c>
      <c r="F112" t="s">
        <v>277</v>
      </c>
      <c r="G112" t="s">
        <v>124</v>
      </c>
      <c r="I112" s="10">
        <v>19.82</v>
      </c>
      <c r="K112" s="11">
        <f t="shared" si="7"/>
        <v>3.303333333333331</v>
      </c>
      <c r="L112" s="10">
        <f t="shared" si="8"/>
        <v>13577.56</v>
      </c>
    </row>
    <row r="113" spans="1:12" x14ac:dyDescent="0.25">
      <c r="A113" t="s">
        <v>121</v>
      </c>
      <c r="B113">
        <v>101</v>
      </c>
      <c r="C113" s="1">
        <v>43532</v>
      </c>
      <c r="D113">
        <v>1</v>
      </c>
      <c r="E113" t="str">
        <f>IF(F113&lt;&gt;"",INDEX(Balance!A:A,MATCH(F113,Balance!B:B,0)),"")</f>
        <v>Depense</v>
      </c>
      <c r="F113" t="s">
        <v>253</v>
      </c>
      <c r="G113" t="s">
        <v>122</v>
      </c>
      <c r="I113" s="10">
        <v>82.84</v>
      </c>
      <c r="K113" s="11">
        <f t="shared" si="7"/>
        <v>13.806666666666658</v>
      </c>
      <c r="L113" s="10">
        <f t="shared" si="8"/>
        <v>13494.72</v>
      </c>
    </row>
    <row r="114" spans="1:12" x14ac:dyDescent="0.25">
      <c r="A114" t="s">
        <v>118</v>
      </c>
      <c r="B114">
        <v>102</v>
      </c>
      <c r="C114" s="1">
        <v>43532</v>
      </c>
      <c r="D114">
        <v>1</v>
      </c>
      <c r="E114" t="str">
        <f>IF(F114&lt;&gt;"",INDEX(Balance!A:A,MATCH(F114,Balance!B:B,0)),"")</f>
        <v>Depense</v>
      </c>
      <c r="F114" t="s">
        <v>254</v>
      </c>
      <c r="G114" t="s">
        <v>119</v>
      </c>
      <c r="I114" s="10">
        <v>26.55</v>
      </c>
      <c r="K114" s="11">
        <f t="shared" si="7"/>
        <v>4.4250000000000007</v>
      </c>
      <c r="L114" s="10">
        <f t="shared" si="8"/>
        <v>13468.17</v>
      </c>
    </row>
    <row r="115" spans="1:12" x14ac:dyDescent="0.25">
      <c r="A115" t="s">
        <v>120</v>
      </c>
      <c r="B115">
        <v>103</v>
      </c>
      <c r="C115" s="1">
        <v>43532</v>
      </c>
      <c r="D115">
        <v>1</v>
      </c>
      <c r="E115" t="str">
        <f>IF(F115&lt;&gt;"",INDEX(Balance!A:A,MATCH(F115,Balance!B:B,0)),"")</f>
        <v>Depense</v>
      </c>
      <c r="F115" t="s">
        <v>254</v>
      </c>
      <c r="G115" t="s">
        <v>33</v>
      </c>
      <c r="I115" s="10">
        <v>29</v>
      </c>
      <c r="K115" s="11">
        <f t="shared" si="7"/>
        <v>4.8333333333333321</v>
      </c>
      <c r="L115" s="10">
        <f t="shared" si="8"/>
        <v>13439.17</v>
      </c>
    </row>
    <row r="116" spans="1:12" x14ac:dyDescent="0.25">
      <c r="A116" t="s">
        <v>96</v>
      </c>
      <c r="B116">
        <v>104</v>
      </c>
      <c r="C116" s="1">
        <v>43535</v>
      </c>
      <c r="E116" t="str">
        <f>IF(F116&lt;&gt;"",INDEX(Balance!A:A,MATCH(F116,Balance!B:B,0)),"")</f>
        <v>Fournisseurs</v>
      </c>
      <c r="F116" t="s">
        <v>289</v>
      </c>
      <c r="G116" t="s">
        <v>97</v>
      </c>
      <c r="I116" s="10">
        <v>397.5</v>
      </c>
      <c r="K116" s="11">
        <f t="shared" si="7"/>
        <v>66.25</v>
      </c>
      <c r="L116" s="10">
        <f t="shared" si="8"/>
        <v>13041.67</v>
      </c>
    </row>
    <row r="117" spans="1:12" x14ac:dyDescent="0.25">
      <c r="A117" t="s">
        <v>98</v>
      </c>
      <c r="B117">
        <v>105</v>
      </c>
      <c r="C117" s="1">
        <v>43535</v>
      </c>
      <c r="E117" t="str">
        <f>IF(F117&lt;&gt;"",INDEX(Balance!A:A,MATCH(F117,Balance!B:B,0)),"")</f>
        <v>Fournisseurs</v>
      </c>
      <c r="F117" t="s">
        <v>289</v>
      </c>
      <c r="G117" t="s">
        <v>99</v>
      </c>
      <c r="I117" s="10">
        <v>441.72</v>
      </c>
      <c r="K117" s="11">
        <f t="shared" si="7"/>
        <v>73.62</v>
      </c>
      <c r="L117" s="10">
        <f t="shared" si="8"/>
        <v>12599.95</v>
      </c>
    </row>
    <row r="118" spans="1:12" x14ac:dyDescent="0.25">
      <c r="A118" t="s">
        <v>114</v>
      </c>
      <c r="B118">
        <v>106</v>
      </c>
      <c r="C118" s="1">
        <v>43535</v>
      </c>
      <c r="E118" t="str">
        <f>IF(F118&lt;&gt;"",INDEX(Balance!A:A,MATCH(F118,Balance!B:B,0)),"")</f>
        <v/>
      </c>
      <c r="G118" t="s">
        <v>115</v>
      </c>
      <c r="I118" s="10">
        <v>2358.19</v>
      </c>
      <c r="K118" s="11">
        <f t="shared" si="7"/>
        <v>393.03166666666652</v>
      </c>
      <c r="L118" s="10">
        <f t="shared" si="8"/>
        <v>10241.76</v>
      </c>
    </row>
    <row r="119" spans="1:12" x14ac:dyDescent="0.25">
      <c r="C119" s="1"/>
      <c r="E119" t="str">
        <f>IF(F119&lt;&gt;"",INDEX(Balance!A:A,MATCH(F119,Balance!B:B,0)),"")</f>
        <v>Fournisseurs</v>
      </c>
      <c r="F119" t="s">
        <v>288</v>
      </c>
      <c r="I119" s="10">
        <v>260.35000000000002</v>
      </c>
    </row>
    <row r="120" spans="1:12" x14ac:dyDescent="0.25">
      <c r="C120" s="1"/>
      <c r="E120" t="str">
        <f>IF(F120&lt;&gt;"",INDEX(Balance!A:A,MATCH(F120,Balance!B:B,0)),"")</f>
        <v>Fournisseurs</v>
      </c>
      <c r="F120" t="s">
        <v>270</v>
      </c>
      <c r="I120" s="10">
        <v>2097.84</v>
      </c>
    </row>
    <row r="121" spans="1:12" x14ac:dyDescent="0.25">
      <c r="A121" t="s">
        <v>108</v>
      </c>
      <c r="B121">
        <v>107</v>
      </c>
      <c r="C121" s="1">
        <v>43535</v>
      </c>
      <c r="D121">
        <v>1</v>
      </c>
      <c r="E121" t="str">
        <f>IF(F121&lt;&gt;"",INDEX(Balance!A:A,MATCH(F121,Balance!B:B,0)),"")</f>
        <v>Depense</v>
      </c>
      <c r="F121" t="s">
        <v>254</v>
      </c>
      <c r="G121" t="s">
        <v>109</v>
      </c>
      <c r="I121" s="10">
        <v>50.1</v>
      </c>
      <c r="K121" s="11">
        <f t="shared" ref="K121:K155" si="9">IF(I121&gt;0,I121-(I121/TVA),-(J121-(J121/TVA)))</f>
        <v>8.3500000000000014</v>
      </c>
      <c r="L121" s="10">
        <f>L118-I121+J121</f>
        <v>10191.66</v>
      </c>
    </row>
    <row r="122" spans="1:12" x14ac:dyDescent="0.25">
      <c r="A122" t="s">
        <v>100</v>
      </c>
      <c r="B122">
        <v>108</v>
      </c>
      <c r="C122" s="1">
        <v>43535</v>
      </c>
      <c r="D122">
        <v>1</v>
      </c>
      <c r="E122" t="str">
        <f>IF(F122&lt;&gt;"",INDEX(Balance!A:A,MATCH(F122,Balance!B:B,0)),"")</f>
        <v>Depense</v>
      </c>
      <c r="F122" t="s">
        <v>257</v>
      </c>
      <c r="G122" t="s">
        <v>101</v>
      </c>
      <c r="I122" s="10">
        <v>1.6</v>
      </c>
      <c r="K122" s="11">
        <f t="shared" si="9"/>
        <v>0.26666666666666661</v>
      </c>
      <c r="L122" s="10">
        <f t="shared" ref="L122:L155" si="10">L121-I122+J122</f>
        <v>10190.06</v>
      </c>
    </row>
    <row r="123" spans="1:12" x14ac:dyDescent="0.25">
      <c r="A123" t="s">
        <v>112</v>
      </c>
      <c r="B123">
        <v>109</v>
      </c>
      <c r="C123" s="1">
        <v>43535</v>
      </c>
      <c r="D123">
        <v>1</v>
      </c>
      <c r="E123" t="str">
        <f>IF(F123&lt;&gt;"",INDEX(Balance!A:A,MATCH(F123,Balance!B:B,0)),"")</f>
        <v>Depense</v>
      </c>
      <c r="F123" t="s">
        <v>255</v>
      </c>
      <c r="G123" t="s">
        <v>113</v>
      </c>
      <c r="I123" s="10">
        <v>1300</v>
      </c>
      <c r="K123" s="11">
        <f t="shared" si="9"/>
        <v>216.66666666666652</v>
      </c>
      <c r="L123" s="10">
        <f t="shared" si="10"/>
        <v>8890.06</v>
      </c>
    </row>
    <row r="124" spans="1:12" x14ac:dyDescent="0.25">
      <c r="A124" t="s">
        <v>110</v>
      </c>
      <c r="B124">
        <v>110</v>
      </c>
      <c r="C124" s="1">
        <v>43535</v>
      </c>
      <c r="E124" t="str">
        <f>IF(F124&lt;&gt;"",INDEX(Balance!A:A,MATCH(F124,Balance!B:B,0)),"")</f>
        <v>Fournisseurs</v>
      </c>
      <c r="F124" t="s">
        <v>434</v>
      </c>
      <c r="G124" t="s">
        <v>111</v>
      </c>
      <c r="H124" t="s">
        <v>435</v>
      </c>
      <c r="I124" s="10">
        <v>6910</v>
      </c>
      <c r="K124" s="11">
        <f t="shared" si="9"/>
        <v>1151.6666666666661</v>
      </c>
      <c r="L124" s="10">
        <f t="shared" si="10"/>
        <v>1980.0599999999995</v>
      </c>
    </row>
    <row r="125" spans="1:12" x14ac:dyDescent="0.25">
      <c r="A125" t="s">
        <v>106</v>
      </c>
      <c r="B125">
        <v>111</v>
      </c>
      <c r="C125" s="1">
        <v>43535</v>
      </c>
      <c r="D125">
        <v>1</v>
      </c>
      <c r="E125" t="str">
        <f>IF(F125&lt;&gt;"",INDEX(Balance!A:A,MATCH(F125,Balance!B:B,0)),"")</f>
        <v>Depense</v>
      </c>
      <c r="F125" t="s">
        <v>380</v>
      </c>
      <c r="G125" t="s">
        <v>107</v>
      </c>
      <c r="I125" s="10">
        <v>380</v>
      </c>
      <c r="K125" s="11">
        <f t="shared" si="9"/>
        <v>63.333333333333314</v>
      </c>
      <c r="L125" s="10">
        <f t="shared" si="10"/>
        <v>1600.0599999999995</v>
      </c>
    </row>
    <row r="126" spans="1:12" x14ac:dyDescent="0.25">
      <c r="A126" t="s">
        <v>102</v>
      </c>
      <c r="B126">
        <v>112</v>
      </c>
      <c r="C126" s="1">
        <v>43535</v>
      </c>
      <c r="D126">
        <v>1</v>
      </c>
      <c r="E126" t="str">
        <f>IF(F126&lt;&gt;"",INDEX(Balance!A:A,MATCH(F126,Balance!B:B,0)),"")</f>
        <v>Depense</v>
      </c>
      <c r="F126" t="s">
        <v>381</v>
      </c>
      <c r="G126" t="s">
        <v>103</v>
      </c>
      <c r="I126" s="10">
        <v>237.15</v>
      </c>
      <c r="K126" s="11">
        <f t="shared" si="9"/>
        <v>39.525000000000006</v>
      </c>
      <c r="L126" s="10">
        <f t="shared" si="10"/>
        <v>1362.9099999999994</v>
      </c>
    </row>
    <row r="127" spans="1:12" x14ac:dyDescent="0.25">
      <c r="A127" t="s">
        <v>104</v>
      </c>
      <c r="B127">
        <v>113</v>
      </c>
      <c r="C127" s="1">
        <v>43535</v>
      </c>
      <c r="D127">
        <v>1</v>
      </c>
      <c r="E127" t="str">
        <f>IF(F127&lt;&gt;"",INDEX(Balance!A:A,MATCH(F127,Balance!B:B,0)),"")</f>
        <v>Depense</v>
      </c>
      <c r="F127" t="s">
        <v>382</v>
      </c>
      <c r="G127" t="s">
        <v>105</v>
      </c>
      <c r="I127" s="10">
        <v>260</v>
      </c>
      <c r="K127" s="11">
        <f t="shared" si="9"/>
        <v>43.333333333333314</v>
      </c>
      <c r="L127" s="10">
        <f t="shared" si="10"/>
        <v>1102.9099999999994</v>
      </c>
    </row>
    <row r="128" spans="1:12" x14ac:dyDescent="0.25">
      <c r="A128" t="s">
        <v>80</v>
      </c>
      <c r="B128">
        <v>114</v>
      </c>
      <c r="C128" s="1">
        <v>43536</v>
      </c>
      <c r="E128" t="str">
        <f>IF(F128&lt;&gt;"",INDEX(Balance!A:A,MATCH(F128,Balance!B:B,0)),"")</f>
        <v>Fournisseurs</v>
      </c>
      <c r="F128" t="s">
        <v>374</v>
      </c>
      <c r="G128" t="s">
        <v>81</v>
      </c>
      <c r="I128" s="10">
        <v>78.16</v>
      </c>
      <c r="K128" s="11">
        <f t="shared" si="9"/>
        <v>13.026666666666657</v>
      </c>
      <c r="L128" s="10">
        <f t="shared" si="10"/>
        <v>1024.7499999999993</v>
      </c>
    </row>
    <row r="129" spans="1:12" x14ac:dyDescent="0.25">
      <c r="A129" t="s">
        <v>78</v>
      </c>
      <c r="B129">
        <v>115</v>
      </c>
      <c r="C129" s="1">
        <v>43536</v>
      </c>
      <c r="E129" t="str">
        <f>IF(F129&lt;&gt;"",INDEX(Balance!A:A,MATCH(F129,Balance!B:B,0)),"")</f>
        <v>Fournisseurs</v>
      </c>
      <c r="F129" t="s">
        <v>291</v>
      </c>
      <c r="G129" t="s">
        <v>79</v>
      </c>
      <c r="I129" s="10">
        <v>55.2</v>
      </c>
      <c r="K129" s="11">
        <f t="shared" si="9"/>
        <v>9.1999999999999957</v>
      </c>
      <c r="L129" s="10">
        <f t="shared" si="10"/>
        <v>969.54999999999927</v>
      </c>
    </row>
    <row r="130" spans="1:12" x14ac:dyDescent="0.25">
      <c r="A130" t="s">
        <v>85</v>
      </c>
      <c r="B130">
        <v>116</v>
      </c>
      <c r="C130" s="1">
        <v>43536</v>
      </c>
      <c r="E130" t="str">
        <f>IF(F130&lt;&gt;"",INDEX(Balance!A:A,MATCH(F130,Balance!B:B,0)),"")</f>
        <v>Fournisseurs</v>
      </c>
      <c r="F130" t="s">
        <v>293</v>
      </c>
      <c r="G130" t="s">
        <v>86</v>
      </c>
      <c r="I130" s="10">
        <v>405</v>
      </c>
      <c r="K130" s="11">
        <f t="shared" si="9"/>
        <v>67.5</v>
      </c>
      <c r="L130" s="10">
        <f t="shared" si="10"/>
        <v>564.54999999999927</v>
      </c>
    </row>
    <row r="131" spans="1:12" x14ac:dyDescent="0.25">
      <c r="A131" t="s">
        <v>84</v>
      </c>
      <c r="B131">
        <v>117</v>
      </c>
      <c r="C131" s="1">
        <v>43536</v>
      </c>
      <c r="E131" t="str">
        <f>IF(F131&lt;&gt;"",INDEX(Balance!A:A,MATCH(F131,Balance!B:B,0)),"")</f>
        <v>Fournisseurs</v>
      </c>
      <c r="F131" t="s">
        <v>261</v>
      </c>
      <c r="G131" t="s">
        <v>83</v>
      </c>
      <c r="I131" s="10">
        <v>168</v>
      </c>
      <c r="K131" s="11">
        <f t="shared" si="9"/>
        <v>28</v>
      </c>
      <c r="L131" s="10">
        <f t="shared" si="10"/>
        <v>396.54999999999927</v>
      </c>
    </row>
    <row r="132" spans="1:12" x14ac:dyDescent="0.25">
      <c r="A132" t="s">
        <v>82</v>
      </c>
      <c r="B132">
        <v>118</v>
      </c>
      <c r="C132" s="1">
        <v>43536</v>
      </c>
      <c r="E132" t="str">
        <f>IF(F132&lt;&gt;"",INDEX(Balance!A:A,MATCH(F132,Balance!B:B,0)),"")</f>
        <v>Fournisseurs</v>
      </c>
      <c r="F132" t="s">
        <v>261</v>
      </c>
      <c r="G132" t="s">
        <v>83</v>
      </c>
      <c r="I132" s="10">
        <v>110.4</v>
      </c>
      <c r="K132" s="11">
        <f t="shared" si="9"/>
        <v>18.399999999999991</v>
      </c>
      <c r="L132" s="10">
        <f t="shared" si="10"/>
        <v>286.1499999999993</v>
      </c>
    </row>
    <row r="133" spans="1:12" x14ac:dyDescent="0.25">
      <c r="A133" t="s">
        <v>88</v>
      </c>
      <c r="B133">
        <v>119</v>
      </c>
      <c r="C133" s="1">
        <v>43536</v>
      </c>
      <c r="E133" t="str">
        <f>IF(F133&lt;&gt;"",INDEX(Balance!A:A,MATCH(F133,Balance!B:B,0)),"")</f>
        <v>Fournisseurs</v>
      </c>
      <c r="F133" t="s">
        <v>261</v>
      </c>
      <c r="G133" t="s">
        <v>83</v>
      </c>
      <c r="I133" s="10">
        <v>660</v>
      </c>
      <c r="K133" s="11">
        <f t="shared" si="9"/>
        <v>110</v>
      </c>
      <c r="L133" s="10">
        <f t="shared" si="10"/>
        <v>-373.8500000000007</v>
      </c>
    </row>
    <row r="134" spans="1:12" x14ac:dyDescent="0.25">
      <c r="A134" t="s">
        <v>87</v>
      </c>
      <c r="B134">
        <v>120</v>
      </c>
      <c r="C134" s="1">
        <v>43536</v>
      </c>
      <c r="E134" t="str">
        <f>IF(F134&lt;&gt;"",INDEX(Balance!A:A,MATCH(F134,Balance!B:B,0)),"")</f>
        <v>Fournisseurs</v>
      </c>
      <c r="F134" t="s">
        <v>261</v>
      </c>
      <c r="G134" t="s">
        <v>83</v>
      </c>
      <c r="I134" s="10">
        <v>576</v>
      </c>
      <c r="K134" s="11">
        <f t="shared" si="9"/>
        <v>96</v>
      </c>
      <c r="L134" s="10">
        <f t="shared" si="10"/>
        <v>-949.8500000000007</v>
      </c>
    </row>
    <row r="135" spans="1:12" x14ac:dyDescent="0.25">
      <c r="A135" t="s">
        <v>92</v>
      </c>
      <c r="B135">
        <v>121</v>
      </c>
      <c r="C135" s="1">
        <v>43536</v>
      </c>
      <c r="D135">
        <v>1</v>
      </c>
      <c r="E135" t="str">
        <f>IF(F135&lt;&gt;"",INDEX(Balance!A:A,MATCH(F135,Balance!B:B,0)),"")</f>
        <v>Depense</v>
      </c>
      <c r="F135" t="s">
        <v>254</v>
      </c>
      <c r="G135" t="s">
        <v>93</v>
      </c>
      <c r="I135" s="10">
        <v>22.3</v>
      </c>
      <c r="K135" s="11">
        <f t="shared" si="9"/>
        <v>3.716666666666665</v>
      </c>
      <c r="L135" s="10">
        <f t="shared" si="10"/>
        <v>-972.15000000000066</v>
      </c>
    </row>
    <row r="136" spans="1:12" x14ac:dyDescent="0.25">
      <c r="A136" t="s">
        <v>94</v>
      </c>
      <c r="B136">
        <v>122</v>
      </c>
      <c r="C136" s="1">
        <v>43536</v>
      </c>
      <c r="D136">
        <v>1</v>
      </c>
      <c r="E136" t="str">
        <f>IF(F136&lt;&gt;"",INDEX(Balance!A:A,MATCH(F136,Balance!B:B,0)),"")</f>
        <v>Depense</v>
      </c>
      <c r="F136" t="s">
        <v>253</v>
      </c>
      <c r="G136" t="s">
        <v>95</v>
      </c>
      <c r="I136" s="10">
        <v>80.87</v>
      </c>
      <c r="K136" s="11">
        <f t="shared" si="9"/>
        <v>13.478333333333325</v>
      </c>
      <c r="L136" s="10">
        <f t="shared" si="10"/>
        <v>-1053.0200000000007</v>
      </c>
    </row>
    <row r="137" spans="1:12" x14ac:dyDescent="0.25">
      <c r="A137" t="s">
        <v>89</v>
      </c>
      <c r="B137">
        <v>123</v>
      </c>
      <c r="C137" s="1">
        <v>43536</v>
      </c>
      <c r="D137">
        <v>1</v>
      </c>
      <c r="E137" t="str">
        <f>IF(F137&lt;&gt;"",INDEX(Balance!A:A,MATCH(F137,Balance!B:B,0)),"")</f>
        <v>Depense</v>
      </c>
      <c r="F137" t="s">
        <v>257</v>
      </c>
      <c r="G137" t="s">
        <v>31</v>
      </c>
      <c r="I137" s="10">
        <v>0.21</v>
      </c>
      <c r="K137" s="11">
        <f t="shared" si="9"/>
        <v>3.5000000000000003E-2</v>
      </c>
      <c r="L137" s="10">
        <f t="shared" si="10"/>
        <v>-1053.2300000000007</v>
      </c>
    </row>
    <row r="138" spans="1:12" x14ac:dyDescent="0.25">
      <c r="A138" t="s">
        <v>90</v>
      </c>
      <c r="B138">
        <v>124</v>
      </c>
      <c r="C138" s="1">
        <v>43536</v>
      </c>
      <c r="D138">
        <v>1</v>
      </c>
      <c r="E138" t="str">
        <f>IF(F138&lt;&gt;"",INDEX(Balance!A:A,MATCH(F138,Balance!B:B,0)),"")</f>
        <v>Depense</v>
      </c>
      <c r="F138" t="s">
        <v>257</v>
      </c>
      <c r="G138" t="s">
        <v>31</v>
      </c>
      <c r="I138" s="10">
        <v>0.21</v>
      </c>
      <c r="K138" s="11">
        <f t="shared" si="9"/>
        <v>3.5000000000000003E-2</v>
      </c>
      <c r="L138" s="10">
        <f t="shared" si="10"/>
        <v>-1053.4400000000007</v>
      </c>
    </row>
    <row r="139" spans="1:12" x14ac:dyDescent="0.25">
      <c r="A139" t="s">
        <v>91</v>
      </c>
      <c r="B139">
        <v>125</v>
      </c>
      <c r="C139" s="1">
        <v>43536</v>
      </c>
      <c r="D139">
        <v>1</v>
      </c>
      <c r="E139" t="str">
        <f>IF(F139&lt;&gt;"",INDEX(Balance!A:A,MATCH(F139,Balance!B:B,0)),"")</f>
        <v>Depense</v>
      </c>
      <c r="F139" t="s">
        <v>257</v>
      </c>
      <c r="G139" t="s">
        <v>31</v>
      </c>
      <c r="I139" s="10">
        <v>0.21</v>
      </c>
      <c r="K139" s="11">
        <f t="shared" si="9"/>
        <v>3.5000000000000003E-2</v>
      </c>
      <c r="L139" s="10">
        <f t="shared" si="10"/>
        <v>-1053.6500000000008</v>
      </c>
    </row>
    <row r="140" spans="1:12" x14ac:dyDescent="0.25">
      <c r="A140" t="s">
        <v>67</v>
      </c>
      <c r="B140">
        <v>126</v>
      </c>
      <c r="C140" s="1">
        <v>43537</v>
      </c>
      <c r="E140" t="str">
        <f>IF(F140&lt;&gt;"",INDEX(Balance!A:A,MATCH(F140,Balance!B:B,0)),"")</f>
        <v>Fournisseurs</v>
      </c>
      <c r="F140" t="s">
        <v>289</v>
      </c>
      <c r="G140" t="s">
        <v>68</v>
      </c>
      <c r="I140" s="10">
        <v>2728.92</v>
      </c>
      <c r="K140" s="11">
        <f t="shared" si="9"/>
        <v>454.81999999999971</v>
      </c>
      <c r="L140" s="10">
        <f t="shared" si="10"/>
        <v>-3782.5700000000006</v>
      </c>
    </row>
    <row r="141" spans="1:12" x14ac:dyDescent="0.25">
      <c r="A141" t="s">
        <v>76</v>
      </c>
      <c r="B141">
        <v>127</v>
      </c>
      <c r="C141" s="1">
        <v>43537</v>
      </c>
      <c r="E141" t="str">
        <f>IF(F141&lt;&gt;"",INDEX(Balance!A:A,MATCH(F141,Balance!B:B,0)),"")</f>
        <v>Fournisseurs</v>
      </c>
      <c r="F141" t="s">
        <v>375</v>
      </c>
      <c r="G141" t="s">
        <v>77</v>
      </c>
      <c r="I141" s="10">
        <v>505.43</v>
      </c>
      <c r="K141" s="11">
        <f t="shared" si="9"/>
        <v>84.238333333333344</v>
      </c>
      <c r="L141" s="10">
        <f t="shared" si="10"/>
        <v>-4288.0000000000009</v>
      </c>
    </row>
    <row r="142" spans="1:12" x14ac:dyDescent="0.25">
      <c r="A142" t="s">
        <v>69</v>
      </c>
      <c r="B142">
        <v>128</v>
      </c>
      <c r="C142" s="1">
        <v>43537</v>
      </c>
      <c r="D142">
        <v>1</v>
      </c>
      <c r="E142" t="str">
        <f>IF(F142&lt;&gt;"",INDEX(Balance!A:A,MATCH(F142,Balance!B:B,0)),"")</f>
        <v>Depense</v>
      </c>
      <c r="F142" t="s">
        <v>257</v>
      </c>
      <c r="G142" t="s">
        <v>31</v>
      </c>
      <c r="I142" s="10">
        <v>0.21</v>
      </c>
      <c r="K142" s="11">
        <f t="shared" si="9"/>
        <v>3.5000000000000003E-2</v>
      </c>
      <c r="L142" s="10">
        <f t="shared" si="10"/>
        <v>-4288.2100000000009</v>
      </c>
    </row>
    <row r="143" spans="1:12" x14ac:dyDescent="0.25">
      <c r="A143" t="s">
        <v>70</v>
      </c>
      <c r="B143">
        <v>129</v>
      </c>
      <c r="C143" s="1">
        <v>43537</v>
      </c>
      <c r="D143">
        <v>1</v>
      </c>
      <c r="E143" t="str">
        <f>IF(F143&lt;&gt;"",INDEX(Balance!A:A,MATCH(F143,Balance!B:B,0)),"")</f>
        <v>Depense</v>
      </c>
      <c r="F143" t="s">
        <v>257</v>
      </c>
      <c r="G143" t="s">
        <v>31</v>
      </c>
      <c r="I143" s="10">
        <v>0.21</v>
      </c>
      <c r="K143" s="11">
        <f t="shared" si="9"/>
        <v>3.5000000000000003E-2</v>
      </c>
      <c r="L143" s="10">
        <f t="shared" si="10"/>
        <v>-4288.420000000001</v>
      </c>
    </row>
    <row r="144" spans="1:12" x14ac:dyDescent="0.25">
      <c r="A144" t="s">
        <v>71</v>
      </c>
      <c r="B144">
        <v>130</v>
      </c>
      <c r="C144" s="1">
        <v>43537</v>
      </c>
      <c r="D144">
        <v>1</v>
      </c>
      <c r="E144" t="str">
        <f>IF(F144&lt;&gt;"",INDEX(Balance!A:A,MATCH(F144,Balance!B:B,0)),"")</f>
        <v>Depense</v>
      </c>
      <c r="F144" t="s">
        <v>257</v>
      </c>
      <c r="G144" t="s">
        <v>31</v>
      </c>
      <c r="I144" s="10">
        <v>0.21</v>
      </c>
      <c r="K144" s="11">
        <f t="shared" si="9"/>
        <v>3.5000000000000003E-2</v>
      </c>
      <c r="L144" s="10">
        <f t="shared" si="10"/>
        <v>-4288.630000000001</v>
      </c>
    </row>
    <row r="145" spans="1:12" x14ac:dyDescent="0.25">
      <c r="A145" t="s">
        <v>72</v>
      </c>
      <c r="B145">
        <v>131</v>
      </c>
      <c r="C145" s="1">
        <v>43537</v>
      </c>
      <c r="D145">
        <v>1</v>
      </c>
      <c r="E145" t="str">
        <f>IF(F145&lt;&gt;"",INDEX(Balance!A:A,MATCH(F145,Balance!B:B,0)),"")</f>
        <v>Depense</v>
      </c>
      <c r="F145" t="s">
        <v>257</v>
      </c>
      <c r="G145" t="s">
        <v>31</v>
      </c>
      <c r="I145" s="10">
        <v>0.21</v>
      </c>
      <c r="K145" s="11">
        <f t="shared" si="9"/>
        <v>3.5000000000000003E-2</v>
      </c>
      <c r="L145" s="10">
        <f t="shared" si="10"/>
        <v>-4288.8400000000011</v>
      </c>
    </row>
    <row r="146" spans="1:12" x14ac:dyDescent="0.25">
      <c r="A146" t="s">
        <v>73</v>
      </c>
      <c r="B146">
        <v>132</v>
      </c>
      <c r="C146" s="1">
        <v>43537</v>
      </c>
      <c r="D146">
        <v>1</v>
      </c>
      <c r="E146" t="str">
        <f>IF(F146&lt;&gt;"",INDEX(Balance!A:A,MATCH(F146,Balance!B:B,0)),"")</f>
        <v>Depense</v>
      </c>
      <c r="F146" t="s">
        <v>257</v>
      </c>
      <c r="G146" t="s">
        <v>31</v>
      </c>
      <c r="I146" s="10">
        <v>0.21</v>
      </c>
      <c r="K146" s="11">
        <f t="shared" si="9"/>
        <v>3.5000000000000003E-2</v>
      </c>
      <c r="L146" s="10">
        <f t="shared" si="10"/>
        <v>-4289.0500000000011</v>
      </c>
    </row>
    <row r="147" spans="1:12" x14ac:dyDescent="0.25">
      <c r="A147" t="s">
        <v>74</v>
      </c>
      <c r="B147">
        <v>133</v>
      </c>
      <c r="C147" s="1">
        <v>43537</v>
      </c>
      <c r="D147">
        <v>1</v>
      </c>
      <c r="E147" t="str">
        <f>IF(F147&lt;&gt;"",INDEX(Balance!A:A,MATCH(F147,Balance!B:B,0)),"")</f>
        <v>Depense</v>
      </c>
      <c r="F147" t="s">
        <v>257</v>
      </c>
      <c r="G147" t="s">
        <v>31</v>
      </c>
      <c r="I147" s="10">
        <v>0.21</v>
      </c>
      <c r="K147" s="11">
        <f t="shared" si="9"/>
        <v>3.5000000000000003E-2</v>
      </c>
      <c r="L147" s="10">
        <f t="shared" si="10"/>
        <v>-4289.2600000000011</v>
      </c>
    </row>
    <row r="148" spans="1:12" x14ac:dyDescent="0.25">
      <c r="A148" t="s">
        <v>75</v>
      </c>
      <c r="B148">
        <v>134</v>
      </c>
      <c r="C148" s="1">
        <v>43537</v>
      </c>
      <c r="D148">
        <v>1</v>
      </c>
      <c r="E148" t="str">
        <f>IF(F148&lt;&gt;"",INDEX(Balance!A:A,MATCH(F148,Balance!B:B,0)),"")</f>
        <v>Depense</v>
      </c>
      <c r="F148" t="s">
        <v>257</v>
      </c>
      <c r="G148" t="s">
        <v>31</v>
      </c>
      <c r="I148" s="10">
        <v>0.21</v>
      </c>
      <c r="K148" s="11">
        <f t="shared" si="9"/>
        <v>3.5000000000000003E-2</v>
      </c>
      <c r="L148" s="10">
        <f t="shared" si="10"/>
        <v>-4289.4700000000012</v>
      </c>
    </row>
    <row r="149" spans="1:12" x14ac:dyDescent="0.25">
      <c r="A149" t="s">
        <v>55</v>
      </c>
      <c r="B149">
        <v>135</v>
      </c>
      <c r="C149" s="1">
        <v>43538</v>
      </c>
      <c r="D149">
        <v>1</v>
      </c>
      <c r="E149" t="str">
        <f>IF(F149&lt;&gt;"",INDEX(Balance!A:A,MATCH(F149,Balance!B:B,0)),"")</f>
        <v>Depense</v>
      </c>
      <c r="F149" t="s">
        <v>256</v>
      </c>
      <c r="G149" t="s">
        <v>56</v>
      </c>
      <c r="I149" s="10">
        <v>1774.11</v>
      </c>
      <c r="K149" s="11">
        <f t="shared" si="9"/>
        <v>295.68499999999995</v>
      </c>
      <c r="L149" s="10">
        <f t="shared" si="10"/>
        <v>-6063.5800000000008</v>
      </c>
    </row>
    <row r="150" spans="1:12" x14ac:dyDescent="0.25">
      <c r="A150" t="s">
        <v>57</v>
      </c>
      <c r="B150">
        <v>136</v>
      </c>
      <c r="C150" s="1">
        <v>43538</v>
      </c>
      <c r="D150">
        <v>1</v>
      </c>
      <c r="E150" t="str">
        <f>IF(F150&lt;&gt;"",INDEX(Balance!A:A,MATCH(F150,Balance!B:B,0)),"")</f>
        <v>Depense</v>
      </c>
      <c r="F150" t="s">
        <v>256</v>
      </c>
      <c r="G150" t="s">
        <v>58</v>
      </c>
      <c r="I150" s="10">
        <v>2090.9699999999998</v>
      </c>
      <c r="K150" s="11">
        <f t="shared" si="9"/>
        <v>348.49499999999989</v>
      </c>
      <c r="L150" s="10">
        <f t="shared" si="10"/>
        <v>-8154.5500000000011</v>
      </c>
    </row>
    <row r="151" spans="1:12" x14ac:dyDescent="0.25">
      <c r="A151" t="s">
        <v>62</v>
      </c>
      <c r="B151">
        <v>137</v>
      </c>
      <c r="C151" s="1">
        <v>43538</v>
      </c>
      <c r="D151">
        <v>1</v>
      </c>
      <c r="E151" t="str">
        <f>IF(F151&lt;&gt;"",INDEX(Balance!A:A,MATCH(F151,Balance!B:B,0)),"")</f>
        <v>Depense</v>
      </c>
      <c r="F151" t="s">
        <v>254</v>
      </c>
      <c r="G151" t="s">
        <v>63</v>
      </c>
      <c r="I151" s="10">
        <v>47.3</v>
      </c>
      <c r="K151" s="11">
        <f t="shared" si="9"/>
        <v>7.8833333333333329</v>
      </c>
      <c r="L151" s="10">
        <f t="shared" si="10"/>
        <v>-8201.85</v>
      </c>
    </row>
    <row r="152" spans="1:12" x14ac:dyDescent="0.25">
      <c r="A152" t="s">
        <v>60</v>
      </c>
      <c r="B152">
        <v>138</v>
      </c>
      <c r="C152" s="1">
        <v>43538</v>
      </c>
      <c r="D152">
        <v>1</v>
      </c>
      <c r="E152" t="str">
        <f>IF(F152&lt;&gt;"",INDEX(Balance!A:A,MATCH(F152,Balance!B:B,0)),"")</f>
        <v>Fournisseurs</v>
      </c>
      <c r="F152" t="s">
        <v>294</v>
      </c>
      <c r="G152" t="s">
        <v>61</v>
      </c>
      <c r="I152" s="10">
        <v>10.29</v>
      </c>
      <c r="K152" s="11">
        <f t="shared" si="9"/>
        <v>1.7149999999999999</v>
      </c>
      <c r="L152" s="10">
        <f t="shared" si="10"/>
        <v>-8212.1400000000012</v>
      </c>
    </row>
    <row r="153" spans="1:12" x14ac:dyDescent="0.25">
      <c r="A153" t="s">
        <v>64</v>
      </c>
      <c r="B153">
        <v>139</v>
      </c>
      <c r="C153" s="1">
        <v>43538</v>
      </c>
      <c r="E153" t="str">
        <f>IF(F153&lt;&gt;"",INDEX(Balance!A:A,MATCH(F153,Balance!B:B,0)),"")</f>
        <v>Client</v>
      </c>
      <c r="F153" t="s">
        <v>379</v>
      </c>
      <c r="G153" t="s">
        <v>65</v>
      </c>
      <c r="H153" t="s">
        <v>66</v>
      </c>
      <c r="J153" s="10">
        <v>6486</v>
      </c>
      <c r="K153" s="11">
        <f t="shared" si="9"/>
        <v>-1081</v>
      </c>
      <c r="L153" s="10">
        <f t="shared" si="10"/>
        <v>-1726.1400000000012</v>
      </c>
    </row>
    <row r="154" spans="1:12" x14ac:dyDescent="0.25">
      <c r="A154" t="s">
        <v>59</v>
      </c>
      <c r="B154">
        <v>140</v>
      </c>
      <c r="C154" s="1">
        <v>43538</v>
      </c>
      <c r="D154">
        <v>1</v>
      </c>
      <c r="E154" t="str">
        <f>IF(F154&lt;&gt;"",INDEX(Balance!A:A,MATCH(F154,Balance!B:B,0)),"")</f>
        <v>Depense</v>
      </c>
      <c r="F154" t="s">
        <v>257</v>
      </c>
      <c r="G154" t="s">
        <v>31</v>
      </c>
      <c r="I154" s="10">
        <v>0.21</v>
      </c>
      <c r="K154" s="11">
        <f t="shared" si="9"/>
        <v>3.5000000000000003E-2</v>
      </c>
      <c r="L154" s="10">
        <f t="shared" si="10"/>
        <v>-1726.3500000000013</v>
      </c>
    </row>
    <row r="155" spans="1:12" x14ac:dyDescent="0.25">
      <c r="A155" t="s">
        <v>53</v>
      </c>
      <c r="B155">
        <v>141</v>
      </c>
      <c r="C155" s="1">
        <v>43539</v>
      </c>
      <c r="E155" t="str">
        <f>IF(F155&lt;&gt;"",INDEX(Balance!A:A,MATCH(F155,Balance!B:B,0)),"")</f>
        <v/>
      </c>
      <c r="G155" t="s">
        <v>54</v>
      </c>
      <c r="I155" s="10">
        <v>2836.71</v>
      </c>
      <c r="K155" s="11">
        <f t="shared" si="9"/>
        <v>472.78499999999985</v>
      </c>
      <c r="L155" s="10">
        <f t="shared" si="10"/>
        <v>-4563.0600000000013</v>
      </c>
    </row>
    <row r="156" spans="1:12" x14ac:dyDescent="0.25">
      <c r="C156" s="1"/>
      <c r="E156" t="str">
        <f>IF(F156&lt;&gt;"",INDEX(Balance!A:A,MATCH(F156,Balance!B:B,0)),"")</f>
        <v>Fournisseurs</v>
      </c>
      <c r="F156" t="s">
        <v>268</v>
      </c>
      <c r="I156" s="10">
        <v>666.31</v>
      </c>
    </row>
    <row r="157" spans="1:12" x14ac:dyDescent="0.25">
      <c r="C157" s="1"/>
      <c r="E157" t="str">
        <f>IF(F157&lt;&gt;"",INDEX(Balance!A:A,MATCH(F157,Balance!B:B,0)),"")</f>
        <v>Fournisseurs</v>
      </c>
      <c r="F157" t="s">
        <v>295</v>
      </c>
      <c r="I157" s="10">
        <v>2170.4</v>
      </c>
    </row>
    <row r="158" spans="1:12" x14ac:dyDescent="0.25">
      <c r="A158" t="s">
        <v>51</v>
      </c>
      <c r="B158">
        <v>142</v>
      </c>
      <c r="C158" s="1">
        <v>43539</v>
      </c>
      <c r="D158">
        <v>1</v>
      </c>
      <c r="E158" t="str">
        <f>IF(F158&lt;&gt;"",INDEX(Balance!A:A,MATCH(F158,Balance!B:B,0)),"")</f>
        <v>Depense</v>
      </c>
      <c r="F158" t="s">
        <v>267</v>
      </c>
      <c r="G158" t="s">
        <v>52</v>
      </c>
      <c r="I158" s="10">
        <v>162</v>
      </c>
      <c r="K158" s="11">
        <f t="shared" ref="K158:K166" si="11">IF(I158&gt;0,I158-(I158/TVA),-(J158-(J158/TVA)))</f>
        <v>27</v>
      </c>
      <c r="L158" s="10">
        <f>L155-I158+J158</f>
        <v>-4725.0600000000013</v>
      </c>
    </row>
    <row r="159" spans="1:12" x14ac:dyDescent="0.25">
      <c r="A159" t="s">
        <v>49</v>
      </c>
      <c r="B159">
        <v>143</v>
      </c>
      <c r="C159" s="1">
        <v>43539</v>
      </c>
      <c r="D159">
        <v>1</v>
      </c>
      <c r="E159" t="str">
        <f>IF(F159&lt;&gt;"",INDEX(Balance!A:A,MATCH(F159,Balance!B:B,0)),"")</f>
        <v>Depense</v>
      </c>
      <c r="F159" t="s">
        <v>257</v>
      </c>
      <c r="G159" t="s">
        <v>31</v>
      </c>
      <c r="I159" s="10">
        <v>0.21</v>
      </c>
      <c r="K159" s="11">
        <f t="shared" si="11"/>
        <v>3.5000000000000003E-2</v>
      </c>
      <c r="L159" s="10">
        <f t="shared" ref="L159:L166" si="12">L158-I159+J159</f>
        <v>-4725.2700000000013</v>
      </c>
    </row>
    <row r="160" spans="1:12" x14ac:dyDescent="0.25">
      <c r="A160" t="s">
        <v>50</v>
      </c>
      <c r="B160">
        <v>144</v>
      </c>
      <c r="C160" s="1">
        <v>43539</v>
      </c>
      <c r="D160">
        <v>1</v>
      </c>
      <c r="E160" t="str">
        <f>IF(F160&lt;&gt;"",INDEX(Balance!A:A,MATCH(F160,Balance!B:B,0)),"")</f>
        <v>Depense</v>
      </c>
      <c r="F160" t="s">
        <v>257</v>
      </c>
      <c r="G160" t="s">
        <v>31</v>
      </c>
      <c r="I160" s="10">
        <v>0.21</v>
      </c>
      <c r="K160" s="11">
        <f t="shared" si="11"/>
        <v>3.5000000000000003E-2</v>
      </c>
      <c r="L160" s="10">
        <f t="shared" si="12"/>
        <v>-4725.4800000000014</v>
      </c>
    </row>
    <row r="161" spans="1:12" x14ac:dyDescent="0.25">
      <c r="A161" t="s">
        <v>39</v>
      </c>
      <c r="B161">
        <v>145</v>
      </c>
      <c r="C161" s="1">
        <v>43542</v>
      </c>
      <c r="E161" t="str">
        <f>IF(F161&lt;&gt;"",INDEX(Balance!A:A,MATCH(F161,Balance!B:B,0)),"")</f>
        <v>Fournisseurs</v>
      </c>
      <c r="F161" t="s">
        <v>265</v>
      </c>
      <c r="G161" t="s">
        <v>40</v>
      </c>
      <c r="I161" s="10">
        <v>1488</v>
      </c>
      <c r="K161" s="11">
        <f t="shared" si="11"/>
        <v>248</v>
      </c>
      <c r="L161" s="10">
        <f t="shared" si="12"/>
        <v>-6213.4800000000014</v>
      </c>
    </row>
    <row r="162" spans="1:12" x14ac:dyDescent="0.25">
      <c r="A162" t="s">
        <v>41</v>
      </c>
      <c r="B162">
        <v>146</v>
      </c>
      <c r="C162" s="1">
        <v>43542</v>
      </c>
      <c r="D162">
        <v>1</v>
      </c>
      <c r="E162" t="str">
        <f>IF(F162&lt;&gt;"",INDEX(Balance!A:A,MATCH(F162,Balance!B:B,0)),"")</f>
        <v>Fournisseurs</v>
      </c>
      <c r="F162" t="s">
        <v>376</v>
      </c>
      <c r="G162" t="s">
        <v>42</v>
      </c>
      <c r="I162" s="10">
        <v>9.99</v>
      </c>
      <c r="K162" s="11">
        <f t="shared" si="11"/>
        <v>1.6649999999999991</v>
      </c>
      <c r="L162" s="10">
        <f t="shared" si="12"/>
        <v>-6223.4700000000012</v>
      </c>
    </row>
    <row r="163" spans="1:12" x14ac:dyDescent="0.25">
      <c r="A163" t="s">
        <v>43</v>
      </c>
      <c r="B163">
        <v>147</v>
      </c>
      <c r="C163" s="1">
        <v>43542</v>
      </c>
      <c r="D163">
        <v>1</v>
      </c>
      <c r="E163" t="str">
        <f>IF(F163&lt;&gt;"",INDEX(Balance!A:A,MATCH(F163,Balance!B:B,0)),"")</f>
        <v>Depense</v>
      </c>
      <c r="F163" t="s">
        <v>254</v>
      </c>
      <c r="G163" t="s">
        <v>11</v>
      </c>
      <c r="I163" s="10">
        <v>11</v>
      </c>
      <c r="K163" s="11">
        <f t="shared" si="11"/>
        <v>1.8333333333333321</v>
      </c>
      <c r="L163" s="10">
        <f t="shared" si="12"/>
        <v>-6234.4700000000012</v>
      </c>
    </row>
    <row r="164" spans="1:12" x14ac:dyDescent="0.25">
      <c r="A164" t="s">
        <v>44</v>
      </c>
      <c r="B164">
        <v>148</v>
      </c>
      <c r="C164" s="1">
        <v>43542</v>
      </c>
      <c r="D164">
        <v>1</v>
      </c>
      <c r="E164" t="str">
        <f>IF(F164&lt;&gt;"",INDEX(Balance!A:A,MATCH(F164,Balance!B:B,0)),"")</f>
        <v>Depense</v>
      </c>
      <c r="F164" t="s">
        <v>253</v>
      </c>
      <c r="G164" t="s">
        <v>45</v>
      </c>
      <c r="I164" s="10">
        <v>79.17</v>
      </c>
      <c r="K164" s="11">
        <f t="shared" si="11"/>
        <v>13.194999999999993</v>
      </c>
      <c r="L164" s="10">
        <f t="shared" si="12"/>
        <v>-6313.6400000000012</v>
      </c>
    </row>
    <row r="165" spans="1:12" x14ac:dyDescent="0.25">
      <c r="A165" t="s">
        <v>46</v>
      </c>
      <c r="B165">
        <v>149</v>
      </c>
      <c r="C165" s="1">
        <v>43542</v>
      </c>
      <c r="D165">
        <v>1</v>
      </c>
      <c r="E165" t="str">
        <f>IF(F165&lt;&gt;"",INDEX(Balance!A:A,MATCH(F165,Balance!B:B,0)),"")</f>
        <v>Depense</v>
      </c>
      <c r="F165" t="s">
        <v>269</v>
      </c>
      <c r="G165" t="s">
        <v>47</v>
      </c>
      <c r="H165" t="s">
        <v>48</v>
      </c>
      <c r="I165" s="10">
        <v>2623</v>
      </c>
      <c r="K165" s="11">
        <f t="shared" si="11"/>
        <v>437.16666666666652</v>
      </c>
      <c r="L165" s="10">
        <f t="shared" si="12"/>
        <v>-8936.6400000000012</v>
      </c>
    </row>
    <row r="166" spans="1:12" x14ac:dyDescent="0.25">
      <c r="A166" t="s">
        <v>34</v>
      </c>
      <c r="B166">
        <v>150</v>
      </c>
      <c r="C166" s="1">
        <v>43543</v>
      </c>
      <c r="E166" t="str">
        <f>IF(F166&lt;&gt;"",INDEX(Balance!A:A,MATCH(F166,Balance!B:B,0)),"")</f>
        <v/>
      </c>
      <c r="G166" t="s">
        <v>35</v>
      </c>
      <c r="I166" s="10">
        <v>3238.3</v>
      </c>
      <c r="K166" s="11">
        <f t="shared" si="11"/>
        <v>539.7166666666667</v>
      </c>
      <c r="L166" s="10">
        <f t="shared" si="12"/>
        <v>-12174.940000000002</v>
      </c>
    </row>
    <row r="167" spans="1:12" x14ac:dyDescent="0.25">
      <c r="C167" s="1"/>
      <c r="E167" t="str">
        <f>IF(F167&lt;&gt;"",INDEX(Balance!A:A,MATCH(F167,Balance!B:B,0)),"")</f>
        <v>Fournisseurs</v>
      </c>
      <c r="F167" t="s">
        <v>281</v>
      </c>
      <c r="I167" s="10">
        <v>1268.4000000000001</v>
      </c>
    </row>
    <row r="168" spans="1:12" x14ac:dyDescent="0.25">
      <c r="C168" s="1"/>
      <c r="E168" t="str">
        <f>IF(F168&lt;&gt;"",INDEX(Balance!A:A,MATCH(F168,Balance!B:B,0)),"")</f>
        <v>Fournisseurs</v>
      </c>
      <c r="F168" t="s">
        <v>270</v>
      </c>
      <c r="I168" s="10">
        <v>1969.9</v>
      </c>
    </row>
    <row r="169" spans="1:12" x14ac:dyDescent="0.25">
      <c r="A169" t="s">
        <v>32</v>
      </c>
      <c r="B169">
        <v>151</v>
      </c>
      <c r="C169" s="1">
        <v>43543</v>
      </c>
      <c r="D169">
        <v>1</v>
      </c>
      <c r="E169" t="str">
        <f>IF(F169&lt;&gt;"",INDEX(Balance!A:A,MATCH(F169,Balance!B:B,0)),"")</f>
        <v>Depense</v>
      </c>
      <c r="F169" t="s">
        <v>254</v>
      </c>
      <c r="G169" t="s">
        <v>33</v>
      </c>
      <c r="I169" s="10">
        <v>24</v>
      </c>
      <c r="K169" s="11">
        <f t="shared" ref="K169:K202" si="13">IF(I169&gt;0,I169-(I169/TVA),-(J169-(J169/TVA)))</f>
        <v>4</v>
      </c>
      <c r="L169" s="10">
        <f>L166-I169+J169</f>
        <v>-12198.940000000002</v>
      </c>
    </row>
    <row r="170" spans="1:12" x14ac:dyDescent="0.25">
      <c r="A170" t="s">
        <v>36</v>
      </c>
      <c r="B170">
        <v>152</v>
      </c>
      <c r="C170" s="1">
        <v>43543</v>
      </c>
      <c r="E170" t="str">
        <f>IF(F170&lt;&gt;"",INDEX(Balance!A:A,MATCH(F170,Balance!B:B,0)),"")</f>
        <v>Client</v>
      </c>
      <c r="F170" t="s">
        <v>370</v>
      </c>
      <c r="G170" t="s">
        <v>37</v>
      </c>
      <c r="H170" t="s">
        <v>38</v>
      </c>
      <c r="J170" s="10">
        <v>7747.4</v>
      </c>
      <c r="K170" s="11">
        <f t="shared" si="13"/>
        <v>-1291.2333333333327</v>
      </c>
      <c r="L170" s="10">
        <f t="shared" ref="L170:L202" si="14">L169-I170+J170</f>
        <v>-4451.5400000000027</v>
      </c>
    </row>
    <row r="171" spans="1:12" x14ac:dyDescent="0.25">
      <c r="A171" t="s">
        <v>30</v>
      </c>
      <c r="B171">
        <v>153</v>
      </c>
      <c r="C171" s="1">
        <v>43543</v>
      </c>
      <c r="D171">
        <v>1</v>
      </c>
      <c r="E171" t="str">
        <f>IF(F171&lt;&gt;"",INDEX(Balance!A:A,MATCH(F171,Balance!B:B,0)),"")</f>
        <v>Depense</v>
      </c>
      <c r="F171" t="s">
        <v>257</v>
      </c>
      <c r="G171" t="s">
        <v>31</v>
      </c>
      <c r="I171" s="10">
        <v>0.21</v>
      </c>
      <c r="K171" s="11">
        <f t="shared" si="13"/>
        <v>3.5000000000000003E-2</v>
      </c>
      <c r="L171" s="10">
        <f t="shared" si="14"/>
        <v>-4451.7500000000027</v>
      </c>
    </row>
    <row r="172" spans="1:12" x14ac:dyDescent="0.25">
      <c r="A172" t="s">
        <v>25</v>
      </c>
      <c r="B172">
        <v>154</v>
      </c>
      <c r="C172" s="1">
        <v>43544</v>
      </c>
      <c r="D172">
        <v>1</v>
      </c>
      <c r="E172" t="str">
        <f>IF(F172&lt;&gt;"",INDEX(Balance!A:A,MATCH(F172,Balance!B:B,0)),"")</f>
        <v>Depense</v>
      </c>
      <c r="F172" t="s">
        <v>254</v>
      </c>
      <c r="G172" t="s">
        <v>7</v>
      </c>
      <c r="I172" s="10">
        <v>34</v>
      </c>
      <c r="K172" s="11">
        <f t="shared" si="13"/>
        <v>5.6666666666666643</v>
      </c>
      <c r="L172" s="10">
        <f t="shared" si="14"/>
        <v>-4485.7500000000027</v>
      </c>
    </row>
    <row r="173" spans="1:12" x14ac:dyDescent="0.25">
      <c r="A173" t="s">
        <v>28</v>
      </c>
      <c r="B173">
        <v>155</v>
      </c>
      <c r="C173" s="1">
        <v>43544</v>
      </c>
      <c r="D173">
        <v>1</v>
      </c>
      <c r="E173" t="str">
        <f>IF(F173&lt;&gt;"",INDEX(Balance!A:A,MATCH(F173,Balance!B:B,0)),"")</f>
        <v>Fournisseurs</v>
      </c>
      <c r="F173" t="s">
        <v>383</v>
      </c>
      <c r="G173" t="s">
        <v>29</v>
      </c>
      <c r="I173" s="10">
        <v>89</v>
      </c>
      <c r="K173" s="11">
        <f t="shared" si="13"/>
        <v>14.833333333333329</v>
      </c>
      <c r="L173" s="10">
        <f t="shared" si="14"/>
        <v>-4574.7500000000027</v>
      </c>
    </row>
    <row r="174" spans="1:12" x14ac:dyDescent="0.25">
      <c r="A174" t="s">
        <v>26</v>
      </c>
      <c r="B174">
        <v>156</v>
      </c>
      <c r="C174" s="1">
        <v>43544</v>
      </c>
      <c r="D174">
        <v>1</v>
      </c>
      <c r="E174" t="str">
        <f>IF(F174&lt;&gt;"",INDEX(Balance!A:A,MATCH(F174,Balance!B:B,0)),"")</f>
        <v>Depense</v>
      </c>
      <c r="F174" t="s">
        <v>253</v>
      </c>
      <c r="G174" t="s">
        <v>27</v>
      </c>
      <c r="I174" s="10">
        <v>77.81</v>
      </c>
      <c r="K174" s="11">
        <f t="shared" si="13"/>
        <v>12.968333333333334</v>
      </c>
      <c r="L174" s="10">
        <f t="shared" si="14"/>
        <v>-4652.5600000000031</v>
      </c>
    </row>
    <row r="175" spans="1:12" x14ac:dyDescent="0.25">
      <c r="A175" t="s">
        <v>19</v>
      </c>
      <c r="B175">
        <v>157</v>
      </c>
      <c r="C175" s="1">
        <v>43545</v>
      </c>
      <c r="D175">
        <v>1</v>
      </c>
      <c r="E175" t="str">
        <f>IF(F175&lt;&gt;"",INDEX(Balance!A:A,MATCH(F175,Balance!B:B,0)),"")</f>
        <v>Depense</v>
      </c>
      <c r="F175" t="s">
        <v>254</v>
      </c>
      <c r="G175" t="s">
        <v>20</v>
      </c>
      <c r="I175" s="10">
        <v>10.5</v>
      </c>
      <c r="K175" s="11">
        <f t="shared" si="13"/>
        <v>1.75</v>
      </c>
      <c r="L175" s="10">
        <f t="shared" si="14"/>
        <v>-4663.0600000000031</v>
      </c>
    </row>
    <row r="176" spans="1:12" x14ac:dyDescent="0.25">
      <c r="A176" t="s">
        <v>17</v>
      </c>
      <c r="B176">
        <v>158</v>
      </c>
      <c r="C176" s="1">
        <v>43545</v>
      </c>
      <c r="D176">
        <v>1</v>
      </c>
      <c r="E176" t="str">
        <f>IF(F176&lt;&gt;"",INDEX(Balance!A:A,MATCH(F176,Balance!B:B,0)),"")</f>
        <v>Fournisseurs</v>
      </c>
      <c r="F176" t="s">
        <v>384</v>
      </c>
      <c r="G176" t="s">
        <v>18</v>
      </c>
      <c r="I176" s="10">
        <v>5.85</v>
      </c>
      <c r="K176" s="11">
        <f t="shared" si="13"/>
        <v>0.97499999999999964</v>
      </c>
      <c r="L176" s="10">
        <f t="shared" si="14"/>
        <v>-4668.9100000000035</v>
      </c>
    </row>
    <row r="177" spans="1:12" x14ac:dyDescent="0.25">
      <c r="A177" t="s">
        <v>23</v>
      </c>
      <c r="B177">
        <v>159</v>
      </c>
      <c r="C177" s="1">
        <v>43545</v>
      </c>
      <c r="D177">
        <v>1</v>
      </c>
      <c r="E177" t="str">
        <f>IF(F177&lt;&gt;"",INDEX(Balance!A:A,MATCH(F177,Balance!B:B,0)),"")</f>
        <v>Fournisseurs</v>
      </c>
      <c r="F177" t="s">
        <v>383</v>
      </c>
      <c r="G177" t="s">
        <v>24</v>
      </c>
      <c r="I177" s="10">
        <v>63</v>
      </c>
      <c r="K177" s="11">
        <f t="shared" si="13"/>
        <v>10.5</v>
      </c>
      <c r="L177" s="10">
        <f t="shared" si="14"/>
        <v>-4731.9100000000035</v>
      </c>
    </row>
    <row r="178" spans="1:12" x14ac:dyDescent="0.25">
      <c r="A178" t="s">
        <v>21</v>
      </c>
      <c r="B178">
        <v>160</v>
      </c>
      <c r="C178" s="1">
        <v>43545</v>
      </c>
      <c r="D178">
        <v>1</v>
      </c>
      <c r="E178" t="str">
        <f>IF(F178&lt;&gt;"",INDEX(Balance!A:A,MATCH(F178,Balance!B:B,0)),"")</f>
        <v>Depense</v>
      </c>
      <c r="F178" t="s">
        <v>254</v>
      </c>
      <c r="G178" t="s">
        <v>22</v>
      </c>
      <c r="I178" s="10">
        <v>10.55</v>
      </c>
      <c r="K178" s="11">
        <f t="shared" si="13"/>
        <v>1.7583333333333329</v>
      </c>
      <c r="L178" s="10">
        <f t="shared" si="14"/>
        <v>-4742.4600000000037</v>
      </c>
    </row>
    <row r="179" spans="1:12" x14ac:dyDescent="0.25">
      <c r="A179" t="s">
        <v>14</v>
      </c>
      <c r="B179">
        <v>161</v>
      </c>
      <c r="C179" s="1">
        <v>43545</v>
      </c>
      <c r="D179">
        <v>1</v>
      </c>
      <c r="E179" t="str">
        <f>IF(F179&lt;&gt;"",INDEX(Balance!A:A,MATCH(F179,Balance!B:B,0)),"")</f>
        <v>Depense</v>
      </c>
      <c r="F179" t="s">
        <v>269</v>
      </c>
      <c r="G179" t="s">
        <v>15</v>
      </c>
      <c r="H179" t="s">
        <v>16</v>
      </c>
      <c r="I179" s="10">
        <v>154</v>
      </c>
      <c r="K179" s="11">
        <f t="shared" si="13"/>
        <v>25.666666666666657</v>
      </c>
      <c r="L179" s="10">
        <f t="shared" si="14"/>
        <v>-4896.4600000000037</v>
      </c>
    </row>
    <row r="180" spans="1:12" x14ac:dyDescent="0.25">
      <c r="A180" t="s">
        <v>12</v>
      </c>
      <c r="B180">
        <v>162</v>
      </c>
      <c r="C180" s="1">
        <v>43549</v>
      </c>
      <c r="E180" t="str">
        <f>IF(F180&lt;&gt;"",INDEX(Balance!A:A,MATCH(F180,Balance!B:B,0)),"")</f>
        <v>Fournisseurs</v>
      </c>
      <c r="F180" t="s">
        <v>277</v>
      </c>
      <c r="G180" t="s">
        <v>13</v>
      </c>
      <c r="I180" s="10">
        <v>13.73</v>
      </c>
      <c r="K180" s="11">
        <f t="shared" si="13"/>
        <v>2.2883333333333322</v>
      </c>
      <c r="L180" s="10">
        <f t="shared" si="14"/>
        <v>-4910.1900000000032</v>
      </c>
    </row>
    <row r="181" spans="1:12" x14ac:dyDescent="0.25">
      <c r="A181" t="s">
        <v>10</v>
      </c>
      <c r="B181">
        <v>163</v>
      </c>
      <c r="C181" s="1">
        <v>43549</v>
      </c>
      <c r="D181">
        <v>1</v>
      </c>
      <c r="E181" t="str">
        <f>IF(F181&lt;&gt;"",INDEX(Balance!A:A,MATCH(F181,Balance!B:B,0)),"")</f>
        <v>Depense</v>
      </c>
      <c r="F181" t="s">
        <v>254</v>
      </c>
      <c r="G181" t="s">
        <v>11</v>
      </c>
      <c r="I181" s="10">
        <v>12.2</v>
      </c>
      <c r="K181" s="11">
        <f t="shared" si="13"/>
        <v>2.0333333333333332</v>
      </c>
      <c r="L181" s="10">
        <f t="shared" si="14"/>
        <v>-4922.3900000000031</v>
      </c>
    </row>
    <row r="182" spans="1:12" x14ac:dyDescent="0.25">
      <c r="A182" t="s">
        <v>8</v>
      </c>
      <c r="B182">
        <v>164</v>
      </c>
      <c r="C182" s="1">
        <v>43550</v>
      </c>
      <c r="D182">
        <v>1</v>
      </c>
      <c r="E182" t="str">
        <f>IF(F182&lt;&gt;"",INDEX(Balance!A:A,MATCH(F182,Balance!B:B,0)),"")</f>
        <v>Depense</v>
      </c>
      <c r="F182" t="s">
        <v>253</v>
      </c>
      <c r="G182" t="s">
        <v>9</v>
      </c>
      <c r="I182" s="10">
        <v>82.96</v>
      </c>
      <c r="K182" s="11">
        <f t="shared" si="13"/>
        <v>13.826666666666668</v>
      </c>
      <c r="L182" s="10">
        <f t="shared" si="14"/>
        <v>-5005.3500000000031</v>
      </c>
    </row>
    <row r="183" spans="1:12" x14ac:dyDescent="0.25">
      <c r="A183" t="s">
        <v>6</v>
      </c>
      <c r="B183">
        <v>165</v>
      </c>
      <c r="C183" s="1">
        <v>43550</v>
      </c>
      <c r="D183">
        <v>1</v>
      </c>
      <c r="E183" t="str">
        <f>IF(F183&lt;&gt;"",INDEX(Balance!A:A,MATCH(F183,Balance!B:B,0)),"")</f>
        <v>Depense</v>
      </c>
      <c r="F183" t="s">
        <v>254</v>
      </c>
      <c r="G183" t="s">
        <v>7</v>
      </c>
      <c r="I183" s="10">
        <v>30.9</v>
      </c>
      <c r="K183" s="11">
        <f t="shared" si="13"/>
        <v>5.1499999999999986</v>
      </c>
      <c r="L183" s="10">
        <f t="shared" si="14"/>
        <v>-5036.2500000000027</v>
      </c>
    </row>
    <row r="184" spans="1:12" x14ac:dyDescent="0.25">
      <c r="A184" t="s">
        <v>385</v>
      </c>
      <c r="B184">
        <v>166</v>
      </c>
      <c r="C184" s="1">
        <v>43551</v>
      </c>
      <c r="D184">
        <v>1</v>
      </c>
      <c r="E184" t="str">
        <f>IF(F184&lt;&gt;"",INDEX(Balance!A:A,MATCH(F184,Balance!B:B,0)),"")</f>
        <v>Depense</v>
      </c>
      <c r="F184" t="s">
        <v>253</v>
      </c>
      <c r="G184" t="s">
        <v>142</v>
      </c>
      <c r="I184" s="10">
        <v>71.89</v>
      </c>
      <c r="K184" s="11">
        <f t="shared" si="13"/>
        <v>11.981666666666662</v>
      </c>
      <c r="L184" s="10">
        <f t="shared" si="14"/>
        <v>-5108.1400000000031</v>
      </c>
    </row>
    <row r="185" spans="1:12" x14ac:dyDescent="0.25">
      <c r="A185" t="s">
        <v>386</v>
      </c>
      <c r="B185">
        <v>167</v>
      </c>
      <c r="C185" s="1">
        <v>43551</v>
      </c>
      <c r="D185">
        <v>1</v>
      </c>
      <c r="E185" t="str">
        <f>IF(F185&lt;&gt;"",INDEX(Balance!A:A,MATCH(F185,Balance!B:B,0)),"")</f>
        <v>Depense</v>
      </c>
      <c r="F185" t="s">
        <v>272</v>
      </c>
      <c r="G185" t="s">
        <v>15</v>
      </c>
      <c r="H185" t="s">
        <v>387</v>
      </c>
      <c r="I185" s="10">
        <v>4845</v>
      </c>
      <c r="K185" s="11">
        <f t="shared" si="13"/>
        <v>807.5</v>
      </c>
      <c r="L185" s="10">
        <f t="shared" si="14"/>
        <v>-9953.1400000000031</v>
      </c>
    </row>
    <row r="186" spans="1:12" x14ac:dyDescent="0.25">
      <c r="A186" t="s">
        <v>388</v>
      </c>
      <c r="B186">
        <v>168</v>
      </c>
      <c r="C186" s="1">
        <v>43551</v>
      </c>
      <c r="E186" t="str">
        <f>IF(F186&lt;&gt;"",INDEX(Balance!A:A,MATCH(F186,Balance!B:B,0)),"")</f>
        <v>Client</v>
      </c>
      <c r="F186" t="s">
        <v>431</v>
      </c>
      <c r="G186" t="s">
        <v>144</v>
      </c>
      <c r="J186" s="10">
        <v>2400</v>
      </c>
      <c r="K186" s="11">
        <f t="shared" si="13"/>
        <v>-400</v>
      </c>
      <c r="L186" s="10">
        <f t="shared" si="14"/>
        <v>-7553.1400000000031</v>
      </c>
    </row>
    <row r="187" spans="1:12" x14ac:dyDescent="0.25">
      <c r="A187" t="s">
        <v>389</v>
      </c>
      <c r="B187">
        <v>169</v>
      </c>
      <c r="C187" s="1">
        <v>43552</v>
      </c>
      <c r="E187" t="str">
        <f>IF(F187&lt;&gt;"",INDEX(Balance!A:A,MATCH(F187,Balance!B:B,0)),"")</f>
        <v>Fournisseurs</v>
      </c>
      <c r="F187" t="s">
        <v>423</v>
      </c>
      <c r="G187" t="s">
        <v>305</v>
      </c>
      <c r="I187" s="10">
        <v>300</v>
      </c>
      <c r="K187" s="11">
        <f t="shared" si="13"/>
        <v>50</v>
      </c>
      <c r="L187" s="10">
        <f t="shared" si="14"/>
        <v>-7853.1400000000031</v>
      </c>
    </row>
    <row r="188" spans="1:12" x14ac:dyDescent="0.25">
      <c r="A188" t="s">
        <v>390</v>
      </c>
      <c r="B188">
        <v>170</v>
      </c>
      <c r="C188" s="1">
        <v>43552</v>
      </c>
      <c r="D188">
        <v>1</v>
      </c>
      <c r="E188" t="str">
        <f>IF(F188&lt;&gt;"",INDEX(Balance!A:A,MATCH(F188,Balance!B:B,0)),"")</f>
        <v>Depense</v>
      </c>
      <c r="F188" t="s">
        <v>256</v>
      </c>
      <c r="G188" t="s">
        <v>391</v>
      </c>
      <c r="I188" s="10">
        <v>1550</v>
      </c>
      <c r="K188" s="11">
        <f t="shared" si="13"/>
        <v>258.33333333333326</v>
      </c>
      <c r="L188" s="10">
        <f t="shared" si="14"/>
        <v>-9403.1400000000031</v>
      </c>
    </row>
    <row r="189" spans="1:12" x14ac:dyDescent="0.25">
      <c r="A189" t="s">
        <v>392</v>
      </c>
      <c r="B189">
        <v>171</v>
      </c>
      <c r="C189" s="1">
        <v>43552</v>
      </c>
      <c r="D189">
        <v>1</v>
      </c>
      <c r="E189" t="str">
        <f>IF(F189&lt;&gt;"",INDEX(Balance!A:A,MATCH(F189,Balance!B:B,0)),"")</f>
        <v>Depense</v>
      </c>
      <c r="F189" t="s">
        <v>256</v>
      </c>
      <c r="G189" t="s">
        <v>393</v>
      </c>
      <c r="I189" s="10">
        <v>1196.3499999999999</v>
      </c>
      <c r="K189" s="11">
        <f t="shared" si="13"/>
        <v>199.39166666666665</v>
      </c>
      <c r="L189" s="10">
        <f t="shared" si="14"/>
        <v>-10599.490000000003</v>
      </c>
    </row>
    <row r="190" spans="1:12" x14ac:dyDescent="0.25">
      <c r="A190" t="s">
        <v>394</v>
      </c>
      <c r="B190">
        <v>172</v>
      </c>
      <c r="C190" s="1">
        <v>43552</v>
      </c>
      <c r="D190">
        <v>1</v>
      </c>
      <c r="E190" t="str">
        <f>IF(F190&lt;&gt;"",INDEX(Balance!A:A,MATCH(F190,Balance!B:B,0)),"")</f>
        <v>Depense</v>
      </c>
      <c r="F190" t="s">
        <v>256</v>
      </c>
      <c r="G190" t="s">
        <v>395</v>
      </c>
      <c r="I190" s="10">
        <v>754.01</v>
      </c>
      <c r="K190" s="11">
        <f t="shared" si="13"/>
        <v>125.66833333333329</v>
      </c>
      <c r="L190" s="10">
        <f t="shared" si="14"/>
        <v>-11353.500000000004</v>
      </c>
    </row>
    <row r="191" spans="1:12" x14ac:dyDescent="0.25">
      <c r="A191" t="s">
        <v>396</v>
      </c>
      <c r="B191">
        <v>173</v>
      </c>
      <c r="C191" s="1">
        <v>43552</v>
      </c>
      <c r="D191">
        <v>1</v>
      </c>
      <c r="E191" t="str">
        <f>IF(F191&lt;&gt;"",INDEX(Balance!A:A,MATCH(F191,Balance!B:B,0)),"")</f>
        <v>Depense</v>
      </c>
      <c r="F191" t="s">
        <v>254</v>
      </c>
      <c r="G191" t="s">
        <v>397</v>
      </c>
      <c r="I191" s="10">
        <v>24</v>
      </c>
      <c r="K191" s="11">
        <f t="shared" si="13"/>
        <v>4</v>
      </c>
      <c r="L191" s="10">
        <f t="shared" si="14"/>
        <v>-11377.500000000004</v>
      </c>
    </row>
    <row r="192" spans="1:12" x14ac:dyDescent="0.25">
      <c r="A192" t="s">
        <v>398</v>
      </c>
      <c r="B192">
        <v>174</v>
      </c>
      <c r="C192" s="1">
        <v>43553</v>
      </c>
      <c r="D192">
        <v>1</v>
      </c>
      <c r="E192" t="str">
        <f>IF(F192&lt;&gt;"",INDEX(Balance!A:A,MATCH(F192,Balance!B:B,0)),"")</f>
        <v>Depense</v>
      </c>
      <c r="F192" t="s">
        <v>257</v>
      </c>
      <c r="G192" t="s">
        <v>307</v>
      </c>
      <c r="I192" s="10">
        <v>54</v>
      </c>
      <c r="K192" s="11">
        <f t="shared" si="13"/>
        <v>9</v>
      </c>
      <c r="L192" s="10">
        <f t="shared" si="14"/>
        <v>-11431.500000000004</v>
      </c>
    </row>
    <row r="193" spans="1:12" x14ac:dyDescent="0.25">
      <c r="A193" t="s">
        <v>399</v>
      </c>
      <c r="B193">
        <v>175</v>
      </c>
      <c r="C193" s="1">
        <v>43553</v>
      </c>
      <c r="E193" t="str">
        <f>IF(F193&lt;&gt;"",INDEX(Balance!A:A,MATCH(F193,Balance!B:B,0)),"")</f>
        <v>Fournisseurs</v>
      </c>
      <c r="F193" t="s">
        <v>297</v>
      </c>
      <c r="G193" t="s">
        <v>306</v>
      </c>
      <c r="I193" s="10">
        <v>37</v>
      </c>
      <c r="K193" s="11">
        <f t="shared" si="13"/>
        <v>6.1666666666666643</v>
      </c>
      <c r="L193" s="10">
        <f t="shared" si="14"/>
        <v>-11468.500000000004</v>
      </c>
    </row>
    <row r="194" spans="1:12" x14ac:dyDescent="0.25">
      <c r="A194" t="s">
        <v>400</v>
      </c>
      <c r="B194">
        <v>176</v>
      </c>
      <c r="C194" s="1">
        <v>43553</v>
      </c>
      <c r="E194" t="str">
        <f>IF(F194&lt;&gt;"",INDEX(Balance!A:A,MATCH(F194,Balance!B:B,0)),"")</f>
        <v>Client</v>
      </c>
      <c r="F194" t="s">
        <v>379</v>
      </c>
      <c r="G194" t="s">
        <v>65</v>
      </c>
      <c r="H194" t="s">
        <v>401</v>
      </c>
      <c r="J194" s="10">
        <v>5592</v>
      </c>
      <c r="K194" s="11">
        <f t="shared" si="13"/>
        <v>-932</v>
      </c>
      <c r="L194" s="10">
        <f t="shared" si="14"/>
        <v>-5876.5000000000036</v>
      </c>
    </row>
    <row r="195" spans="1:12" x14ac:dyDescent="0.25">
      <c r="A195" t="s">
        <v>402</v>
      </c>
      <c r="B195">
        <v>177</v>
      </c>
      <c r="C195" s="1">
        <v>43553</v>
      </c>
      <c r="E195" t="str">
        <f>IF(F195&lt;&gt;"",INDEX(Balance!A:A,MATCH(F195,Balance!B:B,0)),"")</f>
        <v>Client</v>
      </c>
      <c r="F195" t="s">
        <v>379</v>
      </c>
      <c r="G195" t="s">
        <v>65</v>
      </c>
      <c r="H195" t="s">
        <v>403</v>
      </c>
      <c r="J195" s="10">
        <v>23210.29</v>
      </c>
      <c r="K195" s="11">
        <f t="shared" si="13"/>
        <v>-3868.3816666666644</v>
      </c>
      <c r="L195" s="10">
        <f t="shared" si="14"/>
        <v>17333.789999999997</v>
      </c>
    </row>
    <row r="196" spans="1:12" x14ac:dyDescent="0.25">
      <c r="A196" t="s">
        <v>404</v>
      </c>
      <c r="B196">
        <v>178</v>
      </c>
      <c r="C196" s="1">
        <v>43553</v>
      </c>
      <c r="E196" t="str">
        <f>IF(F196&lt;&gt;"",INDEX(Balance!A:A,MATCH(F196,Balance!B:B,0)),"")</f>
        <v>Client</v>
      </c>
      <c r="F196" t="s">
        <v>379</v>
      </c>
      <c r="G196" t="s">
        <v>65</v>
      </c>
      <c r="H196" t="s">
        <v>405</v>
      </c>
      <c r="J196" s="10">
        <v>9720</v>
      </c>
      <c r="K196" s="11">
        <f t="shared" si="13"/>
        <v>-1620</v>
      </c>
      <c r="L196" s="10">
        <f t="shared" si="14"/>
        <v>27053.789999999997</v>
      </c>
    </row>
    <row r="197" spans="1:12" x14ac:dyDescent="0.25">
      <c r="A197" t="s">
        <v>406</v>
      </c>
      <c r="B197">
        <v>179</v>
      </c>
      <c r="C197" s="1">
        <v>43553</v>
      </c>
      <c r="D197">
        <v>1</v>
      </c>
      <c r="E197" t="str">
        <f>IF(F197&lt;&gt;"",INDEX(Balance!A:A,MATCH(F197,Balance!B:B,0)),"")</f>
        <v>Depense</v>
      </c>
      <c r="F197" t="s">
        <v>257</v>
      </c>
      <c r="G197" t="s">
        <v>31</v>
      </c>
      <c r="I197" s="10">
        <v>0.21</v>
      </c>
      <c r="K197" s="11">
        <f t="shared" si="13"/>
        <v>3.5000000000000003E-2</v>
      </c>
      <c r="L197" s="10">
        <f t="shared" si="14"/>
        <v>27053.579999999998</v>
      </c>
    </row>
    <row r="198" spans="1:12" x14ac:dyDescent="0.25">
      <c r="A198" t="s">
        <v>407</v>
      </c>
      <c r="B198">
        <v>180</v>
      </c>
      <c r="C198" s="1">
        <v>43553</v>
      </c>
      <c r="D198">
        <v>1</v>
      </c>
      <c r="E198" t="str">
        <f>IF(F198&lt;&gt;"",INDEX(Balance!A:A,MATCH(F198,Balance!B:B,0)),"")</f>
        <v>Depense</v>
      </c>
      <c r="F198" t="s">
        <v>257</v>
      </c>
      <c r="G198" t="s">
        <v>31</v>
      </c>
      <c r="I198" s="10">
        <v>0.21</v>
      </c>
      <c r="K198" s="11">
        <f t="shared" si="13"/>
        <v>3.5000000000000003E-2</v>
      </c>
      <c r="L198" s="10">
        <f t="shared" si="14"/>
        <v>27053.37</v>
      </c>
    </row>
    <row r="199" spans="1:12" x14ac:dyDescent="0.25">
      <c r="A199" t="s">
        <v>408</v>
      </c>
      <c r="B199">
        <v>181</v>
      </c>
      <c r="C199" s="1">
        <v>43553</v>
      </c>
      <c r="D199">
        <v>1</v>
      </c>
      <c r="E199" t="str">
        <f>IF(F199&lt;&gt;"",INDEX(Balance!A:A,MATCH(F199,Balance!B:B,0)),"")</f>
        <v>Depense</v>
      </c>
      <c r="F199" t="s">
        <v>257</v>
      </c>
      <c r="G199" t="s">
        <v>31</v>
      </c>
      <c r="I199" s="10">
        <v>0.21</v>
      </c>
      <c r="K199" s="11">
        <f t="shared" si="13"/>
        <v>3.5000000000000003E-2</v>
      </c>
      <c r="L199" s="10">
        <f t="shared" si="14"/>
        <v>27053.16</v>
      </c>
    </row>
    <row r="200" spans="1:12" x14ac:dyDescent="0.25">
      <c r="A200" t="s">
        <v>409</v>
      </c>
      <c r="B200">
        <v>182</v>
      </c>
      <c r="C200" s="1">
        <v>43553</v>
      </c>
      <c r="D200">
        <v>1</v>
      </c>
      <c r="E200" t="str">
        <f>IF(F200&lt;&gt;"",INDEX(Balance!A:A,MATCH(F200,Balance!B:B,0)),"")</f>
        <v>Depense</v>
      </c>
      <c r="F200" t="s">
        <v>257</v>
      </c>
      <c r="G200" t="s">
        <v>31</v>
      </c>
      <c r="I200" s="10">
        <v>0.21</v>
      </c>
      <c r="K200" s="11">
        <f t="shared" si="13"/>
        <v>3.5000000000000003E-2</v>
      </c>
      <c r="L200" s="10">
        <f t="shared" si="14"/>
        <v>27052.95</v>
      </c>
    </row>
    <row r="201" spans="1:12" x14ac:dyDescent="0.25">
      <c r="A201" t="s">
        <v>410</v>
      </c>
      <c r="B201">
        <v>183</v>
      </c>
      <c r="C201" s="1">
        <v>43556</v>
      </c>
      <c r="D201">
        <v>1</v>
      </c>
      <c r="E201" t="str">
        <f>IF(F201&lt;&gt;"",INDEX(Balance!A:A,MATCH(F201,Balance!B:B,0)),"")</f>
        <v>Depense</v>
      </c>
      <c r="F201" t="s">
        <v>256</v>
      </c>
      <c r="G201" t="s">
        <v>411</v>
      </c>
      <c r="I201" s="10">
        <v>1723.78</v>
      </c>
      <c r="K201" s="11">
        <f t="shared" si="13"/>
        <v>287.29666666666662</v>
      </c>
      <c r="L201" s="10">
        <f t="shared" si="14"/>
        <v>25329.170000000002</v>
      </c>
    </row>
    <row r="202" spans="1:12" x14ac:dyDescent="0.25">
      <c r="A202" t="s">
        <v>412</v>
      </c>
      <c r="B202">
        <v>184</v>
      </c>
      <c r="C202" s="1">
        <v>43556</v>
      </c>
      <c r="E202" t="str">
        <f>IF(F202&lt;&gt;"",INDEX(Balance!A:A,MATCH(F202,Balance!B:B,0)),"")</f>
        <v/>
      </c>
      <c r="G202" t="s">
        <v>413</v>
      </c>
      <c r="I202" s="10">
        <v>3363.22</v>
      </c>
      <c r="K202" s="11">
        <f t="shared" si="13"/>
        <v>560.53666666666641</v>
      </c>
      <c r="L202" s="10">
        <f t="shared" si="14"/>
        <v>21965.95</v>
      </c>
    </row>
    <row r="203" spans="1:12" x14ac:dyDescent="0.25">
      <c r="C203" s="1"/>
      <c r="E203" t="str">
        <f>IF(F203&lt;&gt;"",INDEX(Balance!A:A,MATCH(F203,Balance!B:B,0)),"")</f>
        <v>Fournisseurs</v>
      </c>
      <c r="F203" t="s">
        <v>277</v>
      </c>
      <c r="I203" s="10">
        <v>35.81</v>
      </c>
    </row>
    <row r="204" spans="1:12" x14ac:dyDescent="0.25">
      <c r="C204" s="1"/>
      <c r="E204" t="str">
        <f>IF(F204&lt;&gt;"",INDEX(Balance!A:A,MATCH(F204,Balance!B:B,0)),"")</f>
        <v>Fournisseurs</v>
      </c>
      <c r="F204" t="s">
        <v>275</v>
      </c>
      <c r="I204" s="10">
        <v>79.87</v>
      </c>
    </row>
    <row r="205" spans="1:12" x14ac:dyDescent="0.25">
      <c r="C205" s="1"/>
      <c r="E205" t="str">
        <f>IF(F205&lt;&gt;"",INDEX(Balance!A:A,MATCH(F205,Balance!B:B,0)),"")</f>
        <v>Fournisseurs</v>
      </c>
      <c r="F205" t="s">
        <v>298</v>
      </c>
      <c r="I205" s="10">
        <v>99.26</v>
      </c>
    </row>
    <row r="206" spans="1:12" x14ac:dyDescent="0.25">
      <c r="C206" s="1"/>
      <c r="E206" t="str">
        <f>IF(F206&lt;&gt;"",INDEX(Balance!A:A,MATCH(F206,Balance!B:B,0)),"")</f>
        <v>Fournisseurs</v>
      </c>
      <c r="F206" t="s">
        <v>276</v>
      </c>
      <c r="I206" s="10">
        <v>236.69</v>
      </c>
    </row>
    <row r="207" spans="1:12" x14ac:dyDescent="0.25">
      <c r="C207" s="1"/>
      <c r="E207" t="str">
        <f>IF(F207&lt;&gt;"",INDEX(Balance!A:A,MATCH(F207,Balance!B:B,0)),"")</f>
        <v>Fournisseurs</v>
      </c>
      <c r="F207" t="s">
        <v>273</v>
      </c>
      <c r="I207" s="10">
        <v>285.91000000000003</v>
      </c>
    </row>
    <row r="208" spans="1:12" x14ac:dyDescent="0.25">
      <c r="C208" s="1"/>
      <c r="E208" t="str">
        <f>IF(F208&lt;&gt;"",INDEX(Balance!A:A,MATCH(F208,Balance!B:B,0)),"")</f>
        <v>Fournisseurs</v>
      </c>
      <c r="F208" t="s">
        <v>274</v>
      </c>
      <c r="I208" s="10">
        <v>753.74</v>
      </c>
    </row>
    <row r="209" spans="1:12" x14ac:dyDescent="0.25">
      <c r="C209" s="1"/>
      <c r="E209" t="str">
        <f>IF(F209&lt;&gt;"",INDEX(Balance!A:A,MATCH(F209,Balance!B:B,0)),"")</f>
        <v>Fournisseurs</v>
      </c>
      <c r="F209" t="s">
        <v>259</v>
      </c>
      <c r="I209" s="10">
        <v>1871.94</v>
      </c>
    </row>
    <row r="210" spans="1:12" x14ac:dyDescent="0.25">
      <c r="A210" t="s">
        <v>414</v>
      </c>
      <c r="B210">
        <v>185</v>
      </c>
      <c r="C210" s="1">
        <v>43556</v>
      </c>
      <c r="D210">
        <v>1</v>
      </c>
      <c r="E210" t="str">
        <f>IF(F210&lt;&gt;"",INDEX(Balance!A:A,MATCH(F210,Balance!B:B,0)),"")</f>
        <v>Depense</v>
      </c>
      <c r="F210" t="s">
        <v>254</v>
      </c>
      <c r="G210" t="s">
        <v>415</v>
      </c>
      <c r="I210" s="10">
        <v>7.4</v>
      </c>
      <c r="K210" s="11">
        <f>IF(I210&gt;0,I210-(I210/TVA),-(J210-(J210/TVA)))</f>
        <v>1.2333333333333334</v>
      </c>
      <c r="L210" s="10">
        <f>L202-I210+J210</f>
        <v>21958.55</v>
      </c>
    </row>
    <row r="211" spans="1:12" x14ac:dyDescent="0.25">
      <c r="A211" t="s">
        <v>416</v>
      </c>
      <c r="B211">
        <v>186</v>
      </c>
      <c r="C211" s="1">
        <v>43556</v>
      </c>
      <c r="D211">
        <v>1</v>
      </c>
      <c r="E211" t="str">
        <f>IF(F211&lt;&gt;"",INDEX(Balance!A:A,MATCH(F211,Balance!B:B,0)),"")</f>
        <v>Recette</v>
      </c>
      <c r="F211" t="s">
        <v>287</v>
      </c>
      <c r="G211" t="s">
        <v>153</v>
      </c>
      <c r="H211" t="s">
        <v>417</v>
      </c>
      <c r="J211" s="10">
        <v>1100</v>
      </c>
      <c r="K211" s="11">
        <f>IF(I211&gt;0,I211-(I211/TVA),-(J211-(J211/TVA)))</f>
        <v>-183.33333333333326</v>
      </c>
      <c r="L211" s="10">
        <f t="shared" ref="L211:L274" si="15">L210-I211+J211</f>
        <v>23058.55</v>
      </c>
    </row>
    <row r="212" spans="1:12" x14ac:dyDescent="0.25">
      <c r="A212" t="s">
        <v>418</v>
      </c>
      <c r="B212">
        <v>187</v>
      </c>
      <c r="C212" s="1">
        <v>43556</v>
      </c>
      <c r="D212">
        <v>1</v>
      </c>
      <c r="E212" t="str">
        <f>IF(F212&lt;&gt;"",INDEX(Balance!A:A,MATCH(F212,Balance!B:B,0)),"")</f>
        <v>Depense</v>
      </c>
      <c r="F212" t="s">
        <v>257</v>
      </c>
      <c r="G212" t="s">
        <v>419</v>
      </c>
      <c r="I212" s="10">
        <v>59</v>
      </c>
      <c r="K212" s="11">
        <f>IF(I212&gt;0,I212-(I212/TVA),-(J212-(J212/TVA)))</f>
        <v>9.8333333333333286</v>
      </c>
      <c r="L212" s="10">
        <f t="shared" si="15"/>
        <v>22999.55</v>
      </c>
    </row>
    <row r="213" spans="1:12" x14ac:dyDescent="0.25">
      <c r="A213" t="s">
        <v>420</v>
      </c>
      <c r="B213">
        <v>188</v>
      </c>
      <c r="C213" s="1">
        <v>43557</v>
      </c>
      <c r="D213">
        <v>1</v>
      </c>
      <c r="E213" t="str">
        <f>IF(F213&lt;&gt;"",INDEX(Balance!A:A,MATCH(F213,Balance!B:B,0)),"")</f>
        <v>Fournisseurs</v>
      </c>
      <c r="F213" t="s">
        <v>424</v>
      </c>
      <c r="G213" t="s">
        <v>421</v>
      </c>
      <c r="H213" t="s">
        <v>422</v>
      </c>
      <c r="I213" s="10">
        <v>590.44000000000005</v>
      </c>
      <c r="K213" s="11">
        <f>IF(I213&gt;0,I213-(I213/TVA),-(J213-(J213/TVA)))</f>
        <v>98.406666666666638</v>
      </c>
      <c r="L213" s="10">
        <f t="shared" si="15"/>
        <v>22409.11</v>
      </c>
    </row>
    <row r="214" spans="1:12" x14ac:dyDescent="0.25">
      <c r="A214" t="s">
        <v>440</v>
      </c>
      <c r="B214">
        <v>189</v>
      </c>
      <c r="C214" s="1">
        <v>43556</v>
      </c>
      <c r="D214">
        <v>1</v>
      </c>
      <c r="E214" t="str">
        <f>IF(F214&lt;&gt;"",INDEX(Balance!A:A,MATCH(F214,Balance!B:B,0)),"")</f>
        <v>Depense</v>
      </c>
      <c r="F214" t="s">
        <v>256</v>
      </c>
      <c r="G214" t="s">
        <v>441</v>
      </c>
      <c r="I214" s="10">
        <v>1600.95</v>
      </c>
      <c r="L214" s="10">
        <f t="shared" si="15"/>
        <v>20808.16</v>
      </c>
    </row>
    <row r="215" spans="1:12" x14ac:dyDescent="0.25">
      <c r="A215" t="s">
        <v>442</v>
      </c>
      <c r="B215">
        <v>190</v>
      </c>
      <c r="C215" s="1">
        <v>43556</v>
      </c>
      <c r="E215" t="str">
        <f>IF(F215&lt;&gt;"",INDEX(Balance!A:A,MATCH(F215,Balance!B:B,0)),"")</f>
        <v>Fournisseurs</v>
      </c>
      <c r="F215" t="s">
        <v>300</v>
      </c>
      <c r="G215" t="s">
        <v>443</v>
      </c>
      <c r="I215" s="10">
        <v>310.3</v>
      </c>
      <c r="L215" s="10">
        <f t="shared" si="15"/>
        <v>20497.86</v>
      </c>
    </row>
    <row r="216" spans="1:12" x14ac:dyDescent="0.25">
      <c r="A216" t="s">
        <v>444</v>
      </c>
      <c r="B216">
        <v>191</v>
      </c>
      <c r="C216" s="1">
        <v>43556</v>
      </c>
      <c r="E216" t="str">
        <f>IF(F216&lt;&gt;"",INDEX(Balance!A:A,MATCH(F216,Balance!B:B,0)),"")</f>
        <v>Fournisseurs</v>
      </c>
      <c r="F216" t="s">
        <v>303</v>
      </c>
      <c r="G216" t="s">
        <v>445</v>
      </c>
      <c r="I216" s="10">
        <v>1169.4000000000001</v>
      </c>
      <c r="L216" s="10">
        <f t="shared" si="15"/>
        <v>19328.46</v>
      </c>
    </row>
    <row r="217" spans="1:12" x14ac:dyDescent="0.25">
      <c r="A217" t="s">
        <v>446</v>
      </c>
      <c r="B217">
        <v>192</v>
      </c>
      <c r="C217" s="1">
        <v>43556</v>
      </c>
      <c r="E217" t="str">
        <f>IF(F217&lt;&gt;"",INDEX(Balance!A:A,MATCH(F217,Balance!B:B,0)),"")</f>
        <v>Fournisseurs</v>
      </c>
      <c r="F217" t="s">
        <v>289</v>
      </c>
      <c r="G217" t="s">
        <v>447</v>
      </c>
      <c r="I217" s="10">
        <v>244.32</v>
      </c>
      <c r="L217" s="10">
        <f t="shared" si="15"/>
        <v>19084.14</v>
      </c>
    </row>
    <row r="218" spans="1:12" x14ac:dyDescent="0.25">
      <c r="A218" t="s">
        <v>448</v>
      </c>
      <c r="B218">
        <v>193</v>
      </c>
      <c r="C218" s="1">
        <v>43556</v>
      </c>
      <c r="E218" t="str">
        <f>IF(F218&lt;&gt;"",INDEX(Balance!A:A,MATCH(F218,Balance!B:B,0)),"")</f>
        <v>Fournisseurs</v>
      </c>
      <c r="F218" t="s">
        <v>261</v>
      </c>
      <c r="G218" t="s">
        <v>449</v>
      </c>
      <c r="I218" s="10">
        <v>552</v>
      </c>
      <c r="L218" s="10">
        <f t="shared" si="15"/>
        <v>18532.14</v>
      </c>
    </row>
    <row r="219" spans="1:12" x14ac:dyDescent="0.25">
      <c r="A219" t="s">
        <v>450</v>
      </c>
      <c r="B219">
        <v>194</v>
      </c>
      <c r="C219" s="1">
        <v>43556</v>
      </c>
      <c r="E219" t="str">
        <f>IF(F219&lt;&gt;"",INDEX(Balance!A:A,MATCH(F219,Balance!B:B,0)),"")</f>
        <v>Fournisseurs</v>
      </c>
      <c r="F219" t="s">
        <v>289</v>
      </c>
      <c r="G219" t="s">
        <v>451</v>
      </c>
      <c r="I219" s="10">
        <v>81.599999999999994</v>
      </c>
      <c r="L219" s="10">
        <f t="shared" si="15"/>
        <v>18450.54</v>
      </c>
    </row>
    <row r="220" spans="1:12" x14ac:dyDescent="0.25">
      <c r="A220" t="s">
        <v>452</v>
      </c>
      <c r="B220">
        <v>195</v>
      </c>
      <c r="C220" s="1">
        <v>43556</v>
      </c>
      <c r="E220" t="str">
        <f>IF(F220&lt;&gt;"",INDEX(Balance!A:A,MATCH(F220,Balance!B:B,0)),"")</f>
        <v>Fournisseurs</v>
      </c>
      <c r="F220" t="s">
        <v>261</v>
      </c>
      <c r="G220" t="s">
        <v>453</v>
      </c>
      <c r="I220" s="10">
        <v>1020</v>
      </c>
      <c r="L220" s="10">
        <f t="shared" si="15"/>
        <v>17430.54</v>
      </c>
    </row>
    <row r="221" spans="1:12" x14ac:dyDescent="0.25">
      <c r="A221" t="s">
        <v>454</v>
      </c>
      <c r="B221">
        <v>196</v>
      </c>
      <c r="C221" s="1">
        <v>43557</v>
      </c>
      <c r="E221" t="str">
        <f>IF(F221&lt;&gt;"",INDEX(Balance!A:A,MATCH(F221,Balance!B:B,0)),"")</f>
        <v>Fournisseurs</v>
      </c>
      <c r="F221" t="s">
        <v>299</v>
      </c>
      <c r="G221" t="s">
        <v>455</v>
      </c>
      <c r="I221" s="10">
        <v>348</v>
      </c>
      <c r="L221" s="10">
        <f t="shared" si="15"/>
        <v>17082.54</v>
      </c>
    </row>
    <row r="222" spans="1:12" x14ac:dyDescent="0.25">
      <c r="A222" t="s">
        <v>456</v>
      </c>
      <c r="B222">
        <v>197</v>
      </c>
      <c r="C222" s="1">
        <v>43557</v>
      </c>
      <c r="E222" t="str">
        <f>IF(F222&lt;&gt;"",INDEX(Balance!A:A,MATCH(F222,Balance!B:B,0)),"")</f>
        <v>Prorata</v>
      </c>
      <c r="F222" t="s">
        <v>301</v>
      </c>
      <c r="G222" t="s">
        <v>457</v>
      </c>
      <c r="I222" s="10">
        <v>360.91</v>
      </c>
      <c r="L222" s="10">
        <f t="shared" si="15"/>
        <v>16721.63</v>
      </c>
    </row>
    <row r="223" spans="1:12" x14ac:dyDescent="0.25">
      <c r="A223" t="s">
        <v>458</v>
      </c>
      <c r="B223">
        <v>198</v>
      </c>
      <c r="C223" s="1">
        <v>43557</v>
      </c>
      <c r="E223" t="str">
        <f>IF(F223&lt;&gt;"",INDEX(Balance!A:A,MATCH(F223,Balance!B:B,0)),"")</f>
        <v>Prorata</v>
      </c>
      <c r="F223" t="s">
        <v>283</v>
      </c>
      <c r="G223" t="s">
        <v>459</v>
      </c>
      <c r="I223" s="10">
        <v>86.87</v>
      </c>
      <c r="L223" s="10">
        <f t="shared" si="15"/>
        <v>16634.760000000002</v>
      </c>
    </row>
    <row r="224" spans="1:12" x14ac:dyDescent="0.25">
      <c r="A224" t="s">
        <v>460</v>
      </c>
      <c r="B224">
        <v>199</v>
      </c>
      <c r="C224" s="1">
        <v>43557</v>
      </c>
      <c r="D224">
        <v>1</v>
      </c>
      <c r="E224" t="str">
        <f>IF(F224&lt;&gt;"",INDEX(Balance!A:A,MATCH(F224,Balance!B:B,0)),"")</f>
        <v>Depense</v>
      </c>
      <c r="F224" t="s">
        <v>254</v>
      </c>
      <c r="G224" t="s">
        <v>461</v>
      </c>
      <c r="I224" s="10">
        <v>10.5</v>
      </c>
      <c r="K224" s="11">
        <f>IF(I224&gt;0,I224-(I224/TVA),-(J224-(J224/TVA)))</f>
        <v>1.75</v>
      </c>
      <c r="L224" s="10">
        <f t="shared" si="15"/>
        <v>16624.260000000002</v>
      </c>
    </row>
    <row r="225" spans="1:12" x14ac:dyDescent="0.25">
      <c r="A225" t="s">
        <v>462</v>
      </c>
      <c r="B225">
        <v>200</v>
      </c>
      <c r="C225" s="1">
        <v>43557</v>
      </c>
      <c r="D225">
        <v>1</v>
      </c>
      <c r="E225" t="str">
        <f>IF(F225&lt;&gt;"",INDEX(Balance!A:A,MATCH(F225,Balance!B:B,0)),"")</f>
        <v>Depense</v>
      </c>
      <c r="F225" t="s">
        <v>257</v>
      </c>
      <c r="G225" t="s">
        <v>31</v>
      </c>
      <c r="I225" s="10">
        <v>0.21</v>
      </c>
      <c r="L225" s="10">
        <f t="shared" si="15"/>
        <v>16624.050000000003</v>
      </c>
    </row>
    <row r="226" spans="1:12" x14ac:dyDescent="0.25">
      <c r="A226" t="s">
        <v>463</v>
      </c>
      <c r="B226">
        <v>201</v>
      </c>
      <c r="C226" s="1">
        <v>43557</v>
      </c>
      <c r="D226">
        <v>1</v>
      </c>
      <c r="E226" t="str">
        <f>IF(F226&lt;&gt;"",INDEX(Balance!A:A,MATCH(F226,Balance!B:B,0)),"")</f>
        <v>Depense</v>
      </c>
      <c r="F226" t="s">
        <v>257</v>
      </c>
      <c r="G226" t="s">
        <v>31</v>
      </c>
      <c r="I226" s="10">
        <v>0.21</v>
      </c>
      <c r="L226" s="10">
        <f t="shared" si="15"/>
        <v>16623.840000000004</v>
      </c>
    </row>
    <row r="227" spans="1:12" x14ac:dyDescent="0.25">
      <c r="A227" t="s">
        <v>464</v>
      </c>
      <c r="B227">
        <v>202</v>
      </c>
      <c r="C227" s="1">
        <v>43557</v>
      </c>
      <c r="D227">
        <v>1</v>
      </c>
      <c r="E227" t="str">
        <f>IF(F227&lt;&gt;"",INDEX(Balance!A:A,MATCH(F227,Balance!B:B,0)),"")</f>
        <v>Depense</v>
      </c>
      <c r="F227" t="s">
        <v>257</v>
      </c>
      <c r="G227" t="s">
        <v>31</v>
      </c>
      <c r="I227" s="10">
        <v>0.21</v>
      </c>
      <c r="L227" s="10">
        <f t="shared" si="15"/>
        <v>16623.630000000005</v>
      </c>
    </row>
    <row r="228" spans="1:12" x14ac:dyDescent="0.25">
      <c r="A228" t="s">
        <v>465</v>
      </c>
      <c r="B228">
        <v>203</v>
      </c>
      <c r="C228" s="1">
        <v>43557</v>
      </c>
      <c r="D228">
        <v>1</v>
      </c>
      <c r="E228" t="str">
        <f>IF(F228&lt;&gt;"",INDEX(Balance!A:A,MATCH(F228,Balance!B:B,0)),"")</f>
        <v>Depense</v>
      </c>
      <c r="F228" t="s">
        <v>257</v>
      </c>
      <c r="G228" t="s">
        <v>31</v>
      </c>
      <c r="I228" s="10">
        <v>0.21</v>
      </c>
      <c r="L228" s="10">
        <f t="shared" si="15"/>
        <v>16623.420000000006</v>
      </c>
    </row>
    <row r="229" spans="1:12" x14ac:dyDescent="0.25">
      <c r="A229" t="s">
        <v>466</v>
      </c>
      <c r="B229">
        <v>204</v>
      </c>
      <c r="C229" s="1">
        <v>43557</v>
      </c>
      <c r="D229">
        <v>1</v>
      </c>
      <c r="E229" t="str">
        <f>IF(F229&lt;&gt;"",INDEX(Balance!A:A,MATCH(F229,Balance!B:B,0)),"")</f>
        <v>Depense</v>
      </c>
      <c r="F229" t="s">
        <v>257</v>
      </c>
      <c r="G229" t="s">
        <v>31</v>
      </c>
      <c r="I229" s="10">
        <v>0.21</v>
      </c>
      <c r="L229" s="10">
        <f t="shared" si="15"/>
        <v>16623.210000000006</v>
      </c>
    </row>
    <row r="230" spans="1:12" x14ac:dyDescent="0.25">
      <c r="A230" t="s">
        <v>467</v>
      </c>
      <c r="B230">
        <v>205</v>
      </c>
      <c r="C230" s="1">
        <v>43557</v>
      </c>
      <c r="D230">
        <v>1</v>
      </c>
      <c r="E230" t="str">
        <f>IF(F230&lt;&gt;"",INDEX(Balance!A:A,MATCH(F230,Balance!B:B,0)),"")</f>
        <v>Depense</v>
      </c>
      <c r="F230" t="s">
        <v>257</v>
      </c>
      <c r="G230" t="s">
        <v>31</v>
      </c>
      <c r="I230" s="10">
        <v>0.21</v>
      </c>
      <c r="L230" s="10">
        <f t="shared" si="15"/>
        <v>16623.000000000007</v>
      </c>
    </row>
    <row r="231" spans="1:12" x14ac:dyDescent="0.25">
      <c r="A231" t="s">
        <v>468</v>
      </c>
      <c r="B231">
        <v>206</v>
      </c>
      <c r="C231" s="1">
        <v>43557</v>
      </c>
      <c r="D231">
        <v>1</v>
      </c>
      <c r="E231" t="str">
        <f>IF(F231&lt;&gt;"",INDEX(Balance!A:A,MATCH(F231,Balance!B:B,0)),"")</f>
        <v>Depense</v>
      </c>
      <c r="F231" t="s">
        <v>257</v>
      </c>
      <c r="G231" t="s">
        <v>31</v>
      </c>
      <c r="I231" s="10">
        <v>0.21</v>
      </c>
      <c r="L231" s="10">
        <f t="shared" si="15"/>
        <v>16622.790000000008</v>
      </c>
    </row>
    <row r="232" spans="1:12" x14ac:dyDescent="0.25">
      <c r="A232" t="s">
        <v>469</v>
      </c>
      <c r="B232">
        <v>207</v>
      </c>
      <c r="C232" s="1">
        <v>43557</v>
      </c>
      <c r="D232">
        <v>1</v>
      </c>
      <c r="E232" t="str">
        <f>IF(F232&lt;&gt;"",INDEX(Balance!A:A,MATCH(F232,Balance!B:B,0)),"")</f>
        <v>Depense</v>
      </c>
      <c r="F232" t="s">
        <v>257</v>
      </c>
      <c r="G232" t="s">
        <v>31</v>
      </c>
      <c r="I232" s="10">
        <v>0.21</v>
      </c>
      <c r="L232" s="10">
        <f t="shared" si="15"/>
        <v>16622.580000000009</v>
      </c>
    </row>
    <row r="233" spans="1:12" x14ac:dyDescent="0.25">
      <c r="A233" t="s">
        <v>470</v>
      </c>
      <c r="B233">
        <v>208</v>
      </c>
      <c r="C233" s="1">
        <v>43557</v>
      </c>
      <c r="D233">
        <v>1</v>
      </c>
      <c r="E233" t="str">
        <f>IF(F233&lt;&gt;"",INDEX(Balance!A:A,MATCH(F233,Balance!B:B,0)),"")</f>
        <v>Depense</v>
      </c>
      <c r="F233" t="s">
        <v>257</v>
      </c>
      <c r="G233" t="s">
        <v>146</v>
      </c>
      <c r="I233" s="10">
        <v>77.599999999999994</v>
      </c>
      <c r="L233" s="10">
        <f t="shared" si="15"/>
        <v>16544.98000000001</v>
      </c>
    </row>
    <row r="234" spans="1:12" x14ac:dyDescent="0.25">
      <c r="A234" t="s">
        <v>471</v>
      </c>
      <c r="B234">
        <v>209</v>
      </c>
      <c r="C234" s="1">
        <v>43558</v>
      </c>
      <c r="D234">
        <v>1</v>
      </c>
      <c r="E234" t="str">
        <f>IF(F234&lt;&gt;"",INDEX(Balance!A:A,MATCH(F234,Balance!B:B,0)),"")</f>
        <v>Depense</v>
      </c>
      <c r="F234" t="s">
        <v>257</v>
      </c>
      <c r="G234" t="s">
        <v>472</v>
      </c>
      <c r="I234" s="10">
        <v>611.45000000000005</v>
      </c>
      <c r="L234" s="10">
        <f t="shared" si="15"/>
        <v>15933.53000000001</v>
      </c>
    </row>
    <row r="235" spans="1:12" x14ac:dyDescent="0.25">
      <c r="A235" t="s">
        <v>473</v>
      </c>
      <c r="B235">
        <v>210</v>
      </c>
      <c r="C235" s="1">
        <v>43558</v>
      </c>
      <c r="D235">
        <v>1</v>
      </c>
      <c r="E235" t="str">
        <f>IF(F235&lt;&gt;"",INDEX(Balance!A:A,MATCH(F235,Balance!B:B,0)),"")</f>
        <v>Depense</v>
      </c>
      <c r="F235" t="s">
        <v>257</v>
      </c>
      <c r="G235" t="s">
        <v>156</v>
      </c>
      <c r="J235" s="10">
        <v>0</v>
      </c>
      <c r="L235" s="10">
        <f t="shared" si="15"/>
        <v>15933.53000000001</v>
      </c>
    </row>
    <row r="236" spans="1:12" x14ac:dyDescent="0.25">
      <c r="A236" t="s">
        <v>474</v>
      </c>
      <c r="B236">
        <v>211</v>
      </c>
      <c r="C236" s="1">
        <v>43558</v>
      </c>
      <c r="D236">
        <v>1</v>
      </c>
      <c r="E236" t="str">
        <f>IF(F236&lt;&gt;"",INDEX(Balance!A:A,MATCH(F236,Balance!B:B,0)),"")</f>
        <v>Depense</v>
      </c>
      <c r="F236" t="s">
        <v>253</v>
      </c>
      <c r="G236" t="s">
        <v>122</v>
      </c>
      <c r="I236" s="10">
        <v>82.42</v>
      </c>
      <c r="K236" s="11">
        <f t="shared" ref="K236" si="16">IF(I236&gt;0,I236-(I236/TVA),-(J236-(J236/TVA)))</f>
        <v>13.736666666666665</v>
      </c>
      <c r="L236" s="10">
        <f t="shared" si="15"/>
        <v>15851.11000000001</v>
      </c>
    </row>
    <row r="237" spans="1:12" x14ac:dyDescent="0.25">
      <c r="A237" t="s">
        <v>475</v>
      </c>
      <c r="B237">
        <v>212</v>
      </c>
      <c r="C237" s="1">
        <v>43558</v>
      </c>
      <c r="D237">
        <v>1</v>
      </c>
      <c r="E237" t="str">
        <f>IF(F237&lt;&gt;"",INDEX(Balance!A:A,MATCH(F237,Balance!B:B,0)),"")</f>
        <v>Depense</v>
      </c>
      <c r="F237" t="s">
        <v>254</v>
      </c>
      <c r="G237" t="s">
        <v>7</v>
      </c>
      <c r="I237" s="10">
        <v>29.5</v>
      </c>
      <c r="K237" s="11">
        <f>IF(I237&gt;0,I237-(I237/TVA),-(J237-(J237/TVA)))</f>
        <v>4.9166666666666643</v>
      </c>
      <c r="L237" s="10">
        <f t="shared" si="15"/>
        <v>15821.61000000001</v>
      </c>
    </row>
    <row r="238" spans="1:12" x14ac:dyDescent="0.25">
      <c r="A238" t="s">
        <v>476</v>
      </c>
      <c r="B238">
        <v>213</v>
      </c>
      <c r="C238" s="1">
        <v>43558</v>
      </c>
      <c r="D238">
        <v>1</v>
      </c>
      <c r="E238" t="str">
        <f>IF(F238&lt;&gt;"",INDEX(Balance!A:A,MATCH(F238,Balance!B:B,0)),"")</f>
        <v>Depense</v>
      </c>
      <c r="F238" t="s">
        <v>253</v>
      </c>
      <c r="G238" t="s">
        <v>27</v>
      </c>
      <c r="I238" s="10">
        <v>69.22</v>
      </c>
      <c r="K238" s="11">
        <f t="shared" ref="K238:K278" si="17">IF(I238&gt;0,I238-(I238/TVA),-(J238-(J238/TVA)))</f>
        <v>11.536666666666662</v>
      </c>
      <c r="L238" s="10">
        <f t="shared" si="15"/>
        <v>15752.39000000001</v>
      </c>
    </row>
    <row r="239" spans="1:12" x14ac:dyDescent="0.25">
      <c r="A239" t="s">
        <v>477</v>
      </c>
      <c r="B239">
        <v>214</v>
      </c>
      <c r="C239" s="1">
        <v>43558</v>
      </c>
      <c r="D239">
        <v>1</v>
      </c>
      <c r="E239" t="str">
        <f>IF(F239&lt;&gt;"",INDEX(Balance!A:A,MATCH(F239,Balance!B:B,0)),"")</f>
        <v>Depense</v>
      </c>
      <c r="F239" t="s">
        <v>256</v>
      </c>
      <c r="G239" t="s">
        <v>478</v>
      </c>
      <c r="H239" t="s">
        <v>500</v>
      </c>
      <c r="I239" s="10">
        <v>1814.95</v>
      </c>
      <c r="K239" s="11">
        <f t="shared" si="17"/>
        <v>302.49166666666656</v>
      </c>
      <c r="L239" s="10">
        <f t="shared" si="15"/>
        <v>13937.44000000001</v>
      </c>
    </row>
    <row r="240" spans="1:12" x14ac:dyDescent="0.25">
      <c r="A240" t="s">
        <v>479</v>
      </c>
      <c r="B240">
        <v>215</v>
      </c>
      <c r="C240" s="1">
        <v>43558</v>
      </c>
      <c r="D240">
        <v>1</v>
      </c>
      <c r="E240" t="str">
        <f>IF(F240&lt;&gt;"",INDEX(Balance!A:A,MATCH(F240,Balance!B:B,0)),"")</f>
        <v>Depense</v>
      </c>
      <c r="F240" t="s">
        <v>257</v>
      </c>
      <c r="G240" t="s">
        <v>480</v>
      </c>
      <c r="I240" s="10">
        <v>15.42</v>
      </c>
      <c r="K240" s="11">
        <f t="shared" si="17"/>
        <v>2.5700000000000003</v>
      </c>
      <c r="L240" s="10">
        <f t="shared" si="15"/>
        <v>13922.02000000001</v>
      </c>
    </row>
    <row r="241" spans="1:12" x14ac:dyDescent="0.25">
      <c r="A241" t="s">
        <v>481</v>
      </c>
      <c r="B241">
        <v>216</v>
      </c>
      <c r="C241" s="1">
        <v>43558</v>
      </c>
      <c r="D241">
        <v>1</v>
      </c>
      <c r="E241" t="str">
        <f>IF(F241&lt;&gt;"",INDEX(Balance!A:A,MATCH(F241,Balance!B:B,0)),"")</f>
        <v>Depense</v>
      </c>
      <c r="F241" t="s">
        <v>257</v>
      </c>
      <c r="G241" t="s">
        <v>31</v>
      </c>
      <c r="I241" s="10">
        <v>0.21</v>
      </c>
      <c r="K241" s="11">
        <f t="shared" si="17"/>
        <v>3.5000000000000003E-2</v>
      </c>
      <c r="L241" s="10">
        <f t="shared" si="15"/>
        <v>13921.81000000001</v>
      </c>
    </row>
    <row r="242" spans="1:12" x14ac:dyDescent="0.25">
      <c r="A242" t="s">
        <v>482</v>
      </c>
      <c r="B242">
        <v>217</v>
      </c>
      <c r="C242" s="1">
        <v>43558</v>
      </c>
      <c r="D242">
        <v>1</v>
      </c>
      <c r="E242" t="str">
        <f>IF(F242&lt;&gt;"",INDEX(Balance!A:A,MATCH(F242,Balance!B:B,0)),"")</f>
        <v>Depense</v>
      </c>
      <c r="F242" t="s">
        <v>257</v>
      </c>
      <c r="G242" t="s">
        <v>31</v>
      </c>
      <c r="I242" s="10">
        <v>0.21</v>
      </c>
      <c r="K242" s="11">
        <f t="shared" si="17"/>
        <v>3.5000000000000003E-2</v>
      </c>
      <c r="L242" s="10">
        <f t="shared" si="15"/>
        <v>13921.600000000011</v>
      </c>
    </row>
    <row r="243" spans="1:12" x14ac:dyDescent="0.25">
      <c r="A243" t="s">
        <v>483</v>
      </c>
      <c r="B243">
        <v>218</v>
      </c>
      <c r="C243" s="1">
        <v>43558</v>
      </c>
      <c r="D243">
        <v>1</v>
      </c>
      <c r="E243" t="str">
        <f>IF(F243&lt;&gt;"",INDEX(Balance!A:A,MATCH(F243,Balance!B:B,0)),"")</f>
        <v>Depense</v>
      </c>
      <c r="F243" t="s">
        <v>257</v>
      </c>
      <c r="G243" t="s">
        <v>31</v>
      </c>
      <c r="I243" s="10">
        <v>0.21</v>
      </c>
      <c r="K243" s="11">
        <f t="shared" si="17"/>
        <v>3.5000000000000003E-2</v>
      </c>
      <c r="L243" s="10">
        <f t="shared" si="15"/>
        <v>13921.390000000012</v>
      </c>
    </row>
    <row r="244" spans="1:12" x14ac:dyDescent="0.25">
      <c r="A244" t="s">
        <v>484</v>
      </c>
      <c r="B244">
        <v>219</v>
      </c>
      <c r="C244" s="1">
        <v>43559</v>
      </c>
      <c r="E244" t="str">
        <f>IF(F244&lt;&gt;"",INDEX(Balance!A:A,MATCH(F244,Balance!B:B,0)),"")</f>
        <v>Client</v>
      </c>
      <c r="F244" t="s">
        <v>370</v>
      </c>
      <c r="G244" t="s">
        <v>37</v>
      </c>
      <c r="H244" t="s">
        <v>485</v>
      </c>
      <c r="J244" s="10">
        <v>5008.6000000000004</v>
      </c>
      <c r="K244" s="11">
        <f t="shared" si="17"/>
        <v>-834.76666666666642</v>
      </c>
      <c r="L244" s="10">
        <f t="shared" si="15"/>
        <v>18929.990000000013</v>
      </c>
    </row>
    <row r="245" spans="1:12" x14ac:dyDescent="0.25">
      <c r="A245" t="s">
        <v>486</v>
      </c>
      <c r="B245">
        <v>220</v>
      </c>
      <c r="C245" s="1">
        <v>43559</v>
      </c>
      <c r="E245" t="str">
        <f>IF(F245&lt;&gt;"",INDEX(Balance!A:A,MATCH(F245,Balance!B:B,0)),"")</f>
        <v>Fournisseurs</v>
      </c>
      <c r="F245" t="s">
        <v>434</v>
      </c>
      <c r="G245" t="s">
        <v>487</v>
      </c>
      <c r="J245" s="10">
        <v>1560</v>
      </c>
      <c r="K245" s="11">
        <f t="shared" si="17"/>
        <v>-260</v>
      </c>
      <c r="L245" s="10">
        <f t="shared" si="15"/>
        <v>20489.990000000013</v>
      </c>
    </row>
    <row r="246" spans="1:12" x14ac:dyDescent="0.25">
      <c r="A246" t="s">
        <v>488</v>
      </c>
      <c r="B246">
        <v>221</v>
      </c>
      <c r="C246" s="1">
        <v>43559</v>
      </c>
      <c r="D246">
        <v>1</v>
      </c>
      <c r="E246" t="str">
        <f>IF(F246&lt;&gt;"",INDEX(Balance!A:A,MATCH(F246,Balance!B:B,0)),"")</f>
        <v>Fournisseurs</v>
      </c>
      <c r="F246" t="s">
        <v>376</v>
      </c>
      <c r="G246" t="s">
        <v>139</v>
      </c>
      <c r="H246" t="s">
        <v>140</v>
      </c>
      <c r="I246" s="10">
        <v>8</v>
      </c>
      <c r="K246" s="11">
        <f t="shared" si="17"/>
        <v>1.333333333333333</v>
      </c>
      <c r="L246" s="10">
        <f t="shared" si="15"/>
        <v>20481.990000000013</v>
      </c>
    </row>
    <row r="247" spans="1:12" x14ac:dyDescent="0.25">
      <c r="A247" t="s">
        <v>489</v>
      </c>
      <c r="B247">
        <v>222</v>
      </c>
      <c r="C247" s="1">
        <v>43560</v>
      </c>
      <c r="E247" t="str">
        <f>IF(F247&lt;&gt;"",INDEX(Balance!A:A,MATCH(F247,Balance!B:B,0)),"")</f>
        <v>Client</v>
      </c>
      <c r="F247" t="s">
        <v>379</v>
      </c>
      <c r="G247" t="s">
        <v>65</v>
      </c>
      <c r="H247" t="s">
        <v>490</v>
      </c>
      <c r="J247" s="10">
        <v>3900</v>
      </c>
      <c r="K247" s="11">
        <f t="shared" si="17"/>
        <v>-650</v>
      </c>
      <c r="L247" s="10">
        <f t="shared" si="15"/>
        <v>24381.990000000013</v>
      </c>
    </row>
    <row r="248" spans="1:12" x14ac:dyDescent="0.25">
      <c r="A248" t="s">
        <v>592</v>
      </c>
      <c r="B248">
        <v>223</v>
      </c>
      <c r="C248" s="1">
        <v>43563</v>
      </c>
      <c r="D248">
        <v>1</v>
      </c>
      <c r="E248" t="str">
        <f>IF(F248&lt;&gt;"",INDEX(Balance!A:A,MATCH(F248,Balance!B:B,0)),"")</f>
        <v>Depense</v>
      </c>
      <c r="F248" t="s">
        <v>254</v>
      </c>
      <c r="G248" t="s">
        <v>33</v>
      </c>
      <c r="I248" s="10">
        <v>33.5</v>
      </c>
      <c r="K248" s="11">
        <f t="shared" si="17"/>
        <v>5.5833333333333321</v>
      </c>
      <c r="L248" s="10">
        <f t="shared" si="15"/>
        <v>24348.490000000013</v>
      </c>
    </row>
    <row r="249" spans="1:12" x14ac:dyDescent="0.25">
      <c r="A249" t="s">
        <v>593</v>
      </c>
      <c r="B249">
        <v>224</v>
      </c>
      <c r="C249" s="1">
        <v>43564</v>
      </c>
      <c r="E249" t="str">
        <f>IF(F249&lt;&gt;"",INDEX(Balance!A:A,MATCH(F249,Balance!B:B,0)),"")</f>
        <v>Fournisseurs</v>
      </c>
      <c r="F249" t="s">
        <v>286</v>
      </c>
      <c r="G249" t="s">
        <v>594</v>
      </c>
      <c r="I249" s="10">
        <v>158.4</v>
      </c>
      <c r="K249" s="11">
        <f t="shared" si="17"/>
        <v>26.400000000000006</v>
      </c>
      <c r="L249" s="10">
        <f t="shared" si="15"/>
        <v>24190.090000000011</v>
      </c>
    </row>
    <row r="250" spans="1:12" x14ac:dyDescent="0.25">
      <c r="A250" t="s">
        <v>595</v>
      </c>
      <c r="B250">
        <v>225</v>
      </c>
      <c r="C250" s="1">
        <v>43564</v>
      </c>
      <c r="E250" t="str">
        <f>IF(F250&lt;&gt;"",INDEX(Balance!A:A,MATCH(F250,Balance!B:B,0)),"")</f>
        <v>Recette</v>
      </c>
      <c r="F250" t="s">
        <v>540</v>
      </c>
      <c r="G250" t="s">
        <v>596</v>
      </c>
      <c r="H250" t="s">
        <v>597</v>
      </c>
      <c r="J250" s="10">
        <v>1602</v>
      </c>
      <c r="K250" s="11">
        <f t="shared" si="17"/>
        <v>-267</v>
      </c>
      <c r="L250" s="10">
        <f t="shared" si="15"/>
        <v>25792.090000000011</v>
      </c>
    </row>
    <row r="251" spans="1:12" x14ac:dyDescent="0.25">
      <c r="A251" t="s">
        <v>598</v>
      </c>
      <c r="B251">
        <v>226</v>
      </c>
      <c r="C251" s="1">
        <v>43565</v>
      </c>
      <c r="E251" t="str">
        <f>IF(F251&lt;&gt;"",INDEX(Balance!A:A,MATCH(F251,Balance!B:B,0)),"")</f>
        <v>Fournisseurs</v>
      </c>
      <c r="F251" t="s">
        <v>288</v>
      </c>
      <c r="G251" t="s">
        <v>599</v>
      </c>
      <c r="I251" s="10">
        <v>464.4</v>
      </c>
      <c r="K251" s="11">
        <f t="shared" si="17"/>
        <v>77.399999999999977</v>
      </c>
      <c r="L251" s="10">
        <f t="shared" si="15"/>
        <v>25327.69000000001</v>
      </c>
    </row>
    <row r="252" spans="1:12" x14ac:dyDescent="0.25">
      <c r="A252" t="s">
        <v>600</v>
      </c>
      <c r="B252">
        <v>227</v>
      </c>
      <c r="C252" s="1">
        <v>43565</v>
      </c>
      <c r="D252">
        <v>1</v>
      </c>
      <c r="E252" t="str">
        <f>IF(F252&lt;&gt;"",INDEX(Balance!A:A,MATCH(F252,Balance!B:B,0)),"")</f>
        <v>Depense</v>
      </c>
      <c r="F252" t="s">
        <v>253</v>
      </c>
      <c r="G252" t="s">
        <v>149</v>
      </c>
      <c r="I252" s="10">
        <v>79.66</v>
      </c>
      <c r="K252" s="11">
        <f t="shared" si="17"/>
        <v>13.276666666666657</v>
      </c>
      <c r="L252" s="10">
        <f t="shared" si="15"/>
        <v>25248.03000000001</v>
      </c>
    </row>
    <row r="253" spans="1:12" x14ac:dyDescent="0.25">
      <c r="A253" t="s">
        <v>601</v>
      </c>
      <c r="B253">
        <v>228</v>
      </c>
      <c r="C253" s="1">
        <v>43565</v>
      </c>
      <c r="D253">
        <v>1</v>
      </c>
      <c r="E253" t="str">
        <f>IF(F253&lt;&gt;"",INDEX(Balance!A:A,MATCH(F253,Balance!B:B,0)),"")</f>
        <v>Depense</v>
      </c>
      <c r="F253" t="s">
        <v>254</v>
      </c>
      <c r="G253" t="s">
        <v>602</v>
      </c>
      <c r="I253" s="10">
        <v>24</v>
      </c>
      <c r="K253" s="11">
        <f t="shared" si="17"/>
        <v>4</v>
      </c>
      <c r="L253" s="10">
        <f t="shared" si="15"/>
        <v>25224.03000000001</v>
      </c>
    </row>
    <row r="254" spans="1:12" x14ac:dyDescent="0.25">
      <c r="A254" t="s">
        <v>603</v>
      </c>
      <c r="B254">
        <v>229</v>
      </c>
      <c r="C254" s="1">
        <v>43565</v>
      </c>
      <c r="D254">
        <v>1</v>
      </c>
      <c r="E254" t="str">
        <f>IF(F254&lt;&gt;"",INDEX(Balance!A:A,MATCH(F254,Balance!B:B,0)),"")</f>
        <v>Depense</v>
      </c>
      <c r="F254" t="s">
        <v>257</v>
      </c>
      <c r="G254" t="s">
        <v>101</v>
      </c>
      <c r="I254" s="10">
        <v>1.6</v>
      </c>
      <c r="K254" s="11">
        <f t="shared" si="17"/>
        <v>0.26666666666666661</v>
      </c>
      <c r="L254" s="10">
        <f t="shared" si="15"/>
        <v>25222.430000000011</v>
      </c>
    </row>
    <row r="255" spans="1:12" x14ac:dyDescent="0.25">
      <c r="A255" t="s">
        <v>604</v>
      </c>
      <c r="B255">
        <v>230</v>
      </c>
      <c r="C255" s="1">
        <v>43565</v>
      </c>
      <c r="D255">
        <v>1</v>
      </c>
      <c r="E255" t="str">
        <f>IF(F255&lt;&gt;"",INDEX(Balance!A:A,MATCH(F255,Balance!B:B,0)),"")</f>
        <v>Depense</v>
      </c>
      <c r="F255" t="s">
        <v>255</v>
      </c>
      <c r="G255" t="s">
        <v>113</v>
      </c>
      <c r="I255" s="10">
        <v>1300</v>
      </c>
      <c r="K255" s="11">
        <f t="shared" si="17"/>
        <v>216.66666666666652</v>
      </c>
      <c r="L255" s="10">
        <f t="shared" si="15"/>
        <v>23922.430000000011</v>
      </c>
    </row>
    <row r="256" spans="1:12" x14ac:dyDescent="0.25">
      <c r="A256" t="s">
        <v>605</v>
      </c>
      <c r="B256">
        <v>231</v>
      </c>
      <c r="C256" s="1">
        <v>43565</v>
      </c>
      <c r="D256">
        <v>1</v>
      </c>
      <c r="E256" t="str">
        <f>IF(F256&lt;&gt;"",INDEX(Balance!A:A,MATCH(F256,Balance!B:B,0)),"")</f>
        <v>Depense</v>
      </c>
      <c r="F256" t="s">
        <v>380</v>
      </c>
      <c r="G256" t="s">
        <v>107</v>
      </c>
      <c r="I256" s="10">
        <v>380</v>
      </c>
      <c r="K256" s="11">
        <f t="shared" si="17"/>
        <v>63.333333333333314</v>
      </c>
      <c r="L256" s="10">
        <f t="shared" si="15"/>
        <v>23542.430000000011</v>
      </c>
    </row>
    <row r="257" spans="1:12" x14ac:dyDescent="0.25">
      <c r="A257" t="s">
        <v>606</v>
      </c>
      <c r="B257">
        <v>232</v>
      </c>
      <c r="C257" s="1">
        <v>43565</v>
      </c>
      <c r="D257">
        <v>1</v>
      </c>
      <c r="E257" t="str">
        <f>IF(F257&lt;&gt;"",INDEX(Balance!A:A,MATCH(F257,Balance!B:B,0)),"")</f>
        <v>Depense</v>
      </c>
      <c r="F257" t="s">
        <v>381</v>
      </c>
      <c r="G257" t="s">
        <v>103</v>
      </c>
      <c r="I257" s="10">
        <v>237.15</v>
      </c>
      <c r="K257" s="11">
        <f t="shared" si="17"/>
        <v>39.525000000000006</v>
      </c>
      <c r="L257" s="10">
        <f t="shared" si="15"/>
        <v>23305.28000000001</v>
      </c>
    </row>
    <row r="258" spans="1:12" x14ac:dyDescent="0.25">
      <c r="A258" t="s">
        <v>607</v>
      </c>
      <c r="B258">
        <v>233</v>
      </c>
      <c r="C258" s="1">
        <v>43565</v>
      </c>
      <c r="D258">
        <v>1</v>
      </c>
      <c r="E258" t="str">
        <f>IF(F258&lt;&gt;"",INDEX(Balance!A:A,MATCH(F258,Balance!B:B,0)),"")</f>
        <v>Depense</v>
      </c>
      <c r="F258" t="s">
        <v>382</v>
      </c>
      <c r="G258" t="s">
        <v>608</v>
      </c>
      <c r="I258" s="10">
        <v>260</v>
      </c>
      <c r="K258" s="11">
        <f t="shared" si="17"/>
        <v>43.333333333333314</v>
      </c>
      <c r="L258" s="10">
        <f t="shared" si="15"/>
        <v>23045.28000000001</v>
      </c>
    </row>
    <row r="259" spans="1:12" x14ac:dyDescent="0.25">
      <c r="A259" t="s">
        <v>609</v>
      </c>
      <c r="B259">
        <v>234</v>
      </c>
      <c r="C259" s="1">
        <v>43566</v>
      </c>
      <c r="D259">
        <v>1</v>
      </c>
      <c r="E259" t="str">
        <f>IF(F259&lt;&gt;"",INDEX(Balance!A:A,MATCH(F259,Balance!B:B,0)),"")</f>
        <v>Depense</v>
      </c>
      <c r="F259" t="s">
        <v>254</v>
      </c>
      <c r="G259" t="s">
        <v>610</v>
      </c>
      <c r="I259" s="10">
        <v>52.2</v>
      </c>
      <c r="K259" s="11">
        <f t="shared" si="17"/>
        <v>8.6999999999999957</v>
      </c>
      <c r="L259" s="10">
        <f t="shared" si="15"/>
        <v>22993.080000000009</v>
      </c>
    </row>
    <row r="260" spans="1:12" x14ac:dyDescent="0.25">
      <c r="A260" t="s">
        <v>618</v>
      </c>
      <c r="B260">
        <v>235</v>
      </c>
      <c r="C260" s="1">
        <v>43567</v>
      </c>
      <c r="D260">
        <v>1</v>
      </c>
      <c r="E260" t="str">
        <f>IF(F260&lt;&gt;"",INDEX(Balance!A:A,MATCH(F260,Balance!B:B,0)),"")</f>
        <v>Fournisseurs</v>
      </c>
      <c r="F260" t="s">
        <v>262</v>
      </c>
      <c r="G260" t="s">
        <v>619</v>
      </c>
      <c r="I260" s="10">
        <v>238.38</v>
      </c>
      <c r="K260" s="11">
        <f t="shared" si="17"/>
        <v>39.72999999999999</v>
      </c>
      <c r="L260" s="10">
        <f t="shared" si="15"/>
        <v>22754.700000000008</v>
      </c>
    </row>
    <row r="261" spans="1:12" x14ac:dyDescent="0.25">
      <c r="A261" t="s">
        <v>620</v>
      </c>
      <c r="B261">
        <v>236</v>
      </c>
      <c r="C261" s="1">
        <v>43567</v>
      </c>
      <c r="D261">
        <v>1</v>
      </c>
      <c r="E261" t="str">
        <f>IF(F261&lt;&gt;"",INDEX(Balance!A:A,MATCH(F261,Balance!B:B,0)),"")</f>
        <v>Fournisseurs</v>
      </c>
      <c r="F261" t="s">
        <v>262</v>
      </c>
      <c r="G261" t="s">
        <v>619</v>
      </c>
      <c r="I261" s="10">
        <v>263.04000000000002</v>
      </c>
      <c r="K261" s="11">
        <f t="shared" si="17"/>
        <v>43.84</v>
      </c>
      <c r="L261" s="10">
        <f t="shared" si="15"/>
        <v>22491.660000000007</v>
      </c>
    </row>
    <row r="262" spans="1:12" x14ac:dyDescent="0.25">
      <c r="A262" t="s">
        <v>621</v>
      </c>
      <c r="B262">
        <v>237</v>
      </c>
      <c r="C262" s="1">
        <v>43567</v>
      </c>
      <c r="D262">
        <v>1</v>
      </c>
      <c r="E262" t="str">
        <f>IF(F262&lt;&gt;"",INDEX(Balance!A:A,MATCH(F262,Balance!B:B,0)),"")</f>
        <v>Depense</v>
      </c>
      <c r="F262" t="s">
        <v>253</v>
      </c>
      <c r="G262" t="s">
        <v>622</v>
      </c>
      <c r="I262" s="10">
        <v>74.44</v>
      </c>
      <c r="K262" s="11">
        <f t="shared" si="17"/>
        <v>12.406666666666666</v>
      </c>
      <c r="L262" s="10">
        <f t="shared" si="15"/>
        <v>22417.220000000008</v>
      </c>
    </row>
    <row r="263" spans="1:12" x14ac:dyDescent="0.25">
      <c r="A263" t="s">
        <v>623</v>
      </c>
      <c r="B263">
        <v>238</v>
      </c>
      <c r="C263" s="1">
        <v>43567</v>
      </c>
      <c r="D263">
        <v>1</v>
      </c>
      <c r="E263" t="str">
        <f>IF(F263&lt;&gt;"",INDEX(Balance!A:A,MATCH(F263,Balance!B:B,0)),"")</f>
        <v>Depense</v>
      </c>
      <c r="F263" t="s">
        <v>253</v>
      </c>
      <c r="G263" t="s">
        <v>219</v>
      </c>
      <c r="I263" s="10">
        <v>21.1</v>
      </c>
      <c r="K263" s="11">
        <f t="shared" si="17"/>
        <v>3.5166666666666657</v>
      </c>
      <c r="L263" s="10">
        <f t="shared" si="15"/>
        <v>22396.12000000001</v>
      </c>
    </row>
    <row r="264" spans="1:12" x14ac:dyDescent="0.25">
      <c r="A264" t="s">
        <v>624</v>
      </c>
      <c r="B264">
        <v>239</v>
      </c>
      <c r="C264" s="1">
        <v>43567</v>
      </c>
      <c r="E264" t="str">
        <f>IF(F264&lt;&gt;"",INDEX(Balance!A:A,MATCH(F264,Balance!B:B,0)),"")</f>
        <v/>
      </c>
      <c r="G264" t="s">
        <v>625</v>
      </c>
      <c r="I264" s="10">
        <v>1411.2</v>
      </c>
      <c r="K264" s="11">
        <f t="shared" si="17"/>
        <v>235.20000000000005</v>
      </c>
      <c r="L264" s="10">
        <f t="shared" si="15"/>
        <v>20984.920000000009</v>
      </c>
    </row>
    <row r="265" spans="1:12" x14ac:dyDescent="0.25">
      <c r="A265" t="s">
        <v>626</v>
      </c>
      <c r="B265">
        <v>240</v>
      </c>
      <c r="C265" s="1">
        <v>43570</v>
      </c>
      <c r="D265">
        <v>1</v>
      </c>
      <c r="E265" t="str">
        <f>IF(F265&lt;&gt;"",INDEX(Balance!A:A,MATCH(F265,Balance!B:B,0)),"")</f>
        <v/>
      </c>
      <c r="G265" t="s">
        <v>627</v>
      </c>
      <c r="I265" s="10">
        <v>3510.9</v>
      </c>
      <c r="K265" s="11">
        <f t="shared" si="17"/>
        <v>585.15000000000009</v>
      </c>
      <c r="L265" s="10">
        <f t="shared" si="15"/>
        <v>17474.020000000008</v>
      </c>
    </row>
    <row r="266" spans="1:12" x14ac:dyDescent="0.25">
      <c r="A266" t="s">
        <v>628</v>
      </c>
      <c r="B266">
        <v>241</v>
      </c>
      <c r="C266" s="1">
        <v>43570</v>
      </c>
      <c r="D266">
        <v>1</v>
      </c>
      <c r="E266" t="str">
        <f>IF(F266&lt;&gt;"",INDEX(Balance!A:A,MATCH(F266,Balance!B:B,0)),"")</f>
        <v>Depense</v>
      </c>
      <c r="F266" t="s">
        <v>254</v>
      </c>
      <c r="G266" t="s">
        <v>7</v>
      </c>
      <c r="I266" s="10">
        <v>32.799999999999997</v>
      </c>
      <c r="K266" s="11">
        <f t="shared" si="17"/>
        <v>5.466666666666665</v>
      </c>
      <c r="L266" s="10">
        <f t="shared" si="15"/>
        <v>17441.220000000008</v>
      </c>
    </row>
    <row r="267" spans="1:12" x14ac:dyDescent="0.25">
      <c r="A267" t="s">
        <v>629</v>
      </c>
      <c r="B267">
        <v>242</v>
      </c>
      <c r="C267" s="1">
        <v>43570</v>
      </c>
      <c r="D267">
        <v>1</v>
      </c>
      <c r="E267" t="str">
        <f>IF(F267&lt;&gt;"",INDEX(Balance!A:A,MATCH(F267,Balance!B:B,0)),"")</f>
        <v>Depense</v>
      </c>
      <c r="F267" t="s">
        <v>253</v>
      </c>
      <c r="G267" t="s">
        <v>142</v>
      </c>
      <c r="I267" s="10">
        <v>82.9</v>
      </c>
      <c r="K267" s="11">
        <f t="shared" si="17"/>
        <v>13.816666666666663</v>
      </c>
      <c r="L267" s="10">
        <f t="shared" si="15"/>
        <v>17358.320000000007</v>
      </c>
    </row>
    <row r="268" spans="1:12" x14ac:dyDescent="0.25">
      <c r="A268" t="s">
        <v>630</v>
      </c>
      <c r="B268">
        <v>243</v>
      </c>
      <c r="C268" s="1">
        <v>43570</v>
      </c>
      <c r="D268">
        <v>1</v>
      </c>
      <c r="E268" t="str">
        <f>IF(F268&lt;&gt;"",INDEX(Balance!A:A,MATCH(F268,Balance!B:B,0)),"")</f>
        <v>Depense</v>
      </c>
      <c r="F268" t="s">
        <v>267</v>
      </c>
      <c r="G268" t="s">
        <v>52</v>
      </c>
      <c r="I268" s="10">
        <v>162</v>
      </c>
      <c r="K268" s="11">
        <f t="shared" si="17"/>
        <v>27</v>
      </c>
      <c r="L268" s="10">
        <f t="shared" si="15"/>
        <v>17196.320000000007</v>
      </c>
    </row>
    <row r="269" spans="1:12" x14ac:dyDescent="0.25">
      <c r="A269" t="s">
        <v>631</v>
      </c>
      <c r="B269">
        <v>244</v>
      </c>
      <c r="C269" s="1">
        <v>43570</v>
      </c>
      <c r="D269">
        <v>1</v>
      </c>
      <c r="E269" t="str">
        <f>IF(F269&lt;&gt;"",INDEX(Balance!A:A,MATCH(F269,Balance!B:B,0)),"")</f>
        <v>Fournisseurs</v>
      </c>
      <c r="F269" t="s">
        <v>424</v>
      </c>
      <c r="G269" t="s">
        <v>421</v>
      </c>
      <c r="H269" t="s">
        <v>632</v>
      </c>
      <c r="I269" s="10">
        <v>97.03</v>
      </c>
      <c r="K269" s="11">
        <f t="shared" si="17"/>
        <v>16.171666666666667</v>
      </c>
      <c r="L269" s="10">
        <f t="shared" si="15"/>
        <v>17099.290000000008</v>
      </c>
    </row>
    <row r="270" spans="1:12" x14ac:dyDescent="0.25">
      <c r="A270" t="s">
        <v>633</v>
      </c>
      <c r="B270">
        <v>245</v>
      </c>
      <c r="C270" s="1">
        <v>43570</v>
      </c>
      <c r="D270">
        <v>1</v>
      </c>
      <c r="E270" t="str">
        <f>IF(F270&lt;&gt;"",INDEX(Balance!A:A,MATCH(F270,Balance!B:B,0)),"")</f>
        <v>Depense</v>
      </c>
      <c r="F270" t="s">
        <v>257</v>
      </c>
      <c r="G270" t="s">
        <v>31</v>
      </c>
      <c r="I270" s="10">
        <v>0.21</v>
      </c>
      <c r="K270" s="11">
        <f t="shared" si="17"/>
        <v>3.5000000000000003E-2</v>
      </c>
      <c r="L270" s="10">
        <f t="shared" si="15"/>
        <v>17099.080000000009</v>
      </c>
    </row>
    <row r="271" spans="1:12" x14ac:dyDescent="0.25">
      <c r="A271" t="s">
        <v>634</v>
      </c>
      <c r="B271">
        <v>246</v>
      </c>
      <c r="C271" s="1">
        <v>43570</v>
      </c>
      <c r="D271">
        <v>1</v>
      </c>
      <c r="E271" t="str">
        <f>IF(F271&lt;&gt;"",INDEX(Balance!A:A,MATCH(F271,Balance!B:B,0)),"")</f>
        <v>Depense</v>
      </c>
      <c r="F271" t="s">
        <v>257</v>
      </c>
      <c r="G271" t="s">
        <v>31</v>
      </c>
      <c r="I271" s="10">
        <v>0.21</v>
      </c>
      <c r="K271" s="11">
        <f t="shared" si="17"/>
        <v>3.5000000000000003E-2</v>
      </c>
      <c r="L271" s="10">
        <f t="shared" si="15"/>
        <v>17098.87000000001</v>
      </c>
    </row>
    <row r="272" spans="1:12" x14ac:dyDescent="0.25">
      <c r="A272" t="s">
        <v>635</v>
      </c>
      <c r="B272">
        <v>247</v>
      </c>
      <c r="C272" s="1">
        <v>43571</v>
      </c>
      <c r="D272">
        <v>1</v>
      </c>
      <c r="E272" t="str">
        <f>IF(F272&lt;&gt;"",INDEX(Balance!A:A,MATCH(F272,Balance!B:B,0)),"")</f>
        <v/>
      </c>
      <c r="G272" t="s">
        <v>636</v>
      </c>
      <c r="I272" s="10">
        <v>5042.08</v>
      </c>
      <c r="K272" s="11">
        <f t="shared" si="17"/>
        <v>840.34666666666635</v>
      </c>
      <c r="L272" s="10">
        <f t="shared" si="15"/>
        <v>12056.79000000001</v>
      </c>
    </row>
    <row r="273" spans="1:12" x14ac:dyDescent="0.25">
      <c r="A273" t="s">
        <v>637</v>
      </c>
      <c r="B273">
        <v>248</v>
      </c>
      <c r="C273" s="1">
        <v>43571</v>
      </c>
      <c r="D273">
        <v>1</v>
      </c>
      <c r="E273" t="str">
        <f>IF(F273&lt;&gt;"",INDEX(Balance!A:A,MATCH(F273,Balance!B:B,0)),"")</f>
        <v>Depense</v>
      </c>
      <c r="F273" t="s">
        <v>254</v>
      </c>
      <c r="G273" t="s">
        <v>461</v>
      </c>
      <c r="I273" s="10">
        <v>12.2</v>
      </c>
      <c r="K273" s="11">
        <f t="shared" si="17"/>
        <v>2.0333333333333332</v>
      </c>
      <c r="L273" s="10">
        <f t="shared" si="15"/>
        <v>12044.590000000009</v>
      </c>
    </row>
    <row r="274" spans="1:12" x14ac:dyDescent="0.25">
      <c r="A274" t="s">
        <v>638</v>
      </c>
      <c r="B274">
        <v>249</v>
      </c>
      <c r="C274" s="1">
        <v>43571</v>
      </c>
      <c r="D274">
        <v>1</v>
      </c>
      <c r="E274" t="str">
        <f>IF(F274&lt;&gt;"",INDEX(Balance!A:A,MATCH(F274,Balance!B:B,0)),"")</f>
        <v>Depense</v>
      </c>
      <c r="F274" t="s">
        <v>269</v>
      </c>
      <c r="G274" t="s">
        <v>47</v>
      </c>
      <c r="H274" t="s">
        <v>639</v>
      </c>
      <c r="I274" s="10">
        <v>3551</v>
      </c>
      <c r="K274" s="11">
        <f t="shared" si="17"/>
        <v>591.83333333333303</v>
      </c>
      <c r="L274" s="10">
        <f t="shared" si="15"/>
        <v>8493.5900000000092</v>
      </c>
    </row>
    <row r="275" spans="1:12" x14ac:dyDescent="0.25">
      <c r="A275" t="s">
        <v>640</v>
      </c>
      <c r="B275">
        <v>250</v>
      </c>
      <c r="C275" s="1">
        <v>43572</v>
      </c>
      <c r="D275">
        <v>1</v>
      </c>
      <c r="E275" t="str">
        <f>IF(F275&lt;&gt;"",INDEX(Balance!A:A,MATCH(F275,Balance!B:B,0)),"")</f>
        <v>Depense</v>
      </c>
      <c r="F275" t="s">
        <v>254</v>
      </c>
      <c r="G275" t="s">
        <v>641</v>
      </c>
      <c r="I275" s="10">
        <v>12.5</v>
      </c>
      <c r="K275" s="11">
        <f t="shared" si="17"/>
        <v>2.0833333333333321</v>
      </c>
      <c r="L275" s="10">
        <f t="shared" ref="L275:L278" si="18">L274-I275+J275</f>
        <v>8481.0900000000092</v>
      </c>
    </row>
    <row r="276" spans="1:12" x14ac:dyDescent="0.25">
      <c r="A276" t="s">
        <v>642</v>
      </c>
      <c r="B276">
        <v>251</v>
      </c>
      <c r="C276" s="1">
        <v>43572</v>
      </c>
      <c r="D276">
        <v>1</v>
      </c>
      <c r="E276" t="str">
        <f>IF(F276&lt;&gt;"",INDEX(Balance!A:A,MATCH(F276,Balance!B:B,0)),"")</f>
        <v>Depense</v>
      </c>
      <c r="F276" t="s">
        <v>372</v>
      </c>
      <c r="G276" t="s">
        <v>643</v>
      </c>
      <c r="I276" s="10">
        <v>4.0999999999999996</v>
      </c>
      <c r="K276" s="11">
        <f t="shared" si="17"/>
        <v>0.68333333333333313</v>
      </c>
      <c r="L276" s="10">
        <f t="shared" si="18"/>
        <v>8476.9900000000089</v>
      </c>
    </row>
    <row r="277" spans="1:12" x14ac:dyDescent="0.25">
      <c r="A277" t="s">
        <v>644</v>
      </c>
      <c r="B277">
        <v>252</v>
      </c>
      <c r="C277" s="1">
        <v>43573</v>
      </c>
      <c r="D277">
        <v>1</v>
      </c>
      <c r="E277" t="str">
        <f>IF(F277&lt;&gt;"",INDEX(Balance!A:A,MATCH(F277,Balance!B:B,0)),"")</f>
        <v>Fournisseurs</v>
      </c>
      <c r="F277" t="s">
        <v>376</v>
      </c>
      <c r="G277" t="s">
        <v>645</v>
      </c>
      <c r="I277" s="10">
        <v>9.99</v>
      </c>
      <c r="K277" s="11">
        <f t="shared" si="17"/>
        <v>1.6649999999999991</v>
      </c>
      <c r="L277" s="10">
        <f t="shared" si="18"/>
        <v>8467.0000000000091</v>
      </c>
    </row>
    <row r="278" spans="1:12" x14ac:dyDescent="0.25">
      <c r="A278" t="s">
        <v>646</v>
      </c>
      <c r="B278">
        <v>253</v>
      </c>
      <c r="C278" s="1">
        <v>43578</v>
      </c>
      <c r="D278">
        <v>1</v>
      </c>
      <c r="E278" t="str">
        <f>IF(F278&lt;&gt;"",INDEX(Balance!A:A,MATCH(F278,Balance!B:B,0)),"")</f>
        <v>Depense</v>
      </c>
      <c r="F278" t="s">
        <v>254</v>
      </c>
      <c r="G278" t="s">
        <v>647</v>
      </c>
      <c r="I278" s="10">
        <v>13.4</v>
      </c>
      <c r="K278" s="11">
        <f t="shared" si="17"/>
        <v>2.2333333333333325</v>
      </c>
      <c r="L278" s="10">
        <f t="shared" si="18"/>
        <v>8453.6000000000095</v>
      </c>
    </row>
    <row r="279" spans="1:12" x14ac:dyDescent="0.25">
      <c r="A279" t="s">
        <v>649</v>
      </c>
      <c r="B279">
        <v>254</v>
      </c>
      <c r="C279" s="1">
        <v>43579</v>
      </c>
      <c r="D279">
        <v>1</v>
      </c>
      <c r="E279" t="str">
        <f>IF(F279&lt;&gt;"",INDEX(Balance!A:A,MATCH(F279,Balance!B:B,0)),"")</f>
        <v>Depense</v>
      </c>
      <c r="F279" t="s">
        <v>253</v>
      </c>
      <c r="G279" t="s">
        <v>9</v>
      </c>
      <c r="I279" s="10">
        <v>82.11</v>
      </c>
      <c r="K279" s="11">
        <f t="shared" ref="K279" si="19">IF(I279&gt;0,I279-(I279/TVA),-(J279-(J279/TVA)))</f>
        <v>13.685000000000002</v>
      </c>
      <c r="L279" s="10">
        <f t="shared" ref="L279" si="20">L278-I279+J279</f>
        <v>8371.4900000000089</v>
      </c>
    </row>
    <row r="280" spans="1:12" x14ac:dyDescent="0.25">
      <c r="A280" t="s">
        <v>650</v>
      </c>
      <c r="B280">
        <v>255</v>
      </c>
      <c r="C280" s="1">
        <v>43579</v>
      </c>
      <c r="D280">
        <v>1</v>
      </c>
      <c r="E280" t="str">
        <f>IF(F280&lt;&gt;"",INDEX(Balance!A:A,MATCH(F280,Balance!B:B,0)),"")</f>
        <v>Depense</v>
      </c>
      <c r="F280" t="s">
        <v>254</v>
      </c>
      <c r="G280" t="s">
        <v>7</v>
      </c>
      <c r="I280" s="10">
        <v>12.6</v>
      </c>
      <c r="K280" s="11">
        <f t="shared" ref="K280:K293" si="21">IF(I280&gt;0,I280-(I280/TVA),-(J280-(J280/TVA)))</f>
        <v>2.0999999999999996</v>
      </c>
      <c r="L280" s="10">
        <f t="shared" ref="L280:L293" si="22">L279-I280+J280</f>
        <v>8358.8900000000085</v>
      </c>
    </row>
    <row r="281" spans="1:12" x14ac:dyDescent="0.25">
      <c r="A281" t="s">
        <v>651</v>
      </c>
      <c r="B281">
        <v>256</v>
      </c>
      <c r="C281" s="1">
        <v>43579</v>
      </c>
      <c r="D281">
        <v>1</v>
      </c>
      <c r="E281" t="str">
        <f>IF(F281&lt;&gt;"",INDEX(Balance!A:A,MATCH(F281,Balance!B:B,0)),"")</f>
        <v>Fournisseurs</v>
      </c>
      <c r="F281" t="s">
        <v>375</v>
      </c>
      <c r="G281" t="s">
        <v>77</v>
      </c>
      <c r="I281" s="10">
        <v>1168.9000000000001</v>
      </c>
      <c r="K281" s="11">
        <f t="shared" si="21"/>
        <v>194.81666666666661</v>
      </c>
      <c r="L281" s="10">
        <f t="shared" si="22"/>
        <v>7189.9900000000089</v>
      </c>
    </row>
    <row r="282" spans="1:12" x14ac:dyDescent="0.25">
      <c r="A282" t="s">
        <v>652</v>
      </c>
      <c r="B282">
        <v>257</v>
      </c>
      <c r="C282" s="1">
        <v>43579</v>
      </c>
      <c r="D282">
        <v>1</v>
      </c>
      <c r="E282" t="str">
        <f>IF(F282&lt;&gt;"",INDEX(Balance!A:A,MATCH(F282,Balance!B:B,0)),"")</f>
        <v>Depense</v>
      </c>
      <c r="F282" t="s">
        <v>269</v>
      </c>
      <c r="G282" t="s">
        <v>15</v>
      </c>
      <c r="H282" t="s">
        <v>653</v>
      </c>
      <c r="I282" s="10">
        <v>155</v>
      </c>
      <c r="K282" s="11">
        <f t="shared" si="21"/>
        <v>25.833333333333314</v>
      </c>
      <c r="L282" s="10">
        <f t="shared" si="22"/>
        <v>7034.9900000000089</v>
      </c>
    </row>
    <row r="283" spans="1:12" x14ac:dyDescent="0.25">
      <c r="A283" t="s">
        <v>654</v>
      </c>
      <c r="B283">
        <v>258</v>
      </c>
      <c r="C283" s="1">
        <v>43580</v>
      </c>
      <c r="D283">
        <v>1</v>
      </c>
      <c r="E283" t="str">
        <f>IF(F283&lt;&gt;"",INDEX(Balance!A:A,MATCH(F283,Balance!B:B,0)),"")</f>
        <v>Depense</v>
      </c>
      <c r="F283" t="s">
        <v>253</v>
      </c>
      <c r="G283" t="s">
        <v>27</v>
      </c>
      <c r="I283" s="10">
        <v>83.52</v>
      </c>
      <c r="K283" s="11">
        <f t="shared" si="21"/>
        <v>13.920000000000002</v>
      </c>
      <c r="L283" s="10">
        <f t="shared" si="22"/>
        <v>6951.4700000000084</v>
      </c>
    </row>
    <row r="284" spans="1:12" x14ac:dyDescent="0.25">
      <c r="A284" t="s">
        <v>655</v>
      </c>
      <c r="B284">
        <v>259</v>
      </c>
      <c r="C284" s="1">
        <v>43580</v>
      </c>
      <c r="D284">
        <v>1</v>
      </c>
      <c r="E284" t="str">
        <f>IF(F284&lt;&gt;"",INDEX(Balance!A:A,MATCH(F284,Balance!B:B,0)),"")</f>
        <v>Fournisseurs</v>
      </c>
      <c r="F284" t="s">
        <v>437</v>
      </c>
      <c r="G284" t="s">
        <v>247</v>
      </c>
      <c r="I284" s="10">
        <v>252</v>
      </c>
      <c r="K284" s="11">
        <f t="shared" si="21"/>
        <v>42</v>
      </c>
      <c r="L284" s="10">
        <f t="shared" si="22"/>
        <v>6699.4700000000084</v>
      </c>
    </row>
    <row r="285" spans="1:12" x14ac:dyDescent="0.25">
      <c r="A285" t="s">
        <v>656</v>
      </c>
      <c r="B285">
        <v>260</v>
      </c>
      <c r="C285" s="1">
        <v>43581</v>
      </c>
      <c r="E285" t="str">
        <f>IF(F285&lt;&gt;"",INDEX(Balance!A:A,MATCH(F285,Balance!B:B,0)),"")</f>
        <v>Fournisseurs</v>
      </c>
      <c r="F285" t="s">
        <v>291</v>
      </c>
      <c r="G285" t="s">
        <v>657</v>
      </c>
      <c r="I285" s="10">
        <v>204</v>
      </c>
      <c r="K285" s="11">
        <f t="shared" si="21"/>
        <v>34</v>
      </c>
      <c r="L285" s="10">
        <f t="shared" si="22"/>
        <v>6495.4700000000084</v>
      </c>
    </row>
    <row r="286" spans="1:12" x14ac:dyDescent="0.25">
      <c r="A286" t="s">
        <v>658</v>
      </c>
      <c r="B286">
        <v>261</v>
      </c>
      <c r="C286" s="1">
        <v>43581</v>
      </c>
      <c r="D286">
        <v>1</v>
      </c>
      <c r="E286" t="str">
        <f>IF(F286&lt;&gt;"",INDEX(Balance!A:A,MATCH(F286,Balance!B:B,0)),"")</f>
        <v>Fournisseurs</v>
      </c>
      <c r="F286" t="s">
        <v>674</v>
      </c>
      <c r="G286" t="s">
        <v>659</v>
      </c>
      <c r="I286" s="10">
        <v>97.58</v>
      </c>
      <c r="K286" s="11">
        <f t="shared" si="21"/>
        <v>16.263333333333335</v>
      </c>
      <c r="L286" s="10">
        <f t="shared" si="22"/>
        <v>6397.8900000000085</v>
      </c>
    </row>
    <row r="287" spans="1:12" x14ac:dyDescent="0.25">
      <c r="A287" t="s">
        <v>660</v>
      </c>
      <c r="B287">
        <v>262</v>
      </c>
      <c r="C287" s="1">
        <v>43581</v>
      </c>
      <c r="D287">
        <v>1</v>
      </c>
      <c r="E287" t="str">
        <f>IF(F287&lt;&gt;"",INDEX(Balance!A:A,MATCH(F287,Balance!B:B,0)),"")</f>
        <v>Depense</v>
      </c>
      <c r="F287" t="s">
        <v>254</v>
      </c>
      <c r="G287" t="s">
        <v>661</v>
      </c>
      <c r="I287" s="10">
        <v>15</v>
      </c>
      <c r="K287" s="11">
        <f t="shared" si="21"/>
        <v>2.5</v>
      </c>
      <c r="L287" s="10">
        <f t="shared" si="22"/>
        <v>6382.8900000000085</v>
      </c>
    </row>
    <row r="288" spans="1:12" x14ac:dyDescent="0.25">
      <c r="A288" t="s">
        <v>662</v>
      </c>
      <c r="B288">
        <v>263</v>
      </c>
      <c r="C288" s="1">
        <v>43584</v>
      </c>
      <c r="D288">
        <v>1</v>
      </c>
      <c r="E288" t="str">
        <f>IF(F288&lt;&gt;"",INDEX(Balance!A:A,MATCH(F288,Balance!B:B,0)),"")</f>
        <v>Fournisseurs</v>
      </c>
      <c r="F288" t="s">
        <v>437</v>
      </c>
      <c r="G288" t="s">
        <v>27</v>
      </c>
      <c r="I288" s="10">
        <v>67.42</v>
      </c>
      <c r="K288" s="11">
        <f t="shared" si="21"/>
        <v>11.236666666666665</v>
      </c>
      <c r="L288" s="10">
        <f t="shared" si="22"/>
        <v>6315.4700000000084</v>
      </c>
    </row>
    <row r="289" spans="1:12" x14ac:dyDescent="0.25">
      <c r="A289" t="s">
        <v>663</v>
      </c>
      <c r="B289">
        <v>264</v>
      </c>
      <c r="C289" s="1">
        <v>43584</v>
      </c>
      <c r="D289">
        <v>1</v>
      </c>
      <c r="E289" t="str">
        <f>IF(F289&lt;&gt;"",INDEX(Balance!A:A,MATCH(F289,Balance!B:B,0)),"")</f>
        <v>Depense</v>
      </c>
      <c r="F289" t="s">
        <v>272</v>
      </c>
      <c r="G289" t="s">
        <v>15</v>
      </c>
      <c r="H289" t="s">
        <v>664</v>
      </c>
      <c r="I289" s="10">
        <v>9255</v>
      </c>
      <c r="K289" s="11">
        <f t="shared" si="21"/>
        <v>1542.5</v>
      </c>
      <c r="L289" s="10">
        <f t="shared" si="22"/>
        <v>-2939.5299999999916</v>
      </c>
    </row>
    <row r="290" spans="1:12" x14ac:dyDescent="0.25">
      <c r="A290" t="s">
        <v>665</v>
      </c>
      <c r="B290">
        <v>265</v>
      </c>
      <c r="C290" s="1">
        <v>43584</v>
      </c>
      <c r="D290">
        <v>1</v>
      </c>
      <c r="E290" t="str">
        <f>IF(F290&lt;&gt;"",INDEX(Balance!A:A,MATCH(F290,Balance!B:B,0)),"")</f>
        <v>Depense</v>
      </c>
      <c r="F290" t="s">
        <v>257</v>
      </c>
      <c r="G290" t="s">
        <v>31</v>
      </c>
      <c r="I290" s="10">
        <v>0.21</v>
      </c>
      <c r="K290" s="11">
        <f t="shared" si="21"/>
        <v>3.5000000000000003E-2</v>
      </c>
      <c r="L290" s="10">
        <f t="shared" si="22"/>
        <v>-2939.7399999999916</v>
      </c>
    </row>
    <row r="291" spans="1:12" x14ac:dyDescent="0.25">
      <c r="A291" t="s">
        <v>666</v>
      </c>
      <c r="B291">
        <v>266</v>
      </c>
      <c r="C291" s="1">
        <v>43585</v>
      </c>
      <c r="E291" t="str">
        <f>IF(F291&lt;&gt;"",INDEX(Balance!A:A,MATCH(F291,Balance!B:B,0)),"")</f>
        <v/>
      </c>
      <c r="G291" t="s">
        <v>667</v>
      </c>
      <c r="I291" s="10">
        <v>3327.31</v>
      </c>
      <c r="K291" s="11">
        <f t="shared" si="21"/>
        <v>554.55166666666673</v>
      </c>
      <c r="L291" s="10">
        <f t="shared" si="22"/>
        <v>-6267.049999999992</v>
      </c>
    </row>
    <row r="292" spans="1:12" x14ac:dyDescent="0.25">
      <c r="A292" t="s">
        <v>668</v>
      </c>
      <c r="B292">
        <v>267</v>
      </c>
      <c r="C292" s="1">
        <v>43585</v>
      </c>
      <c r="D292">
        <v>1</v>
      </c>
      <c r="E292" t="str">
        <f>IF(F292&lt;&gt;"",INDEX(Balance!A:A,MATCH(F292,Balance!B:B,0)),"")</f>
        <v>Depense</v>
      </c>
      <c r="F292" t="s">
        <v>269</v>
      </c>
      <c r="G292" t="s">
        <v>669</v>
      </c>
      <c r="H292" t="s">
        <v>670</v>
      </c>
      <c r="I292" s="10">
        <v>1602.97</v>
      </c>
      <c r="K292" s="11">
        <f t="shared" si="21"/>
        <v>267.16166666666663</v>
      </c>
      <c r="L292" s="10">
        <f t="shared" si="22"/>
        <v>-7870.0199999999923</v>
      </c>
    </row>
    <row r="293" spans="1:12" x14ac:dyDescent="0.25">
      <c r="A293" t="s">
        <v>671</v>
      </c>
      <c r="B293">
        <v>268</v>
      </c>
      <c r="C293" s="1">
        <v>43585</v>
      </c>
      <c r="D293">
        <v>1</v>
      </c>
      <c r="E293" t="str">
        <f>IF(F293&lt;&gt;"",INDEX(Balance!A:A,MATCH(F293,Balance!B:B,0)),"")</f>
        <v>Depense</v>
      </c>
      <c r="F293" t="s">
        <v>269</v>
      </c>
      <c r="G293" t="s">
        <v>672</v>
      </c>
      <c r="H293" t="s">
        <v>673</v>
      </c>
      <c r="I293" s="10">
        <v>1723.68</v>
      </c>
      <c r="K293" s="11">
        <f t="shared" si="21"/>
        <v>287.27999999999997</v>
      </c>
      <c r="L293" s="10">
        <f t="shared" si="22"/>
        <v>-9593.6999999999916</v>
      </c>
    </row>
    <row r="294" spans="1:12" x14ac:dyDescent="0.25">
      <c r="A294" t="s">
        <v>675</v>
      </c>
      <c r="B294">
        <v>269</v>
      </c>
      <c r="C294" s="1">
        <v>43584</v>
      </c>
      <c r="D294">
        <v>1</v>
      </c>
      <c r="E294" t="str">
        <f>IF(F294&lt;&gt;"",INDEX(Balance!A:A,MATCH(F294,Balance!B:B,0)),"")</f>
        <v>Fournisseurs</v>
      </c>
      <c r="F294" t="s">
        <v>680</v>
      </c>
      <c r="G294" t="s">
        <v>676</v>
      </c>
      <c r="I294" s="10">
        <v>61.22</v>
      </c>
      <c r="K294" s="11">
        <f t="shared" ref="K294:K347" si="23">IF(I294&gt;0,I294-(I294/TVA),-(J294-(J294/TVA)))</f>
        <v>10.203333333333333</v>
      </c>
      <c r="L294" s="10">
        <f t="shared" ref="L294:L347" si="24">L293-I294+J294</f>
        <v>-9654.919999999991</v>
      </c>
    </row>
    <row r="295" spans="1:12" x14ac:dyDescent="0.25">
      <c r="A295" t="s">
        <v>677</v>
      </c>
      <c r="B295">
        <v>270</v>
      </c>
      <c r="C295" s="1">
        <v>43585</v>
      </c>
      <c r="D295">
        <v>1</v>
      </c>
      <c r="E295" t="str">
        <f>IF(F295&lt;&gt;"",INDEX(Balance!A:A,MATCH(F295,Balance!B:B,0)),"")</f>
        <v>Depense</v>
      </c>
      <c r="F295" t="s">
        <v>253</v>
      </c>
      <c r="G295" t="s">
        <v>142</v>
      </c>
      <c r="I295" s="10">
        <v>66.66</v>
      </c>
      <c r="K295" s="11">
        <f t="shared" si="23"/>
        <v>11.11</v>
      </c>
      <c r="L295" s="10">
        <f t="shared" si="24"/>
        <v>-9721.5799999999908</v>
      </c>
    </row>
    <row r="296" spans="1:12" x14ac:dyDescent="0.25">
      <c r="A296" t="s">
        <v>678</v>
      </c>
      <c r="B296">
        <v>271</v>
      </c>
      <c r="C296" s="1">
        <v>43585</v>
      </c>
      <c r="D296">
        <v>1</v>
      </c>
      <c r="E296" t="str">
        <f>IF(F296&lt;&gt;"",INDEX(Balance!A:A,MATCH(F296,Balance!B:B,0)),"")</f>
        <v>Depense</v>
      </c>
      <c r="F296" t="s">
        <v>254</v>
      </c>
      <c r="G296" t="s">
        <v>7</v>
      </c>
      <c r="I296" s="10">
        <v>30</v>
      </c>
      <c r="K296" s="11">
        <f t="shared" si="23"/>
        <v>5</v>
      </c>
      <c r="L296" s="10">
        <f t="shared" si="24"/>
        <v>-9751.5799999999908</v>
      </c>
    </row>
    <row r="297" spans="1:12" x14ac:dyDescent="0.25">
      <c r="A297" t="s">
        <v>679</v>
      </c>
      <c r="B297">
        <v>272</v>
      </c>
      <c r="C297" s="1">
        <v>43585</v>
      </c>
      <c r="D297">
        <v>1</v>
      </c>
      <c r="E297" t="str">
        <f>IF(F297&lt;&gt;"",INDEX(Balance!A:A,MATCH(F297,Balance!B:B,0)),"")</f>
        <v>Depense</v>
      </c>
      <c r="F297" t="s">
        <v>257</v>
      </c>
      <c r="G297" t="s">
        <v>31</v>
      </c>
      <c r="I297" s="10">
        <v>0.21</v>
      </c>
      <c r="K297" s="11">
        <f t="shared" si="23"/>
        <v>3.5000000000000003E-2</v>
      </c>
      <c r="L297" s="10">
        <f t="shared" si="24"/>
        <v>-9751.78999999999</v>
      </c>
    </row>
    <row r="298" spans="1:12" x14ac:dyDescent="0.25">
      <c r="A298" t="s">
        <v>716</v>
      </c>
      <c r="B298">
        <v>273</v>
      </c>
      <c r="C298" s="1">
        <v>43587</v>
      </c>
      <c r="D298">
        <v>1</v>
      </c>
      <c r="E298" t="str">
        <f>IF(F298&lt;&gt;"",INDEX(Balance!A:A,MATCH(F298,Balance!B:B,0)),"")</f>
        <v>Depense</v>
      </c>
      <c r="F298" t="s">
        <v>271</v>
      </c>
      <c r="G298" t="s">
        <v>717</v>
      </c>
      <c r="I298" s="10">
        <v>27.8</v>
      </c>
      <c r="K298" s="11">
        <f t="shared" si="23"/>
        <v>4.6333333333333329</v>
      </c>
      <c r="L298" s="10">
        <f t="shared" si="24"/>
        <v>-9779.5899999999892</v>
      </c>
    </row>
    <row r="299" spans="1:12" x14ac:dyDescent="0.25">
      <c r="A299" t="s">
        <v>718</v>
      </c>
      <c r="B299">
        <v>274</v>
      </c>
      <c r="C299" s="1">
        <v>43587</v>
      </c>
      <c r="E299" t="str">
        <f>IF(F299&lt;&gt;"",INDEX(Balance!A:A,MATCH(F299,Balance!B:B,0)),"")</f>
        <v/>
      </c>
      <c r="G299" t="s">
        <v>719</v>
      </c>
      <c r="I299" s="10">
        <v>283.12</v>
      </c>
      <c r="K299" s="11">
        <f t="shared" si="23"/>
        <v>47.186666666666667</v>
      </c>
      <c r="L299" s="10">
        <f t="shared" si="24"/>
        <v>-10062.70999999999</v>
      </c>
    </row>
    <row r="300" spans="1:12" x14ac:dyDescent="0.25">
      <c r="A300" t="s">
        <v>720</v>
      </c>
      <c r="B300">
        <v>275</v>
      </c>
      <c r="C300" s="1">
        <v>43587</v>
      </c>
      <c r="D300">
        <v>1</v>
      </c>
      <c r="E300" t="str">
        <f>IF(F300&lt;&gt;"",INDEX(Balance!A:A,MATCH(F300,Balance!B:B,0)),"")</f>
        <v>Depense</v>
      </c>
      <c r="F300" t="s">
        <v>271</v>
      </c>
      <c r="G300" t="s">
        <v>721</v>
      </c>
      <c r="I300" s="10">
        <v>17.399999999999999</v>
      </c>
      <c r="K300" s="11">
        <f t="shared" si="23"/>
        <v>2.8999999999999986</v>
      </c>
      <c r="L300" s="10">
        <f t="shared" si="24"/>
        <v>-10080.10999999999</v>
      </c>
    </row>
    <row r="301" spans="1:12" x14ac:dyDescent="0.25">
      <c r="A301" t="s">
        <v>722</v>
      </c>
      <c r="B301">
        <v>276</v>
      </c>
      <c r="C301" s="1">
        <v>43587</v>
      </c>
      <c r="E301" t="str">
        <f>IF(F301&lt;&gt;"",INDEX(Balance!A:A,MATCH(F301,Balance!B:B,0)),"")</f>
        <v/>
      </c>
      <c r="G301" t="s">
        <v>144</v>
      </c>
      <c r="J301" s="10">
        <v>2880</v>
      </c>
      <c r="K301" s="11">
        <f t="shared" si="23"/>
        <v>-480</v>
      </c>
      <c r="L301" s="10">
        <f t="shared" si="24"/>
        <v>-7200.1099999999897</v>
      </c>
    </row>
    <row r="302" spans="1:12" x14ac:dyDescent="0.25">
      <c r="A302" t="s">
        <v>723</v>
      </c>
      <c r="B302">
        <v>277</v>
      </c>
      <c r="C302" s="1">
        <v>43588</v>
      </c>
      <c r="D302">
        <v>1</v>
      </c>
      <c r="E302" t="str">
        <f>IF(F302&lt;&gt;"",INDEX(Balance!A:A,MATCH(F302,Balance!B:B,0)),"")</f>
        <v>Depense</v>
      </c>
      <c r="F302" t="s">
        <v>256</v>
      </c>
      <c r="G302" t="s">
        <v>724</v>
      </c>
      <c r="I302" s="10">
        <v>724.89</v>
      </c>
      <c r="K302" s="11">
        <f t="shared" si="23"/>
        <v>120.81499999999994</v>
      </c>
      <c r="L302" s="10">
        <f t="shared" si="24"/>
        <v>-7924.99999999999</v>
      </c>
    </row>
    <row r="303" spans="1:12" x14ac:dyDescent="0.25">
      <c r="A303" t="s">
        <v>725</v>
      </c>
      <c r="B303">
        <v>278</v>
      </c>
      <c r="C303" s="1">
        <v>43588</v>
      </c>
      <c r="D303">
        <v>1</v>
      </c>
      <c r="E303" t="str">
        <f>IF(F303&lt;&gt;"",INDEX(Balance!A:A,MATCH(F303,Balance!B:B,0)),"")</f>
        <v>Depense</v>
      </c>
      <c r="F303" t="s">
        <v>256</v>
      </c>
      <c r="G303" t="s">
        <v>726</v>
      </c>
      <c r="I303" s="10">
        <v>1196.3499999999999</v>
      </c>
      <c r="K303" s="11">
        <f t="shared" si="23"/>
        <v>199.39166666666665</v>
      </c>
      <c r="L303" s="10">
        <f t="shared" si="24"/>
        <v>-9121.3499999999894</v>
      </c>
    </row>
    <row r="304" spans="1:12" x14ac:dyDescent="0.25">
      <c r="A304" t="s">
        <v>727</v>
      </c>
      <c r="B304">
        <v>279</v>
      </c>
      <c r="C304" s="1">
        <v>43588</v>
      </c>
      <c r="D304">
        <v>1</v>
      </c>
      <c r="E304" t="str">
        <f>IF(F304&lt;&gt;"",INDEX(Balance!A:A,MATCH(F304,Balance!B:B,0)),"")</f>
        <v>Depense</v>
      </c>
      <c r="F304" t="s">
        <v>256</v>
      </c>
      <c r="G304" t="s">
        <v>728</v>
      </c>
      <c r="I304" s="10">
        <v>754.01</v>
      </c>
      <c r="K304" s="11">
        <f t="shared" si="23"/>
        <v>125.66833333333329</v>
      </c>
      <c r="L304" s="10">
        <f t="shared" si="24"/>
        <v>-9875.3599999999897</v>
      </c>
    </row>
    <row r="305" spans="1:12" x14ac:dyDescent="0.25">
      <c r="A305" t="s">
        <v>729</v>
      </c>
      <c r="B305">
        <v>280</v>
      </c>
      <c r="C305" s="1">
        <v>43588</v>
      </c>
      <c r="E305" t="str">
        <f>IF(F305&lt;&gt;"",INDEX(Balance!A:A,MATCH(F305,Balance!B:B,0)),"")</f>
        <v/>
      </c>
      <c r="G305" t="s">
        <v>730</v>
      </c>
      <c r="I305" s="10">
        <v>561.6</v>
      </c>
      <c r="K305" s="11">
        <f t="shared" si="23"/>
        <v>93.599999999999966</v>
      </c>
      <c r="L305" s="10">
        <f t="shared" si="24"/>
        <v>-10436.95999999999</v>
      </c>
    </row>
    <row r="306" spans="1:12" x14ac:dyDescent="0.25">
      <c r="A306" t="s">
        <v>731</v>
      </c>
      <c r="B306">
        <v>281</v>
      </c>
      <c r="C306" s="1">
        <v>43588</v>
      </c>
      <c r="D306">
        <v>1</v>
      </c>
      <c r="E306" t="str">
        <f>IF(F306&lt;&gt;"",INDEX(Balance!A:A,MATCH(F306,Balance!B:B,0)),"")</f>
        <v>Fournisseurs</v>
      </c>
      <c r="F306" t="s">
        <v>376</v>
      </c>
      <c r="G306" t="s">
        <v>139</v>
      </c>
      <c r="H306" t="s">
        <v>140</v>
      </c>
      <c r="I306" s="10">
        <v>10.31</v>
      </c>
      <c r="K306" s="11">
        <f t="shared" si="23"/>
        <v>1.7183333333333337</v>
      </c>
      <c r="L306" s="10">
        <f t="shared" si="24"/>
        <v>-10447.26999999999</v>
      </c>
    </row>
    <row r="307" spans="1:12" x14ac:dyDescent="0.25">
      <c r="A307" t="s">
        <v>732</v>
      </c>
      <c r="B307">
        <v>282</v>
      </c>
      <c r="C307" s="1">
        <v>43591</v>
      </c>
      <c r="D307">
        <v>1</v>
      </c>
      <c r="E307" t="str">
        <f>IF(F307&lt;&gt;"",INDEX(Balance!A:A,MATCH(F307,Balance!B:B,0)),"")</f>
        <v>Depense</v>
      </c>
      <c r="F307" t="s">
        <v>257</v>
      </c>
      <c r="G307" t="s">
        <v>156</v>
      </c>
      <c r="J307" s="10">
        <v>0</v>
      </c>
      <c r="K307" s="11">
        <f t="shared" si="23"/>
        <v>0</v>
      </c>
      <c r="L307" s="10">
        <f t="shared" si="24"/>
        <v>-10447.26999999999</v>
      </c>
    </row>
    <row r="308" spans="1:12" x14ac:dyDescent="0.25">
      <c r="A308" t="s">
        <v>733</v>
      </c>
      <c r="B308">
        <v>283</v>
      </c>
      <c r="C308" s="1">
        <v>43591</v>
      </c>
      <c r="D308">
        <v>1</v>
      </c>
      <c r="E308" t="str">
        <f>IF(F308&lt;&gt;"",INDEX(Balance!A:A,MATCH(F308,Balance!B:B,0)),"")</f>
        <v>Depense</v>
      </c>
      <c r="F308" t="s">
        <v>254</v>
      </c>
      <c r="G308" t="s">
        <v>397</v>
      </c>
      <c r="I308" s="10">
        <v>49.5</v>
      </c>
      <c r="K308" s="11">
        <f t="shared" si="23"/>
        <v>8.25</v>
      </c>
      <c r="L308" s="10">
        <f t="shared" si="24"/>
        <v>-10496.76999999999</v>
      </c>
    </row>
    <row r="309" spans="1:12" x14ac:dyDescent="0.25">
      <c r="A309" t="s">
        <v>734</v>
      </c>
      <c r="B309">
        <v>284</v>
      </c>
      <c r="C309" s="1">
        <v>43591</v>
      </c>
      <c r="D309">
        <v>1</v>
      </c>
      <c r="E309" t="str">
        <f>IF(F309&lt;&gt;"",INDEX(Balance!A:A,MATCH(F309,Balance!B:B,0)),"")</f>
        <v>Depense</v>
      </c>
      <c r="F309" t="s">
        <v>253</v>
      </c>
      <c r="G309" t="s">
        <v>9</v>
      </c>
      <c r="I309" s="10">
        <v>73.290000000000006</v>
      </c>
      <c r="K309" s="11">
        <f t="shared" si="23"/>
        <v>12.214999999999996</v>
      </c>
      <c r="L309" s="10">
        <f t="shared" si="24"/>
        <v>-10570.05999999999</v>
      </c>
    </row>
    <row r="310" spans="1:12" x14ac:dyDescent="0.25">
      <c r="A310" t="s">
        <v>735</v>
      </c>
      <c r="B310">
        <v>285</v>
      </c>
      <c r="C310" s="1">
        <v>43591</v>
      </c>
      <c r="D310">
        <v>1</v>
      </c>
      <c r="E310" t="str">
        <f>IF(F310&lt;&gt;"",INDEX(Balance!A:A,MATCH(F310,Balance!B:B,0)),"")</f>
        <v>Depense</v>
      </c>
      <c r="F310" t="s">
        <v>253</v>
      </c>
      <c r="G310" t="s">
        <v>142</v>
      </c>
      <c r="I310" s="10">
        <v>77.36</v>
      </c>
      <c r="K310" s="11">
        <f t="shared" si="23"/>
        <v>12.893333333333331</v>
      </c>
      <c r="L310" s="10">
        <f t="shared" si="24"/>
        <v>-10647.419999999991</v>
      </c>
    </row>
    <row r="311" spans="1:12" x14ac:dyDescent="0.25">
      <c r="A311" t="s">
        <v>736</v>
      </c>
      <c r="B311">
        <v>286</v>
      </c>
      <c r="C311" s="1">
        <v>43591</v>
      </c>
      <c r="D311">
        <v>1</v>
      </c>
      <c r="E311" t="str">
        <f>IF(F311&lt;&gt;"",INDEX(Balance!A:A,MATCH(F311,Balance!B:B,0)),"")</f>
        <v>Depense</v>
      </c>
      <c r="F311" t="s">
        <v>257</v>
      </c>
      <c r="G311" t="s">
        <v>31</v>
      </c>
      <c r="I311" s="10">
        <v>0.21</v>
      </c>
      <c r="K311" s="11">
        <f t="shared" si="23"/>
        <v>3.5000000000000003E-2</v>
      </c>
      <c r="L311" s="10">
        <f t="shared" si="24"/>
        <v>-10647.62999999999</v>
      </c>
    </row>
    <row r="312" spans="1:12" x14ac:dyDescent="0.25">
      <c r="A312" t="s">
        <v>737</v>
      </c>
      <c r="B312">
        <v>287</v>
      </c>
      <c r="C312" s="1">
        <v>43591</v>
      </c>
      <c r="D312">
        <v>1</v>
      </c>
      <c r="E312" t="str">
        <f>IF(F312&lt;&gt;"",INDEX(Balance!A:A,MATCH(F312,Balance!B:B,0)),"")</f>
        <v>Depense</v>
      </c>
      <c r="F312" t="s">
        <v>257</v>
      </c>
      <c r="G312" t="s">
        <v>31</v>
      </c>
      <c r="I312" s="10">
        <v>0.21</v>
      </c>
      <c r="K312" s="11">
        <f t="shared" si="23"/>
        <v>3.5000000000000003E-2</v>
      </c>
      <c r="L312" s="10">
        <f t="shared" si="24"/>
        <v>-10647.839999999989</v>
      </c>
    </row>
    <row r="313" spans="1:12" x14ac:dyDescent="0.25">
      <c r="A313" t="s">
        <v>738</v>
      </c>
      <c r="B313">
        <v>288</v>
      </c>
      <c r="C313" s="1">
        <v>43591</v>
      </c>
      <c r="D313">
        <v>1</v>
      </c>
      <c r="E313" t="str">
        <f>IF(F313&lt;&gt;"",INDEX(Balance!A:A,MATCH(F313,Balance!B:B,0)),"")</f>
        <v>Depense</v>
      </c>
      <c r="F313" t="s">
        <v>257</v>
      </c>
      <c r="G313" t="s">
        <v>31</v>
      </c>
      <c r="I313" s="10">
        <v>0.21</v>
      </c>
      <c r="K313" s="11">
        <f t="shared" si="23"/>
        <v>3.5000000000000003E-2</v>
      </c>
      <c r="L313" s="10">
        <f t="shared" si="24"/>
        <v>-10648.049999999988</v>
      </c>
    </row>
    <row r="314" spans="1:12" x14ac:dyDescent="0.25">
      <c r="A314" t="s">
        <v>739</v>
      </c>
      <c r="B314">
        <v>289</v>
      </c>
      <c r="C314" s="1">
        <v>43592</v>
      </c>
      <c r="E314" t="str">
        <f>IF(F314&lt;&gt;"",INDEX(Balance!A:A,MATCH(F314,Balance!B:B,0)),"")</f>
        <v/>
      </c>
      <c r="G314" t="s">
        <v>740</v>
      </c>
      <c r="I314" s="10">
        <v>273.58999999999997</v>
      </c>
      <c r="K314" s="11">
        <f t="shared" si="23"/>
        <v>45.598333333333329</v>
      </c>
      <c r="L314" s="10">
        <f t="shared" si="24"/>
        <v>-10921.639999999989</v>
      </c>
    </row>
    <row r="315" spans="1:12" x14ac:dyDescent="0.25">
      <c r="A315" t="s">
        <v>741</v>
      </c>
      <c r="B315">
        <v>290</v>
      </c>
      <c r="C315" s="1">
        <v>43592</v>
      </c>
      <c r="D315">
        <v>1</v>
      </c>
      <c r="E315" t="str">
        <f>IF(F315&lt;&gt;"",INDEX(Balance!A:A,MATCH(F315,Balance!B:B,0)),"")</f>
        <v>Fournisseurs</v>
      </c>
      <c r="F315" t="s">
        <v>373</v>
      </c>
      <c r="G315" t="s">
        <v>742</v>
      </c>
      <c r="I315" s="10">
        <v>65.7</v>
      </c>
      <c r="K315" s="11">
        <f t="shared" si="23"/>
        <v>10.949999999999996</v>
      </c>
      <c r="L315" s="10">
        <f t="shared" si="24"/>
        <v>-10987.339999999989</v>
      </c>
    </row>
    <row r="316" spans="1:12" x14ac:dyDescent="0.25">
      <c r="A316" t="s">
        <v>743</v>
      </c>
      <c r="B316">
        <v>291</v>
      </c>
      <c r="C316" s="1">
        <v>43592</v>
      </c>
      <c r="D316">
        <v>1</v>
      </c>
      <c r="E316" t="str">
        <f>IF(F316&lt;&gt;"",INDEX(Balance!A:A,MATCH(F316,Balance!B:B,0)),"")</f>
        <v>Depense</v>
      </c>
      <c r="F316" t="s">
        <v>254</v>
      </c>
      <c r="G316" t="s">
        <v>7</v>
      </c>
      <c r="I316" s="10">
        <v>44.1</v>
      </c>
      <c r="K316" s="11">
        <f t="shared" si="23"/>
        <v>7.3500000000000014</v>
      </c>
      <c r="L316" s="10">
        <f t="shared" si="24"/>
        <v>-11031.43999999999</v>
      </c>
    </row>
    <row r="317" spans="1:12" x14ac:dyDescent="0.25">
      <c r="A317" t="s">
        <v>744</v>
      </c>
      <c r="B317">
        <v>292</v>
      </c>
      <c r="C317" s="1">
        <v>43593</v>
      </c>
      <c r="E317" t="str">
        <f>IF(F317&lt;&gt;"",INDEX(Balance!A:A,MATCH(F317,Balance!B:B,0)),"")</f>
        <v/>
      </c>
      <c r="G317" t="s">
        <v>487</v>
      </c>
      <c r="J317" s="10">
        <v>1560</v>
      </c>
      <c r="K317" s="11">
        <f t="shared" si="23"/>
        <v>-260</v>
      </c>
      <c r="L317" s="10">
        <f t="shared" si="24"/>
        <v>-9471.4399999999896</v>
      </c>
    </row>
    <row r="318" spans="1:12" x14ac:dyDescent="0.25">
      <c r="A318" t="s">
        <v>745</v>
      </c>
      <c r="B318">
        <v>293</v>
      </c>
      <c r="C318" s="1">
        <v>43595</v>
      </c>
      <c r="E318" t="str">
        <f>IF(F318&lt;&gt;"",INDEX(Balance!A:A,MATCH(F318,Balance!B:B,0)),"")</f>
        <v/>
      </c>
      <c r="G318" t="s">
        <v>746</v>
      </c>
      <c r="I318" s="10">
        <v>13.33</v>
      </c>
      <c r="K318" s="11">
        <f t="shared" si="23"/>
        <v>2.2216666666666658</v>
      </c>
      <c r="L318" s="10">
        <f t="shared" si="24"/>
        <v>-9484.7699999999895</v>
      </c>
    </row>
    <row r="319" spans="1:12" x14ac:dyDescent="0.25">
      <c r="A319" t="s">
        <v>747</v>
      </c>
      <c r="B319">
        <v>294</v>
      </c>
      <c r="C319" s="1">
        <v>43595</v>
      </c>
      <c r="D319">
        <v>1</v>
      </c>
      <c r="E319" t="str">
        <f>IF(F319&lt;&gt;"",INDEX(Balance!A:A,MATCH(F319,Balance!B:B,0)),"")</f>
        <v>Depense</v>
      </c>
      <c r="F319" t="s">
        <v>254</v>
      </c>
      <c r="G319" t="s">
        <v>647</v>
      </c>
      <c r="I319" s="10">
        <v>21.8</v>
      </c>
      <c r="K319" s="11">
        <f t="shared" si="23"/>
        <v>3.6333333333333329</v>
      </c>
      <c r="L319" s="10">
        <f t="shared" si="24"/>
        <v>-9506.5699999999888</v>
      </c>
    </row>
    <row r="320" spans="1:12" x14ac:dyDescent="0.25">
      <c r="A320" t="s">
        <v>748</v>
      </c>
      <c r="B320">
        <v>295</v>
      </c>
      <c r="C320" s="1">
        <v>43595</v>
      </c>
      <c r="D320">
        <v>1</v>
      </c>
      <c r="E320" t="str">
        <f>IF(F320&lt;&gt;"",INDEX(Balance!A:A,MATCH(F320,Balance!B:B,0)),"")</f>
        <v>Depense</v>
      </c>
      <c r="F320" t="s">
        <v>257</v>
      </c>
      <c r="G320" t="s">
        <v>101</v>
      </c>
      <c r="I320" s="10">
        <v>1.6</v>
      </c>
      <c r="K320" s="11">
        <f t="shared" si="23"/>
        <v>0.26666666666666661</v>
      </c>
      <c r="L320" s="10">
        <f t="shared" si="24"/>
        <v>-9508.1699999999892</v>
      </c>
    </row>
    <row r="321" spans="1:12" x14ac:dyDescent="0.25">
      <c r="A321" t="s">
        <v>749</v>
      </c>
      <c r="B321">
        <v>296</v>
      </c>
      <c r="C321" s="1">
        <v>43595</v>
      </c>
      <c r="D321">
        <v>1</v>
      </c>
      <c r="E321" t="str">
        <f>IF(F321&lt;&gt;"",INDEX(Balance!A:A,MATCH(F321,Balance!B:B,0)),"")</f>
        <v>Depense</v>
      </c>
      <c r="F321" t="s">
        <v>255</v>
      </c>
      <c r="G321" t="s">
        <v>113</v>
      </c>
      <c r="I321" s="10">
        <v>1300</v>
      </c>
      <c r="K321" s="11">
        <f t="shared" si="23"/>
        <v>216.66666666666652</v>
      </c>
      <c r="L321" s="10">
        <f t="shared" si="24"/>
        <v>-10808.169999999989</v>
      </c>
    </row>
    <row r="322" spans="1:12" x14ac:dyDescent="0.25">
      <c r="A322" t="s">
        <v>750</v>
      </c>
      <c r="B322">
        <v>297</v>
      </c>
      <c r="C322" s="1">
        <v>43595</v>
      </c>
      <c r="D322">
        <v>1</v>
      </c>
      <c r="E322" t="str">
        <f>IF(F322&lt;&gt;"",INDEX(Balance!A:A,MATCH(F322,Balance!B:B,0)),"")</f>
        <v>Depense</v>
      </c>
      <c r="F322" t="s">
        <v>380</v>
      </c>
      <c r="G322" t="s">
        <v>107</v>
      </c>
      <c r="I322" s="10">
        <v>380</v>
      </c>
      <c r="K322" s="11">
        <f t="shared" si="23"/>
        <v>63.333333333333314</v>
      </c>
      <c r="L322" s="10">
        <f t="shared" si="24"/>
        <v>-11188.169999999989</v>
      </c>
    </row>
    <row r="323" spans="1:12" x14ac:dyDescent="0.25">
      <c r="A323" t="s">
        <v>751</v>
      </c>
      <c r="B323">
        <v>298</v>
      </c>
      <c r="C323" s="1">
        <v>43595</v>
      </c>
      <c r="D323">
        <v>1</v>
      </c>
      <c r="E323" t="str">
        <f>IF(F323&lt;&gt;"",INDEX(Balance!A:A,MATCH(F323,Balance!B:B,0)),"")</f>
        <v>Depense</v>
      </c>
      <c r="F323" t="s">
        <v>381</v>
      </c>
      <c r="G323" t="s">
        <v>103</v>
      </c>
      <c r="I323" s="10">
        <v>237.15</v>
      </c>
      <c r="K323" s="11">
        <f t="shared" si="23"/>
        <v>39.525000000000006</v>
      </c>
      <c r="L323" s="10">
        <f t="shared" si="24"/>
        <v>-11425.319999999989</v>
      </c>
    </row>
    <row r="324" spans="1:12" x14ac:dyDescent="0.25">
      <c r="A324" t="s">
        <v>752</v>
      </c>
      <c r="B324">
        <v>299</v>
      </c>
      <c r="C324" s="1">
        <v>43595</v>
      </c>
      <c r="D324">
        <v>1</v>
      </c>
      <c r="E324" t="str">
        <f>IF(F324&lt;&gt;"",INDEX(Balance!A:A,MATCH(F324,Balance!B:B,0)),"")</f>
        <v>Depense</v>
      </c>
      <c r="F324" t="s">
        <v>382</v>
      </c>
      <c r="G324" t="s">
        <v>753</v>
      </c>
      <c r="I324" s="10">
        <v>260</v>
      </c>
      <c r="K324" s="11">
        <f t="shared" si="23"/>
        <v>43.333333333333314</v>
      </c>
      <c r="L324" s="10">
        <f t="shared" si="24"/>
        <v>-11685.319999999989</v>
      </c>
    </row>
    <row r="325" spans="1:12" x14ac:dyDescent="0.25">
      <c r="A325" t="s">
        <v>754</v>
      </c>
      <c r="B325">
        <v>300</v>
      </c>
      <c r="C325" s="1">
        <v>43598</v>
      </c>
      <c r="E325" t="str">
        <f>IF(F325&lt;&gt;"",INDEX(Balance!A:A,MATCH(F325,Balance!B:B,0)),"")</f>
        <v/>
      </c>
      <c r="G325" t="s">
        <v>755</v>
      </c>
      <c r="I325" s="10">
        <v>1235.3</v>
      </c>
      <c r="K325" s="11">
        <f t="shared" si="23"/>
        <v>205.88333333333321</v>
      </c>
      <c r="L325" s="10">
        <f t="shared" si="24"/>
        <v>-12920.619999999988</v>
      </c>
    </row>
    <row r="326" spans="1:12" x14ac:dyDescent="0.25">
      <c r="A326" t="s">
        <v>756</v>
      </c>
      <c r="B326">
        <v>301</v>
      </c>
      <c r="C326" s="1">
        <v>43598</v>
      </c>
      <c r="D326">
        <v>1</v>
      </c>
      <c r="E326" t="str">
        <f>IF(F326&lt;&gt;"",INDEX(Balance!A:A,MATCH(F326,Balance!B:B,0)),"")</f>
        <v>Depense</v>
      </c>
      <c r="F326" t="s">
        <v>253</v>
      </c>
      <c r="G326" t="s">
        <v>142</v>
      </c>
      <c r="I326" s="10">
        <v>70.2</v>
      </c>
      <c r="K326" s="11">
        <f t="shared" si="23"/>
        <v>11.699999999999996</v>
      </c>
      <c r="L326" s="10">
        <f t="shared" si="24"/>
        <v>-12990.819999999989</v>
      </c>
    </row>
    <row r="327" spans="1:12" x14ac:dyDescent="0.25">
      <c r="A327" t="s">
        <v>757</v>
      </c>
      <c r="B327">
        <v>302</v>
      </c>
      <c r="C327" s="1">
        <v>43598</v>
      </c>
      <c r="D327">
        <v>1</v>
      </c>
      <c r="E327" t="str">
        <f>IF(F327&lt;&gt;"",INDEX(Balance!A:A,MATCH(F327,Balance!B:B,0)),"")</f>
        <v>Depense</v>
      </c>
      <c r="F327" t="s">
        <v>253</v>
      </c>
      <c r="G327" t="s">
        <v>758</v>
      </c>
      <c r="I327" s="10">
        <v>86.29</v>
      </c>
      <c r="K327" s="11">
        <f t="shared" si="23"/>
        <v>14.381666666666661</v>
      </c>
      <c r="L327" s="10">
        <f t="shared" si="24"/>
        <v>-13077.10999999999</v>
      </c>
    </row>
    <row r="328" spans="1:12" x14ac:dyDescent="0.25">
      <c r="A328" t="s">
        <v>759</v>
      </c>
      <c r="B328">
        <v>303</v>
      </c>
      <c r="C328" s="1">
        <v>43598</v>
      </c>
      <c r="D328">
        <v>1</v>
      </c>
      <c r="E328" t="str">
        <f>IF(F328&lt;&gt;"",INDEX(Balance!A:A,MATCH(F328,Balance!B:B,0)),"")</f>
        <v>Depense</v>
      </c>
      <c r="F328" t="s">
        <v>254</v>
      </c>
      <c r="G328" t="s">
        <v>760</v>
      </c>
      <c r="I328" s="10">
        <v>49.3</v>
      </c>
      <c r="K328" s="11">
        <f t="shared" si="23"/>
        <v>8.2166666666666615</v>
      </c>
      <c r="L328" s="10">
        <f t="shared" si="24"/>
        <v>-13126.409999999989</v>
      </c>
    </row>
    <row r="329" spans="1:12" x14ac:dyDescent="0.25">
      <c r="A329" t="s">
        <v>761</v>
      </c>
      <c r="B329">
        <v>304</v>
      </c>
      <c r="C329" s="1">
        <v>43599</v>
      </c>
      <c r="D329">
        <v>1</v>
      </c>
      <c r="E329" t="str">
        <f>IF(F329&lt;&gt;"",INDEX(Balance!A:A,MATCH(F329,Balance!B:B,0)),"")</f>
        <v>Depense</v>
      </c>
      <c r="F329" t="s">
        <v>256</v>
      </c>
      <c r="G329" t="s">
        <v>762</v>
      </c>
      <c r="I329" s="10">
        <v>1676.08</v>
      </c>
      <c r="K329" s="11">
        <f t="shared" si="23"/>
        <v>279.34666666666658</v>
      </c>
      <c r="L329" s="10">
        <f t="shared" si="24"/>
        <v>-14802.489999999989</v>
      </c>
    </row>
    <row r="330" spans="1:12" x14ac:dyDescent="0.25">
      <c r="A330" t="s">
        <v>763</v>
      </c>
      <c r="B330">
        <v>305</v>
      </c>
      <c r="C330" s="1">
        <v>43599</v>
      </c>
      <c r="D330">
        <v>1</v>
      </c>
      <c r="E330" t="str">
        <f>IF(F330&lt;&gt;"",INDEX(Balance!A:A,MATCH(F330,Balance!B:B,0)),"")</f>
        <v>Depense</v>
      </c>
      <c r="F330" t="s">
        <v>256</v>
      </c>
      <c r="G330" t="s">
        <v>764</v>
      </c>
      <c r="I330" s="10">
        <v>1081.58</v>
      </c>
      <c r="K330" s="11">
        <f t="shared" si="23"/>
        <v>180.26333333333332</v>
      </c>
      <c r="L330" s="10">
        <f t="shared" si="24"/>
        <v>-15884.069999999989</v>
      </c>
    </row>
    <row r="331" spans="1:12" x14ac:dyDescent="0.25">
      <c r="A331" t="s">
        <v>765</v>
      </c>
      <c r="B331">
        <v>306</v>
      </c>
      <c r="C331" s="1">
        <v>43599</v>
      </c>
      <c r="D331">
        <v>1</v>
      </c>
      <c r="E331" t="str">
        <f>IF(F331&lt;&gt;"",INDEX(Balance!A:A,MATCH(F331,Balance!B:B,0)),"")</f>
        <v>Fournisseurs</v>
      </c>
      <c r="F331" t="s">
        <v>373</v>
      </c>
      <c r="G331" t="s">
        <v>766</v>
      </c>
      <c r="I331" s="10">
        <v>48.4</v>
      </c>
      <c r="K331" s="11">
        <f t="shared" si="23"/>
        <v>8.0666666666666629</v>
      </c>
      <c r="L331" s="10">
        <f t="shared" si="24"/>
        <v>-15932.469999999988</v>
      </c>
    </row>
    <row r="332" spans="1:12" x14ac:dyDescent="0.25">
      <c r="A332" t="s">
        <v>767</v>
      </c>
      <c r="B332">
        <v>307</v>
      </c>
      <c r="C332" s="1">
        <v>43599</v>
      </c>
      <c r="D332">
        <v>1</v>
      </c>
      <c r="E332" t="str">
        <f>IF(F332&lt;&gt;"",INDEX(Balance!A:A,MATCH(F332,Balance!B:B,0)),"")</f>
        <v>Depense</v>
      </c>
      <c r="F332" t="s">
        <v>254</v>
      </c>
      <c r="G332" t="s">
        <v>768</v>
      </c>
      <c r="I332" s="10">
        <v>6.9</v>
      </c>
      <c r="K332" s="11">
        <f t="shared" si="23"/>
        <v>1.1499999999999995</v>
      </c>
      <c r="L332" s="10">
        <f t="shared" si="24"/>
        <v>-15939.369999999988</v>
      </c>
    </row>
    <row r="333" spans="1:12" x14ac:dyDescent="0.25">
      <c r="A333" t="s">
        <v>769</v>
      </c>
      <c r="B333">
        <v>308</v>
      </c>
      <c r="C333" s="1">
        <v>43599</v>
      </c>
      <c r="E333" t="str">
        <f>IF(F333&lt;&gt;"",INDEX(Balance!A:A,MATCH(F333,Balance!B:B,0)),"")</f>
        <v>Client</v>
      </c>
      <c r="F333" t="s">
        <v>534</v>
      </c>
      <c r="G333" t="s">
        <v>770</v>
      </c>
      <c r="H333" t="s">
        <v>771</v>
      </c>
      <c r="J333" s="10">
        <v>8568.24</v>
      </c>
      <c r="K333" s="11">
        <f t="shared" si="23"/>
        <v>-1428.04</v>
      </c>
      <c r="L333" s="10">
        <f t="shared" si="24"/>
        <v>-7371.1299999999883</v>
      </c>
    </row>
    <row r="334" spans="1:12" x14ac:dyDescent="0.25">
      <c r="A334" t="s">
        <v>772</v>
      </c>
      <c r="B334">
        <v>309</v>
      </c>
      <c r="C334" s="1">
        <v>43599</v>
      </c>
      <c r="D334">
        <v>1</v>
      </c>
      <c r="E334" t="str">
        <f>IF(F334&lt;&gt;"",INDEX(Balance!A:A,MATCH(F334,Balance!B:B,0)),"")</f>
        <v/>
      </c>
      <c r="G334" t="s">
        <v>144</v>
      </c>
      <c r="J334" s="10">
        <v>2112</v>
      </c>
      <c r="K334" s="11">
        <f t="shared" si="23"/>
        <v>-352</v>
      </c>
      <c r="L334" s="10">
        <f t="shared" si="24"/>
        <v>-5259.1299999999883</v>
      </c>
    </row>
    <row r="335" spans="1:12" x14ac:dyDescent="0.25">
      <c r="A335" t="s">
        <v>773</v>
      </c>
      <c r="B335">
        <v>310</v>
      </c>
      <c r="C335" s="1">
        <v>43600</v>
      </c>
      <c r="E335" t="str">
        <f>IF(F335&lt;&gt;"",INDEX(Balance!A:A,MATCH(F335,Balance!B:B,0)),"")</f>
        <v/>
      </c>
      <c r="G335" t="s">
        <v>774</v>
      </c>
      <c r="I335" s="10">
        <v>1734.08</v>
      </c>
      <c r="K335" s="11">
        <f t="shared" si="23"/>
        <v>289.01333333333332</v>
      </c>
      <c r="L335" s="10">
        <f t="shared" si="24"/>
        <v>-6993.2099999999882</v>
      </c>
    </row>
    <row r="336" spans="1:12" x14ac:dyDescent="0.25">
      <c r="A336" t="s">
        <v>775</v>
      </c>
      <c r="B336">
        <v>311</v>
      </c>
      <c r="C336" s="1">
        <v>43600</v>
      </c>
      <c r="D336">
        <v>1</v>
      </c>
      <c r="E336" t="str">
        <f>IF(F336&lt;&gt;"",INDEX(Balance!A:A,MATCH(F336,Balance!B:B,0)),"")</f>
        <v>Depense</v>
      </c>
      <c r="F336" t="s">
        <v>271</v>
      </c>
      <c r="G336" t="s">
        <v>776</v>
      </c>
      <c r="I336" s="10">
        <v>3.9</v>
      </c>
      <c r="K336" s="11">
        <f t="shared" si="23"/>
        <v>0.64999999999999991</v>
      </c>
      <c r="L336" s="10">
        <f t="shared" si="24"/>
        <v>-6997.1099999999878</v>
      </c>
    </row>
    <row r="337" spans="1:12" x14ac:dyDescent="0.25">
      <c r="A337" t="s">
        <v>777</v>
      </c>
      <c r="B337">
        <v>312</v>
      </c>
      <c r="C337" s="1">
        <v>43600</v>
      </c>
      <c r="D337">
        <v>1</v>
      </c>
      <c r="E337" t="str">
        <f>IF(F337&lt;&gt;"",INDEX(Balance!A:A,MATCH(F337,Balance!B:B,0)),"")</f>
        <v>Fournisseurs</v>
      </c>
      <c r="F337" t="s">
        <v>383</v>
      </c>
      <c r="G337" t="s">
        <v>29</v>
      </c>
      <c r="I337" s="10">
        <v>109</v>
      </c>
      <c r="K337" s="11">
        <f t="shared" si="23"/>
        <v>18.166666666666657</v>
      </c>
      <c r="L337" s="10">
        <f t="shared" si="24"/>
        <v>-7106.1099999999878</v>
      </c>
    </row>
    <row r="338" spans="1:12" x14ac:dyDescent="0.25">
      <c r="A338" t="s">
        <v>778</v>
      </c>
      <c r="B338">
        <v>313</v>
      </c>
      <c r="C338" s="1">
        <v>43600</v>
      </c>
      <c r="D338">
        <v>1</v>
      </c>
      <c r="E338" t="str">
        <f>IF(F338&lt;&gt;"",INDEX(Balance!A:A,MATCH(F338,Balance!B:B,0)),"")</f>
        <v>Depense</v>
      </c>
      <c r="F338" t="s">
        <v>266</v>
      </c>
      <c r="G338" t="s">
        <v>779</v>
      </c>
      <c r="H338" t="s">
        <v>780</v>
      </c>
      <c r="J338" s="10">
        <v>283.12</v>
      </c>
      <c r="K338" s="11">
        <f t="shared" si="23"/>
        <v>-47.186666666666667</v>
      </c>
      <c r="L338" s="10">
        <f t="shared" si="24"/>
        <v>-6822.989999999988</v>
      </c>
    </row>
    <row r="339" spans="1:12" x14ac:dyDescent="0.25">
      <c r="A339" t="s">
        <v>781</v>
      </c>
      <c r="B339">
        <v>314</v>
      </c>
      <c r="C339" s="1">
        <v>43600</v>
      </c>
      <c r="D339">
        <v>1</v>
      </c>
      <c r="E339" t="str">
        <f>IF(F339&lt;&gt;"",INDEX(Balance!A:A,MATCH(F339,Balance!B:B,0)),"")</f>
        <v>Depense</v>
      </c>
      <c r="F339" t="s">
        <v>269</v>
      </c>
      <c r="G339" t="s">
        <v>230</v>
      </c>
      <c r="I339" s="10">
        <v>3255</v>
      </c>
      <c r="K339" s="11">
        <f t="shared" si="23"/>
        <v>542.5</v>
      </c>
      <c r="L339" s="10">
        <f t="shared" si="24"/>
        <v>-10077.989999999987</v>
      </c>
    </row>
    <row r="340" spans="1:12" x14ac:dyDescent="0.25">
      <c r="A340" t="s">
        <v>782</v>
      </c>
      <c r="B340">
        <v>315</v>
      </c>
      <c r="C340" s="1">
        <v>43600</v>
      </c>
      <c r="D340">
        <v>1</v>
      </c>
      <c r="E340" t="str">
        <f>IF(F340&lt;&gt;"",INDEX(Balance!A:A,MATCH(F340,Balance!B:B,0)),"")</f>
        <v>Depense</v>
      </c>
      <c r="F340" t="s">
        <v>267</v>
      </c>
      <c r="G340" t="s">
        <v>52</v>
      </c>
      <c r="I340" s="10">
        <v>162</v>
      </c>
      <c r="K340" s="11">
        <f t="shared" si="23"/>
        <v>27</v>
      </c>
      <c r="L340" s="10">
        <f t="shared" si="24"/>
        <v>-10239.989999999987</v>
      </c>
    </row>
    <row r="341" spans="1:12" x14ac:dyDescent="0.25">
      <c r="A341" t="s">
        <v>783</v>
      </c>
      <c r="B341">
        <v>316</v>
      </c>
      <c r="C341" s="1">
        <v>43600</v>
      </c>
      <c r="D341">
        <v>1</v>
      </c>
      <c r="E341" t="str">
        <f>IF(F341&lt;&gt;"",INDEX(Balance!A:A,MATCH(F341,Balance!B:B,0)),"")</f>
        <v>Depense</v>
      </c>
      <c r="F341" t="s">
        <v>257</v>
      </c>
      <c r="G341" t="s">
        <v>31</v>
      </c>
      <c r="I341" s="10">
        <v>0.21</v>
      </c>
      <c r="K341" s="11">
        <f t="shared" si="23"/>
        <v>3.5000000000000003E-2</v>
      </c>
      <c r="L341" s="10">
        <f t="shared" si="24"/>
        <v>-10240.199999999986</v>
      </c>
    </row>
    <row r="342" spans="1:12" x14ac:dyDescent="0.25">
      <c r="A342" t="s">
        <v>784</v>
      </c>
      <c r="B342">
        <v>317</v>
      </c>
      <c r="C342" s="1">
        <v>43600</v>
      </c>
      <c r="D342">
        <v>1</v>
      </c>
      <c r="E342" t="str">
        <f>IF(F342&lt;&gt;"",INDEX(Balance!A:A,MATCH(F342,Balance!B:B,0)),"")</f>
        <v>Depense</v>
      </c>
      <c r="F342" t="s">
        <v>257</v>
      </c>
      <c r="G342" t="s">
        <v>31</v>
      </c>
      <c r="I342" s="10">
        <v>0.21</v>
      </c>
      <c r="K342" s="11">
        <f t="shared" si="23"/>
        <v>3.5000000000000003E-2</v>
      </c>
      <c r="L342" s="10">
        <f t="shared" si="24"/>
        <v>-10240.409999999985</v>
      </c>
    </row>
    <row r="343" spans="1:12" x14ac:dyDescent="0.25">
      <c r="A343" t="s">
        <v>785</v>
      </c>
      <c r="B343">
        <v>318</v>
      </c>
      <c r="C343" s="1">
        <v>43601</v>
      </c>
      <c r="D343">
        <v>1</v>
      </c>
      <c r="E343" t="str">
        <f>IF(F343&lt;&gt;"",INDEX(Balance!A:A,MATCH(F343,Balance!B:B,0)),"")</f>
        <v>Depense</v>
      </c>
      <c r="F343" t="s">
        <v>271</v>
      </c>
      <c r="G343" t="s">
        <v>786</v>
      </c>
      <c r="I343" s="10">
        <v>12</v>
      </c>
      <c r="K343" s="11">
        <f t="shared" si="23"/>
        <v>2</v>
      </c>
      <c r="L343" s="10">
        <f t="shared" si="24"/>
        <v>-10252.409999999985</v>
      </c>
    </row>
    <row r="344" spans="1:12" x14ac:dyDescent="0.25">
      <c r="A344" t="s">
        <v>787</v>
      </c>
      <c r="B344">
        <v>319</v>
      </c>
      <c r="C344" s="1">
        <v>43601</v>
      </c>
      <c r="D344">
        <v>1</v>
      </c>
      <c r="E344" t="str">
        <f>IF(F344&lt;&gt;"",INDEX(Balance!A:A,MATCH(F344,Balance!B:B,0)),"")</f>
        <v>Depense</v>
      </c>
      <c r="F344" t="s">
        <v>266</v>
      </c>
      <c r="G344" t="s">
        <v>788</v>
      </c>
      <c r="I344" s="10">
        <v>3.53</v>
      </c>
      <c r="K344" s="11">
        <f t="shared" si="23"/>
        <v>0.58833333333333337</v>
      </c>
      <c r="L344" s="10">
        <f t="shared" si="24"/>
        <v>-10255.939999999986</v>
      </c>
    </row>
    <row r="345" spans="1:12" x14ac:dyDescent="0.25">
      <c r="A345" t="s">
        <v>789</v>
      </c>
      <c r="B345">
        <v>320</v>
      </c>
      <c r="C345" s="1">
        <v>43601</v>
      </c>
      <c r="E345" t="str">
        <f>IF(F345&lt;&gt;"",INDEX(Balance!A:A,MATCH(F345,Balance!B:B,0)),"")</f>
        <v>Client</v>
      </c>
      <c r="F345" t="s">
        <v>370</v>
      </c>
      <c r="G345" t="s">
        <v>37</v>
      </c>
      <c r="H345" t="s">
        <v>790</v>
      </c>
      <c r="J345" s="10">
        <v>13324</v>
      </c>
      <c r="K345" s="11">
        <f t="shared" si="23"/>
        <v>-2220.6666666666661</v>
      </c>
      <c r="L345" s="10">
        <f t="shared" si="24"/>
        <v>3068.060000000014</v>
      </c>
    </row>
    <row r="346" spans="1:12" x14ac:dyDescent="0.25">
      <c r="A346" t="s">
        <v>791</v>
      </c>
      <c r="B346">
        <v>321</v>
      </c>
      <c r="C346" s="1">
        <v>43601</v>
      </c>
      <c r="D346">
        <v>1</v>
      </c>
      <c r="E346" t="str">
        <f>IF(F346&lt;&gt;"",INDEX(Balance!A:A,MATCH(F346,Balance!B:B,0)),"")</f>
        <v>Depense</v>
      </c>
      <c r="F346" t="s">
        <v>269</v>
      </c>
      <c r="G346" t="s">
        <v>47</v>
      </c>
      <c r="H346" t="s">
        <v>792</v>
      </c>
      <c r="I346" s="10">
        <v>2307</v>
      </c>
      <c r="K346" s="11">
        <f t="shared" si="23"/>
        <v>384.5</v>
      </c>
      <c r="L346" s="10">
        <f t="shared" si="24"/>
        <v>761.06000000001404</v>
      </c>
    </row>
    <row r="347" spans="1:12" x14ac:dyDescent="0.25">
      <c r="A347" t="s">
        <v>793</v>
      </c>
      <c r="B347">
        <v>322</v>
      </c>
      <c r="C347" s="1">
        <v>43602</v>
      </c>
      <c r="E347" t="str">
        <f>IF(F347&lt;&gt;"",INDEX(Balance!A:A,MATCH(F347,Balance!B:B,0)),"")</f>
        <v/>
      </c>
      <c r="G347" t="s">
        <v>794</v>
      </c>
      <c r="I347" s="10">
        <v>106.86</v>
      </c>
      <c r="K347" s="11">
        <f t="shared" si="23"/>
        <v>17.810000000000002</v>
      </c>
      <c r="L347" s="10">
        <f t="shared" si="24"/>
        <v>654.20000000001403</v>
      </c>
    </row>
    <row r="348" spans="1:12" x14ac:dyDescent="0.25">
      <c r="A348" t="s">
        <v>806</v>
      </c>
      <c r="B348">
        <v>323</v>
      </c>
      <c r="C348" s="1">
        <v>43602</v>
      </c>
      <c r="E348" t="str">
        <f>IF(F348&lt;&gt;"",INDEX(Balance!A:A,MATCH(F348,Balance!B:B,0)),"")</f>
        <v/>
      </c>
      <c r="G348" t="s">
        <v>142</v>
      </c>
      <c r="I348" s="10">
        <v>76.63</v>
      </c>
      <c r="K348" s="11">
        <f t="shared" ref="K348:K359" si="25">IF(I348&gt;0,I348-(I348/TVA),-(J348-(J348/TVA)))</f>
        <v>12.771666666666661</v>
      </c>
      <c r="L348" s="10">
        <f t="shared" ref="L348:L359" si="26">L347-I348+J348</f>
        <v>577.57000000001403</v>
      </c>
    </row>
    <row r="349" spans="1:12" x14ac:dyDescent="0.25">
      <c r="A349" t="s">
        <v>807</v>
      </c>
      <c r="B349">
        <v>324</v>
      </c>
      <c r="C349" s="1">
        <v>43602</v>
      </c>
      <c r="D349">
        <v>1</v>
      </c>
      <c r="E349" t="str">
        <f>IF(F349&lt;&gt;"",INDEX(Balance!A:A,MATCH(F349,Balance!B:B,0)),"")</f>
        <v/>
      </c>
      <c r="G349" t="s">
        <v>144</v>
      </c>
      <c r="J349" s="10">
        <v>348</v>
      </c>
      <c r="K349" s="11">
        <f t="shared" si="25"/>
        <v>-58</v>
      </c>
      <c r="L349" s="10">
        <f t="shared" si="26"/>
        <v>925.57000000001403</v>
      </c>
    </row>
    <row r="350" spans="1:12" x14ac:dyDescent="0.25">
      <c r="A350" t="s">
        <v>808</v>
      </c>
      <c r="B350">
        <v>325</v>
      </c>
      <c r="C350" s="1">
        <v>43605</v>
      </c>
      <c r="E350" t="str">
        <f>IF(F350&lt;&gt;"",INDEX(Balance!A:A,MATCH(F350,Balance!B:B,0)),"")</f>
        <v/>
      </c>
      <c r="G350" t="s">
        <v>42</v>
      </c>
      <c r="I350" s="10">
        <v>9.99</v>
      </c>
      <c r="K350" s="11">
        <f t="shared" si="25"/>
        <v>1.6649999999999991</v>
      </c>
      <c r="L350" s="10">
        <f t="shared" si="26"/>
        <v>915.58000000001402</v>
      </c>
    </row>
    <row r="351" spans="1:12" x14ac:dyDescent="0.25">
      <c r="A351" t="s">
        <v>809</v>
      </c>
      <c r="B351">
        <v>326</v>
      </c>
      <c r="C351" s="1">
        <v>43605</v>
      </c>
      <c r="E351" t="str">
        <f>IF(F351&lt;&gt;"",INDEX(Balance!A:A,MATCH(F351,Balance!B:B,0)),"")</f>
        <v/>
      </c>
      <c r="G351" t="s">
        <v>810</v>
      </c>
      <c r="I351" s="10">
        <v>104.5</v>
      </c>
      <c r="K351" s="11">
        <f t="shared" si="25"/>
        <v>17.416666666666657</v>
      </c>
      <c r="L351" s="10">
        <f t="shared" si="26"/>
        <v>811.08000000001402</v>
      </c>
    </row>
    <row r="352" spans="1:12" x14ac:dyDescent="0.25">
      <c r="A352" t="s">
        <v>811</v>
      </c>
      <c r="B352">
        <v>327</v>
      </c>
      <c r="C352" s="1">
        <v>43605</v>
      </c>
      <c r="E352" t="str">
        <f>IF(F352&lt;&gt;"",INDEX(Balance!A:A,MATCH(F352,Balance!B:B,0)),"")</f>
        <v/>
      </c>
      <c r="G352" t="s">
        <v>812</v>
      </c>
      <c r="I352" s="10">
        <v>79.03</v>
      </c>
      <c r="K352" s="11">
        <f t="shared" si="25"/>
        <v>13.171666666666667</v>
      </c>
      <c r="L352" s="10">
        <f t="shared" si="26"/>
        <v>732.05000000001405</v>
      </c>
    </row>
    <row r="353" spans="1:12" x14ac:dyDescent="0.25">
      <c r="A353" t="s">
        <v>813</v>
      </c>
      <c r="B353">
        <v>328</v>
      </c>
      <c r="C353" s="1">
        <v>43606</v>
      </c>
      <c r="E353" t="str">
        <f>IF(F353&lt;&gt;"",INDEX(Balance!A:A,MATCH(F353,Balance!B:B,0)),"")</f>
        <v/>
      </c>
      <c r="G353" t="s">
        <v>814</v>
      </c>
      <c r="I353" s="10">
        <v>4680</v>
      </c>
      <c r="K353" s="11">
        <f t="shared" si="25"/>
        <v>780</v>
      </c>
      <c r="L353" s="10">
        <f t="shared" si="26"/>
        <v>-3947.9499999999862</v>
      </c>
    </row>
    <row r="354" spans="1:12" x14ac:dyDescent="0.25">
      <c r="A354" t="s">
        <v>815</v>
      </c>
      <c r="B354">
        <v>329</v>
      </c>
      <c r="C354" s="1">
        <v>43606</v>
      </c>
      <c r="E354" t="str">
        <f>IF(F354&lt;&gt;"",INDEX(Balance!A:A,MATCH(F354,Balance!B:B,0)),"")</f>
        <v/>
      </c>
      <c r="G354" t="s">
        <v>816</v>
      </c>
      <c r="I354" s="10">
        <v>85.91</v>
      </c>
      <c r="K354" s="11">
        <f t="shared" si="25"/>
        <v>14.318333333333328</v>
      </c>
      <c r="L354" s="10">
        <f t="shared" si="26"/>
        <v>-4033.859999999986</v>
      </c>
    </row>
    <row r="355" spans="1:12" x14ac:dyDescent="0.25">
      <c r="A355" t="s">
        <v>817</v>
      </c>
      <c r="B355">
        <v>330</v>
      </c>
      <c r="C355" s="1">
        <v>43606</v>
      </c>
      <c r="E355" t="str">
        <f>IF(F355&lt;&gt;"",INDEX(Balance!A:A,MATCH(F355,Balance!B:B,0)),"")</f>
        <v/>
      </c>
      <c r="G355" t="s">
        <v>65</v>
      </c>
      <c r="H355" t="s">
        <v>818</v>
      </c>
      <c r="J355" s="10">
        <v>36846.620000000003</v>
      </c>
      <c r="K355" s="11">
        <f t="shared" si="25"/>
        <v>-6141.1033333333326</v>
      </c>
      <c r="L355" s="10">
        <f t="shared" si="26"/>
        <v>32812.760000000017</v>
      </c>
    </row>
    <row r="356" spans="1:12" x14ac:dyDescent="0.25">
      <c r="A356" t="s">
        <v>819</v>
      </c>
      <c r="B356">
        <v>331</v>
      </c>
      <c r="C356" s="1">
        <v>43607</v>
      </c>
      <c r="E356" t="str">
        <f>IF(F356&lt;&gt;"",INDEX(Balance!A:A,MATCH(F356,Balance!B:B,0)),"")</f>
        <v/>
      </c>
      <c r="G356" t="s">
        <v>15</v>
      </c>
      <c r="H356" t="s">
        <v>820</v>
      </c>
      <c r="I356" s="10">
        <v>130</v>
      </c>
      <c r="K356" s="11">
        <f t="shared" si="25"/>
        <v>21.666666666666657</v>
      </c>
      <c r="L356" s="10">
        <f t="shared" si="26"/>
        <v>32682.760000000017</v>
      </c>
    </row>
    <row r="357" spans="1:12" x14ac:dyDescent="0.25">
      <c r="A357" t="s">
        <v>821</v>
      </c>
      <c r="B357">
        <v>332</v>
      </c>
      <c r="C357" s="1">
        <v>43607</v>
      </c>
      <c r="E357" t="str">
        <f>IF(F357&lt;&gt;"",INDEX(Balance!A:A,MATCH(F357,Balance!B:B,0)),"")</f>
        <v/>
      </c>
      <c r="G357" t="s">
        <v>31</v>
      </c>
      <c r="I357" s="10">
        <v>0.21</v>
      </c>
      <c r="K357" s="11">
        <f t="shared" si="25"/>
        <v>3.5000000000000003E-2</v>
      </c>
      <c r="L357" s="10">
        <f t="shared" si="26"/>
        <v>32682.550000000017</v>
      </c>
    </row>
    <row r="358" spans="1:12" x14ac:dyDescent="0.25">
      <c r="A358" t="s">
        <v>822</v>
      </c>
      <c r="B358">
        <v>333</v>
      </c>
      <c r="C358" s="1">
        <v>43609</v>
      </c>
      <c r="E358" t="str">
        <f>IF(F358&lt;&gt;"",INDEX(Balance!A:A,MATCH(F358,Balance!B:B,0)),"")</f>
        <v/>
      </c>
      <c r="G358" t="s">
        <v>227</v>
      </c>
      <c r="H358" t="s">
        <v>823</v>
      </c>
      <c r="J358" s="10">
        <v>1000</v>
      </c>
      <c r="K358" s="11">
        <f t="shared" si="25"/>
        <v>-166.66666666666663</v>
      </c>
      <c r="L358" s="10">
        <f t="shared" si="26"/>
        <v>33682.550000000017</v>
      </c>
    </row>
    <row r="359" spans="1:12" x14ac:dyDescent="0.25">
      <c r="A359" t="s">
        <v>824</v>
      </c>
      <c r="B359">
        <v>334</v>
      </c>
      <c r="C359" s="1">
        <v>43609</v>
      </c>
      <c r="E359" t="str">
        <f>IF(F359&lt;&gt;"",INDEX(Balance!A:A,MATCH(F359,Balance!B:B,0)),"")</f>
        <v/>
      </c>
      <c r="G359" t="s">
        <v>227</v>
      </c>
      <c r="H359" t="s">
        <v>825</v>
      </c>
      <c r="J359" s="10">
        <v>2509.0500000000002</v>
      </c>
      <c r="K359" s="11">
        <f t="shared" si="25"/>
        <v>-418.17499999999973</v>
      </c>
      <c r="L359" s="10">
        <f t="shared" si="26"/>
        <v>36191.60000000002</v>
      </c>
    </row>
  </sheetData>
  <autoFilter ref="A1:K359" xr:uid="{00000000-0009-0000-0000-000001000000}"/>
  <dataValidations count="1">
    <dataValidation allowBlank="1" sqref="F125:F128 F1:F42 F44:F73 F75:F123 F130:F192 F194:F221 F223:F1048576" xr:uid="{00000000-0002-0000-0100-000000000000}"/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3"/>
  <dimension ref="A1:T187"/>
  <sheetViews>
    <sheetView tabSelected="1" topLeftCell="E1" workbookViewId="0">
      <pane ySplit="1" topLeftCell="A2" activePane="bottomLeft" state="frozen"/>
      <selection pane="bottomLeft" activeCell="O2" sqref="O2"/>
    </sheetView>
  </sheetViews>
  <sheetFormatPr baseColWidth="10" defaultRowHeight="15" x14ac:dyDescent="0.25"/>
  <cols>
    <col min="1" max="1" width="13.42578125" style="9" bestFit="1" customWidth="1"/>
    <col min="2" max="2" width="11" style="1" bestFit="1" customWidth="1"/>
    <col min="3" max="3" width="12.28515625" bestFit="1" customWidth="1"/>
    <col min="4" max="4" width="21.7109375" bestFit="1" customWidth="1"/>
    <col min="5" max="5" width="57.7109375" bestFit="1" customWidth="1"/>
    <col min="6" max="6" width="9.7109375" bestFit="1" customWidth="1"/>
    <col min="7" max="7" width="9" bestFit="1" customWidth="1"/>
    <col min="8" max="8" width="7.28515625" bestFit="1" customWidth="1"/>
    <col min="10" max="10" width="8" bestFit="1" customWidth="1"/>
    <col min="11" max="11" width="11" bestFit="1" customWidth="1"/>
    <col min="12" max="12" width="15.140625" bestFit="1" customWidth="1"/>
    <col min="13" max="13" width="15.28515625" bestFit="1" customWidth="1"/>
    <col min="14" max="14" width="18.42578125" bestFit="1" customWidth="1"/>
    <col min="15" max="15" width="19.42578125" bestFit="1" customWidth="1"/>
    <col min="16" max="16" width="15.42578125" bestFit="1" customWidth="1"/>
    <col min="17" max="17" width="18.85546875" bestFit="1" customWidth="1"/>
    <col min="18" max="18" width="14.28515625" bestFit="1" customWidth="1"/>
    <col min="19" max="19" width="14.140625" bestFit="1" customWidth="1"/>
  </cols>
  <sheetData>
    <row r="1" spans="1:20" x14ac:dyDescent="0.25">
      <c r="A1" s="9" t="s">
        <v>1</v>
      </c>
      <c r="B1" s="1" t="s">
        <v>436</v>
      </c>
      <c r="C1" t="s">
        <v>425</v>
      </c>
      <c r="D1" t="s">
        <v>2</v>
      </c>
      <c r="E1" t="s">
        <v>491</v>
      </c>
      <c r="F1" t="s">
        <v>3</v>
      </c>
      <c r="G1" t="s">
        <v>4</v>
      </c>
      <c r="H1" t="s">
        <v>272</v>
      </c>
      <c r="K1" t="s">
        <v>858</v>
      </c>
      <c r="L1" t="s">
        <v>859</v>
      </c>
      <c r="M1" t="s">
        <v>860</v>
      </c>
      <c r="N1" t="s">
        <v>861</v>
      </c>
      <c r="O1" t="s">
        <v>862</v>
      </c>
      <c r="P1" t="s">
        <v>863</v>
      </c>
      <c r="Q1" t="s">
        <v>864</v>
      </c>
      <c r="R1" t="s">
        <v>865</v>
      </c>
      <c r="S1" t="s">
        <v>866</v>
      </c>
      <c r="T1" t="s">
        <v>867</v>
      </c>
    </row>
    <row r="2" spans="1:20" x14ac:dyDescent="0.25">
      <c r="A2" s="9">
        <v>43435</v>
      </c>
      <c r="B2" s="1">
        <v>43502</v>
      </c>
      <c r="C2" t="str">
        <f>INDEX(Balance!A:A,MATCH(D2,Balance!B:B,0))</f>
        <v>Client</v>
      </c>
      <c r="D2" t="s">
        <v>534</v>
      </c>
      <c r="G2">
        <v>8898.84</v>
      </c>
      <c r="H2" s="3">
        <f t="shared" ref="H2:H67" si="0">IF(F2&gt;0,F2-(F2/TVA),-(G2-(G2/TVA)))</f>
        <v>-1483.1399999999994</v>
      </c>
      <c r="K2">
        <v>1</v>
      </c>
      <c r="L2">
        <v>1</v>
      </c>
      <c r="M2">
        <v>0</v>
      </c>
      <c r="P2">
        <f>VLOOKUP(D2,tab!A:B,2,FALSE)</f>
        <v>3</v>
      </c>
      <c r="Q2">
        <f>E2</f>
        <v>0</v>
      </c>
      <c r="R2">
        <f>G2-F2</f>
        <v>8898.84</v>
      </c>
      <c r="S2">
        <v>20</v>
      </c>
      <c r="T2" s="13">
        <f>H2</f>
        <v>-1483.1399999999994</v>
      </c>
    </row>
    <row r="3" spans="1:20" x14ac:dyDescent="0.25">
      <c r="A3" s="9">
        <v>43435</v>
      </c>
      <c r="B3" s="1">
        <v>43500</v>
      </c>
      <c r="C3" t="str">
        <f>INDEX(Balance!A:A,MATCH(D3,Balance!B:B,0))</f>
        <v>Fournisseurs</v>
      </c>
      <c r="D3" t="s">
        <v>535</v>
      </c>
      <c r="F3">
        <v>10487.7</v>
      </c>
      <c r="H3" s="3">
        <f t="shared" si="0"/>
        <v>1747.9499999999989</v>
      </c>
      <c r="K3">
        <v>2</v>
      </c>
      <c r="L3">
        <v>1</v>
      </c>
      <c r="M3">
        <v>0</v>
      </c>
      <c r="P3">
        <f>VLOOKUP(D3,tab!A:B,2,FALSE)</f>
        <v>110</v>
      </c>
      <c r="R3">
        <f t="shared" ref="R3:R66" si="1">G3-F3</f>
        <v>-10487.7</v>
      </c>
      <c r="S3">
        <v>20</v>
      </c>
      <c r="T3" s="13">
        <f t="shared" ref="T3:T66" si="2">H3</f>
        <v>1747.9499999999989</v>
      </c>
    </row>
    <row r="4" spans="1:20" x14ac:dyDescent="0.25">
      <c r="A4" s="9">
        <v>43435</v>
      </c>
      <c r="B4" s="1">
        <v>43500</v>
      </c>
      <c r="C4" t="str">
        <f>INDEX(Balance!A:A,MATCH(D4,Balance!B:B,0))</f>
        <v>Fournisseurs</v>
      </c>
      <c r="D4" t="s">
        <v>277</v>
      </c>
      <c r="F4">
        <v>307.69</v>
      </c>
      <c r="H4" s="3">
        <f t="shared" si="0"/>
        <v>51.281666666666638</v>
      </c>
      <c r="K4">
        <v>3</v>
      </c>
      <c r="L4">
        <v>1</v>
      </c>
      <c r="M4">
        <v>0</v>
      </c>
      <c r="P4">
        <f>VLOOKUP(D4,tab!A:B,2,FALSE)</f>
        <v>62</v>
      </c>
      <c r="R4">
        <f t="shared" si="1"/>
        <v>-307.69</v>
      </c>
      <c r="S4">
        <v>20</v>
      </c>
      <c r="T4" s="13">
        <f t="shared" si="2"/>
        <v>51.281666666666638</v>
      </c>
    </row>
    <row r="5" spans="1:20" x14ac:dyDescent="0.25">
      <c r="A5" s="9">
        <v>43435</v>
      </c>
      <c r="B5" s="1">
        <v>43508</v>
      </c>
      <c r="C5" t="str">
        <f>INDEX(Balance!A:A,MATCH(D5,Balance!B:B,0))</f>
        <v>Client</v>
      </c>
      <c r="D5" t="s">
        <v>370</v>
      </c>
      <c r="E5" t="s">
        <v>37</v>
      </c>
      <c r="G5">
        <v>23562.7</v>
      </c>
      <c r="H5" s="3">
        <f t="shared" si="0"/>
        <v>-3927.116666666665</v>
      </c>
      <c r="K5">
        <v>4</v>
      </c>
      <c r="L5">
        <v>1</v>
      </c>
      <c r="M5">
        <v>0</v>
      </c>
      <c r="P5">
        <f>VLOOKUP(D5,tab!A:B,2,FALSE)</f>
        <v>9</v>
      </c>
      <c r="R5">
        <f t="shared" si="1"/>
        <v>23562.7</v>
      </c>
      <c r="S5">
        <v>20</v>
      </c>
      <c r="T5" s="13">
        <f t="shared" si="2"/>
        <v>-3927.116666666665</v>
      </c>
    </row>
    <row r="6" spans="1:20" x14ac:dyDescent="0.25">
      <c r="A6" s="9">
        <v>43435</v>
      </c>
      <c r="B6" s="1">
        <v>43514</v>
      </c>
      <c r="C6" t="str">
        <f>INDEX(Balance!A:A,MATCH(D6,Balance!B:B,0))</f>
        <v>Client</v>
      </c>
      <c r="D6" t="s">
        <v>378</v>
      </c>
      <c r="E6" t="s">
        <v>227</v>
      </c>
      <c r="G6">
        <v>15785.51</v>
      </c>
      <c r="H6" s="3">
        <f t="shared" si="0"/>
        <v>-2630.9183333333331</v>
      </c>
      <c r="K6">
        <v>5</v>
      </c>
      <c r="L6">
        <v>1</v>
      </c>
      <c r="M6">
        <v>0</v>
      </c>
      <c r="P6">
        <f>VLOOKUP(D6,tab!A:B,2,FALSE)</f>
        <v>6</v>
      </c>
      <c r="R6">
        <f t="shared" si="1"/>
        <v>15785.51</v>
      </c>
      <c r="S6">
        <v>20</v>
      </c>
      <c r="T6" s="13">
        <f t="shared" si="2"/>
        <v>-2630.9183333333331</v>
      </c>
    </row>
    <row r="7" spans="1:20" x14ac:dyDescent="0.25">
      <c r="A7" s="9">
        <v>43435</v>
      </c>
      <c r="B7" s="1">
        <v>43514</v>
      </c>
      <c r="C7" t="str">
        <f>INDEX(Balance!A:A,MATCH(D7,Balance!B:B,0))</f>
        <v>Fournisseurs</v>
      </c>
      <c r="D7" t="s">
        <v>281</v>
      </c>
      <c r="F7">
        <v>1797.6</v>
      </c>
      <c r="H7" s="3">
        <f t="shared" si="0"/>
        <v>299.59999999999991</v>
      </c>
      <c r="K7">
        <v>6</v>
      </c>
      <c r="L7">
        <v>1</v>
      </c>
      <c r="M7">
        <v>0</v>
      </c>
      <c r="P7">
        <f>VLOOKUP(D7,tab!A:B,2,FALSE)</f>
        <v>77</v>
      </c>
      <c r="R7">
        <f t="shared" si="1"/>
        <v>-1797.6</v>
      </c>
      <c r="S7">
        <v>20</v>
      </c>
      <c r="T7" s="13">
        <f t="shared" si="2"/>
        <v>299.59999999999991</v>
      </c>
    </row>
    <row r="8" spans="1:20" x14ac:dyDescent="0.25">
      <c r="A8" s="9">
        <v>43435</v>
      </c>
      <c r="B8" s="1">
        <v>43516</v>
      </c>
      <c r="C8" t="str">
        <f>INDEX(Balance!A:A,MATCH(D8,Balance!B:B,0))</f>
        <v>Fournisseurs</v>
      </c>
      <c r="D8" t="s">
        <v>284</v>
      </c>
      <c r="E8" t="s">
        <v>204</v>
      </c>
      <c r="F8">
        <v>202.8</v>
      </c>
      <c r="H8" s="3">
        <f t="shared" si="0"/>
        <v>33.799999999999983</v>
      </c>
      <c r="K8">
        <v>7</v>
      </c>
      <c r="L8">
        <v>1</v>
      </c>
      <c r="M8">
        <v>0</v>
      </c>
      <c r="P8">
        <f>VLOOKUP(D8,tab!A:B,2,FALSE)</f>
        <v>116</v>
      </c>
      <c r="R8">
        <f t="shared" si="1"/>
        <v>-202.8</v>
      </c>
      <c r="S8">
        <v>20</v>
      </c>
      <c r="T8" s="13">
        <f t="shared" si="2"/>
        <v>33.799999999999983</v>
      </c>
    </row>
    <row r="9" spans="1:20" x14ac:dyDescent="0.25">
      <c r="A9" s="9">
        <v>43435</v>
      </c>
      <c r="B9" s="1">
        <v>43516</v>
      </c>
      <c r="C9" t="str">
        <f>INDEX(Balance!A:A,MATCH(D9,Balance!B:B,0))</f>
        <v>Fournisseurs</v>
      </c>
      <c r="D9" t="s">
        <v>284</v>
      </c>
      <c r="E9" t="s">
        <v>204</v>
      </c>
      <c r="F9">
        <v>468</v>
      </c>
      <c r="H9" s="3">
        <f t="shared" si="0"/>
        <v>78</v>
      </c>
      <c r="K9">
        <v>8</v>
      </c>
      <c r="L9">
        <v>1</v>
      </c>
      <c r="M9">
        <v>0</v>
      </c>
      <c r="P9">
        <f>VLOOKUP(D9,tab!A:B,2,FALSE)</f>
        <v>116</v>
      </c>
      <c r="R9">
        <f t="shared" si="1"/>
        <v>-468</v>
      </c>
      <c r="S9">
        <v>20</v>
      </c>
      <c r="T9" s="13">
        <f t="shared" si="2"/>
        <v>78</v>
      </c>
    </row>
    <row r="10" spans="1:20" x14ac:dyDescent="0.25">
      <c r="A10" s="9">
        <v>43435</v>
      </c>
      <c r="B10" s="1">
        <v>43535</v>
      </c>
      <c r="C10" t="str">
        <f>INDEX(Balance!A:A,MATCH(D10,Balance!B:B,0))</f>
        <v>Fournisseurs</v>
      </c>
      <c r="D10" t="s">
        <v>289</v>
      </c>
      <c r="E10" t="s">
        <v>97</v>
      </c>
      <c r="F10">
        <v>397.5</v>
      </c>
      <c r="H10" s="3">
        <f t="shared" si="0"/>
        <v>66.25</v>
      </c>
      <c r="K10">
        <v>9</v>
      </c>
      <c r="L10">
        <v>1</v>
      </c>
      <c r="M10">
        <v>0</v>
      </c>
      <c r="P10">
        <f>VLOOKUP(D10,tab!A:B,2,FALSE)</f>
        <v>57</v>
      </c>
      <c r="R10">
        <f t="shared" si="1"/>
        <v>-397.5</v>
      </c>
      <c r="S10">
        <v>20</v>
      </c>
      <c r="T10" s="13">
        <f t="shared" si="2"/>
        <v>66.25</v>
      </c>
    </row>
    <row r="11" spans="1:20" x14ac:dyDescent="0.25">
      <c r="A11" s="9">
        <v>43435</v>
      </c>
      <c r="B11" s="1">
        <v>43535</v>
      </c>
      <c r="C11" t="str">
        <f>INDEX(Balance!A:A,MATCH(D11,Balance!B:B,0))</f>
        <v>Fournisseurs</v>
      </c>
      <c r="D11" t="s">
        <v>289</v>
      </c>
      <c r="E11" t="s">
        <v>99</v>
      </c>
      <c r="F11">
        <v>441.72</v>
      </c>
      <c r="H11" s="3">
        <f t="shared" si="0"/>
        <v>73.62</v>
      </c>
      <c r="K11">
        <v>10</v>
      </c>
      <c r="L11">
        <v>1</v>
      </c>
      <c r="M11">
        <v>0</v>
      </c>
      <c r="P11">
        <f>VLOOKUP(D11,tab!A:B,2,FALSE)</f>
        <v>57</v>
      </c>
      <c r="R11">
        <f t="shared" si="1"/>
        <v>-441.72</v>
      </c>
      <c r="S11">
        <v>20</v>
      </c>
      <c r="T11" s="13">
        <f t="shared" si="2"/>
        <v>73.62</v>
      </c>
    </row>
    <row r="12" spans="1:20" x14ac:dyDescent="0.25">
      <c r="A12" s="9">
        <v>43435</v>
      </c>
      <c r="B12" s="1">
        <v>43536</v>
      </c>
      <c r="C12" t="str">
        <f>INDEX(Balance!A:A,MATCH(D12,Balance!B:B,0))</f>
        <v>Fournisseurs</v>
      </c>
      <c r="D12" t="s">
        <v>261</v>
      </c>
      <c r="E12" t="s">
        <v>83</v>
      </c>
      <c r="F12">
        <v>110.4</v>
      </c>
      <c r="H12" s="3">
        <f t="shared" si="0"/>
        <v>18.399999999999991</v>
      </c>
      <c r="K12">
        <v>11</v>
      </c>
      <c r="L12">
        <v>1</v>
      </c>
      <c r="M12">
        <v>0</v>
      </c>
      <c r="P12">
        <f>VLOOKUP(D12,tab!A:B,2,FALSE)</f>
        <v>53</v>
      </c>
      <c r="R12">
        <f t="shared" si="1"/>
        <v>-110.4</v>
      </c>
      <c r="S12">
        <v>20</v>
      </c>
      <c r="T12" s="13">
        <f t="shared" si="2"/>
        <v>18.399999999999991</v>
      </c>
    </row>
    <row r="13" spans="1:20" x14ac:dyDescent="0.25">
      <c r="A13" s="9">
        <v>43435</v>
      </c>
      <c r="B13" s="1">
        <v>43536</v>
      </c>
      <c r="C13" t="str">
        <f>INDEX(Balance!A:A,MATCH(D13,Balance!B:B,0))</f>
        <v>Fournisseurs</v>
      </c>
      <c r="D13" t="s">
        <v>261</v>
      </c>
      <c r="E13" t="s">
        <v>83</v>
      </c>
      <c r="F13">
        <v>168</v>
      </c>
      <c r="H13" s="3">
        <f t="shared" si="0"/>
        <v>28</v>
      </c>
      <c r="K13">
        <v>12</v>
      </c>
      <c r="L13">
        <v>1</v>
      </c>
      <c r="M13">
        <v>0</v>
      </c>
      <c r="P13">
        <f>VLOOKUP(D13,tab!A:B,2,FALSE)</f>
        <v>53</v>
      </c>
      <c r="R13">
        <f t="shared" si="1"/>
        <v>-168</v>
      </c>
      <c r="S13">
        <v>20</v>
      </c>
      <c r="T13" s="13">
        <f t="shared" si="2"/>
        <v>28</v>
      </c>
    </row>
    <row r="14" spans="1:20" x14ac:dyDescent="0.25">
      <c r="A14" s="9">
        <v>43435</v>
      </c>
      <c r="B14" s="1">
        <v>43536</v>
      </c>
      <c r="C14" t="str">
        <f>INDEX(Balance!A:A,MATCH(D14,Balance!B:B,0))</f>
        <v>Fournisseurs</v>
      </c>
      <c r="D14" t="s">
        <v>293</v>
      </c>
      <c r="E14" t="s">
        <v>86</v>
      </c>
      <c r="F14">
        <v>405</v>
      </c>
      <c r="H14" s="3">
        <f t="shared" si="0"/>
        <v>67.5</v>
      </c>
      <c r="K14">
        <v>13</v>
      </c>
      <c r="L14">
        <v>1</v>
      </c>
      <c r="M14">
        <v>0</v>
      </c>
      <c r="P14">
        <f>VLOOKUP(D14,tab!A:B,2,FALSE)</f>
        <v>118</v>
      </c>
      <c r="R14">
        <f t="shared" si="1"/>
        <v>-405</v>
      </c>
      <c r="S14">
        <v>20</v>
      </c>
      <c r="T14" s="13">
        <f t="shared" si="2"/>
        <v>67.5</v>
      </c>
    </row>
    <row r="15" spans="1:20" x14ac:dyDescent="0.25">
      <c r="A15" s="9">
        <v>43435</v>
      </c>
      <c r="B15" s="1">
        <v>43537</v>
      </c>
      <c r="C15" t="str">
        <f>INDEX(Balance!A:A,MATCH(D15,Balance!B:B,0))</f>
        <v>Fournisseurs</v>
      </c>
      <c r="D15" t="s">
        <v>289</v>
      </c>
      <c r="E15" t="s">
        <v>68</v>
      </c>
      <c r="F15">
        <v>2728.92</v>
      </c>
      <c r="H15" s="3">
        <f t="shared" si="0"/>
        <v>454.81999999999971</v>
      </c>
      <c r="K15">
        <v>14</v>
      </c>
      <c r="L15">
        <v>1</v>
      </c>
      <c r="M15">
        <v>0</v>
      </c>
      <c r="P15">
        <f>VLOOKUP(D15,tab!A:B,2,FALSE)</f>
        <v>57</v>
      </c>
      <c r="R15">
        <f t="shared" si="1"/>
        <v>-2728.92</v>
      </c>
      <c r="S15">
        <v>20</v>
      </c>
      <c r="T15" s="13">
        <f t="shared" si="2"/>
        <v>454.81999999999971</v>
      </c>
    </row>
    <row r="16" spans="1:20" x14ac:dyDescent="0.25">
      <c r="A16" s="9">
        <v>43435</v>
      </c>
      <c r="B16" s="1">
        <v>43538</v>
      </c>
      <c r="C16" t="str">
        <f>INDEX(Balance!A:A,MATCH(D16,Balance!B:B,0))</f>
        <v>Client</v>
      </c>
      <c r="D16" t="s">
        <v>379</v>
      </c>
      <c r="E16" t="s">
        <v>65</v>
      </c>
      <c r="G16">
        <v>6486</v>
      </c>
      <c r="H16" s="3">
        <f t="shared" si="0"/>
        <v>-1081</v>
      </c>
      <c r="K16">
        <v>15</v>
      </c>
      <c r="L16">
        <v>1</v>
      </c>
      <c r="M16">
        <v>0</v>
      </c>
      <c r="P16">
        <f>VLOOKUP(D16,tab!A:B,2,FALSE)</f>
        <v>4</v>
      </c>
      <c r="R16">
        <f t="shared" si="1"/>
        <v>6486</v>
      </c>
      <c r="S16">
        <v>20</v>
      </c>
      <c r="T16" s="13">
        <f t="shared" si="2"/>
        <v>-1081</v>
      </c>
    </row>
    <row r="17" spans="1:20" x14ac:dyDescent="0.25">
      <c r="A17" s="9">
        <v>43435</v>
      </c>
      <c r="B17" s="1">
        <v>43542</v>
      </c>
      <c r="C17" t="str">
        <f>INDEX(Balance!A:A,MATCH(D17,Balance!B:B,0))</f>
        <v>Fournisseurs</v>
      </c>
      <c r="D17" t="s">
        <v>265</v>
      </c>
      <c r="E17" t="s">
        <v>40</v>
      </c>
      <c r="F17">
        <v>1488</v>
      </c>
      <c r="H17" s="3">
        <f t="shared" si="0"/>
        <v>248</v>
      </c>
      <c r="K17">
        <v>16</v>
      </c>
      <c r="L17">
        <v>1</v>
      </c>
      <c r="M17">
        <v>0</v>
      </c>
      <c r="P17">
        <f>VLOOKUP(D17,tab!A:B,2,FALSE)</f>
        <v>70</v>
      </c>
      <c r="R17">
        <f t="shared" si="1"/>
        <v>-1488</v>
      </c>
      <c r="S17">
        <v>20</v>
      </c>
      <c r="T17" s="13">
        <f t="shared" si="2"/>
        <v>248</v>
      </c>
    </row>
    <row r="18" spans="1:20" x14ac:dyDescent="0.25">
      <c r="A18" s="9">
        <v>43435</v>
      </c>
      <c r="B18" s="1">
        <v>43543</v>
      </c>
      <c r="C18" t="str">
        <f>INDEX(Balance!A:A,MATCH(D18,Balance!B:B,0))</f>
        <v>Client</v>
      </c>
      <c r="D18" t="s">
        <v>370</v>
      </c>
      <c r="E18" t="s">
        <v>37</v>
      </c>
      <c r="G18">
        <v>7747.4</v>
      </c>
      <c r="H18" s="3">
        <f t="shared" si="0"/>
        <v>-1291.2333333333327</v>
      </c>
      <c r="K18">
        <v>17</v>
      </c>
      <c r="L18">
        <v>1</v>
      </c>
      <c r="M18">
        <v>0</v>
      </c>
      <c r="P18">
        <f>VLOOKUP(D18,tab!A:B,2,FALSE)</f>
        <v>9</v>
      </c>
      <c r="R18">
        <f t="shared" si="1"/>
        <v>7747.4</v>
      </c>
      <c r="S18">
        <v>20</v>
      </c>
      <c r="T18" s="13">
        <f t="shared" si="2"/>
        <v>-1291.2333333333327</v>
      </c>
    </row>
    <row r="19" spans="1:20" x14ac:dyDescent="0.25">
      <c r="A19" s="9">
        <v>43435</v>
      </c>
      <c r="B19" s="1">
        <v>43600</v>
      </c>
      <c r="C19" t="str">
        <f>INDEX(Balance!A:A,MATCH(D19,Balance!B:B,0))</f>
        <v>Client</v>
      </c>
      <c r="D19" t="s">
        <v>431</v>
      </c>
      <c r="E19" t="s">
        <v>432</v>
      </c>
      <c r="G19">
        <v>5280</v>
      </c>
      <c r="H19" s="3">
        <f t="shared" si="0"/>
        <v>-880</v>
      </c>
      <c r="K19">
        <v>18</v>
      </c>
      <c r="L19">
        <v>1</v>
      </c>
      <c r="M19">
        <v>0</v>
      </c>
      <c r="P19">
        <f>VLOOKUP(D19,tab!A:B,2,FALSE)</f>
        <v>8</v>
      </c>
      <c r="R19">
        <f t="shared" si="1"/>
        <v>5280</v>
      </c>
      <c r="S19">
        <v>20</v>
      </c>
      <c r="T19" s="13">
        <f t="shared" si="2"/>
        <v>-880</v>
      </c>
    </row>
    <row r="20" spans="1:20" x14ac:dyDescent="0.25">
      <c r="A20" s="9">
        <v>43435</v>
      </c>
      <c r="B20" s="1">
        <v>43585</v>
      </c>
      <c r="C20" t="str">
        <f>INDEX(Balance!A:A,MATCH(D20,Balance!B:B,0))</f>
        <v>Client</v>
      </c>
      <c r="D20" t="s">
        <v>430</v>
      </c>
      <c r="E20" t="s">
        <v>591</v>
      </c>
      <c r="G20">
        <v>0</v>
      </c>
      <c r="H20" s="3">
        <f t="shared" si="0"/>
        <v>0</v>
      </c>
      <c r="K20">
        <v>19</v>
      </c>
      <c r="L20">
        <v>1</v>
      </c>
      <c r="M20">
        <v>0</v>
      </c>
      <c r="P20">
        <f>VLOOKUP(D20,tab!A:B,2,FALSE)</f>
        <v>7</v>
      </c>
      <c r="R20">
        <f t="shared" si="1"/>
        <v>0</v>
      </c>
      <c r="S20">
        <v>20</v>
      </c>
      <c r="T20" s="13">
        <f t="shared" si="2"/>
        <v>0</v>
      </c>
    </row>
    <row r="21" spans="1:20" x14ac:dyDescent="0.25">
      <c r="A21" s="9">
        <v>43435</v>
      </c>
      <c r="B21" s="1">
        <v>43585</v>
      </c>
      <c r="C21" t="str">
        <f>INDEX(Balance!A:A,MATCH(D21,Balance!B:B,0))</f>
        <v>Fournisseurs</v>
      </c>
      <c r="D21" t="s">
        <v>286</v>
      </c>
      <c r="F21">
        <v>158.4</v>
      </c>
      <c r="H21" s="3">
        <f t="shared" si="0"/>
        <v>26.400000000000006</v>
      </c>
      <c r="K21">
        <v>20</v>
      </c>
      <c r="L21">
        <v>1</v>
      </c>
      <c r="M21">
        <v>0</v>
      </c>
      <c r="P21">
        <f>VLOOKUP(D21,tab!A:B,2,FALSE)</f>
        <v>33</v>
      </c>
      <c r="R21">
        <f t="shared" si="1"/>
        <v>-158.4</v>
      </c>
      <c r="S21">
        <v>20</v>
      </c>
      <c r="T21" s="13">
        <f t="shared" si="2"/>
        <v>26.400000000000006</v>
      </c>
    </row>
    <row r="22" spans="1:20" x14ac:dyDescent="0.25">
      <c r="A22" s="9">
        <v>43435</v>
      </c>
      <c r="B22" s="1">
        <v>43585</v>
      </c>
      <c r="C22" t="str">
        <f>INDEX(Balance!A:A,MATCH(D22,Balance!B:B,0))</f>
        <v>Fournisseurs</v>
      </c>
      <c r="D22" t="s">
        <v>261</v>
      </c>
      <c r="F22">
        <v>4680</v>
      </c>
      <c r="H22" s="3">
        <f t="shared" si="0"/>
        <v>780</v>
      </c>
      <c r="K22">
        <v>21</v>
      </c>
      <c r="L22">
        <v>1</v>
      </c>
      <c r="M22">
        <v>0</v>
      </c>
      <c r="P22">
        <f>VLOOKUP(D22,tab!A:B,2,FALSE)</f>
        <v>53</v>
      </c>
      <c r="R22">
        <f t="shared" si="1"/>
        <v>-4680</v>
      </c>
      <c r="S22">
        <v>20</v>
      </c>
      <c r="T22" s="13">
        <f t="shared" si="2"/>
        <v>780</v>
      </c>
    </row>
    <row r="23" spans="1:20" x14ac:dyDescent="0.25">
      <c r="A23" s="9">
        <v>43435</v>
      </c>
      <c r="B23" s="1">
        <v>43646</v>
      </c>
      <c r="C23" t="str">
        <f>INDEX(Balance!A:A,MATCH(D23,Balance!B:B,0))</f>
        <v>Client</v>
      </c>
      <c r="D23" t="s">
        <v>429</v>
      </c>
      <c r="G23">
        <v>880.2</v>
      </c>
      <c r="H23" s="3">
        <f t="shared" si="0"/>
        <v>-146.69999999999993</v>
      </c>
      <c r="K23">
        <v>22</v>
      </c>
      <c r="L23">
        <v>1</v>
      </c>
      <c r="M23">
        <v>0</v>
      </c>
      <c r="P23">
        <f>VLOOKUP(D23,tab!A:B,2,FALSE)</f>
        <v>10</v>
      </c>
      <c r="R23">
        <f t="shared" si="1"/>
        <v>880.2</v>
      </c>
      <c r="S23">
        <v>20</v>
      </c>
      <c r="T23" s="13">
        <f t="shared" si="2"/>
        <v>-146.69999999999993</v>
      </c>
    </row>
    <row r="24" spans="1:20" x14ac:dyDescent="0.25">
      <c r="A24" s="9">
        <v>43466</v>
      </c>
      <c r="B24" s="1">
        <v>43511</v>
      </c>
      <c r="C24" t="str">
        <f>INDEX(Balance!A:A,MATCH(D24,Balance!B:B,0))</f>
        <v>Fournisseurs</v>
      </c>
      <c r="D24" t="s">
        <v>262</v>
      </c>
      <c r="F24">
        <v>4249.74</v>
      </c>
      <c r="H24" s="3">
        <f t="shared" si="0"/>
        <v>708.29</v>
      </c>
      <c r="K24">
        <v>23</v>
      </c>
      <c r="L24">
        <v>1</v>
      </c>
      <c r="M24">
        <v>0</v>
      </c>
      <c r="P24">
        <f>VLOOKUP(D24,tab!A:B,2,FALSE)</f>
        <v>65</v>
      </c>
      <c r="R24">
        <f t="shared" si="1"/>
        <v>-4249.74</v>
      </c>
      <c r="S24">
        <v>20</v>
      </c>
      <c r="T24" s="13">
        <f t="shared" si="2"/>
        <v>708.29</v>
      </c>
    </row>
    <row r="25" spans="1:20" x14ac:dyDescent="0.25">
      <c r="A25" s="9">
        <v>43466</v>
      </c>
      <c r="B25" s="1">
        <v>43514</v>
      </c>
      <c r="C25" t="str">
        <f>INDEX(Balance!A:A,MATCH(D25,Balance!B:B,0))</f>
        <v>Fournisseurs</v>
      </c>
      <c r="D25" t="s">
        <v>277</v>
      </c>
      <c r="F25">
        <v>816.83</v>
      </c>
      <c r="H25" s="3">
        <f t="shared" si="0"/>
        <v>136.13833333333332</v>
      </c>
      <c r="K25">
        <v>24</v>
      </c>
      <c r="L25">
        <v>1</v>
      </c>
      <c r="M25">
        <v>0</v>
      </c>
      <c r="P25">
        <f>VLOOKUP(D25,tab!A:B,2,FALSE)</f>
        <v>62</v>
      </c>
      <c r="R25">
        <f t="shared" si="1"/>
        <v>-816.83</v>
      </c>
      <c r="S25">
        <v>20</v>
      </c>
      <c r="T25" s="13">
        <f t="shared" si="2"/>
        <v>136.13833333333332</v>
      </c>
    </row>
    <row r="26" spans="1:20" x14ac:dyDescent="0.25">
      <c r="A26" s="9">
        <v>43466</v>
      </c>
      <c r="B26" s="1">
        <v>43524</v>
      </c>
      <c r="C26" t="str">
        <f>INDEX(Balance!A:A,MATCH(D26,Balance!B:B,0))</f>
        <v>Fournisseurs</v>
      </c>
      <c r="D26" t="s">
        <v>276</v>
      </c>
      <c r="F26">
        <v>429.54</v>
      </c>
      <c r="H26" s="3">
        <f t="shared" si="0"/>
        <v>71.589999999999975</v>
      </c>
      <c r="K26">
        <v>25</v>
      </c>
      <c r="L26">
        <v>1</v>
      </c>
      <c r="M26">
        <v>0</v>
      </c>
      <c r="P26">
        <f>VLOOKUP(D26,tab!A:B,2,FALSE)</f>
        <v>114</v>
      </c>
      <c r="R26">
        <f t="shared" si="1"/>
        <v>-429.54</v>
      </c>
      <c r="S26">
        <v>20</v>
      </c>
      <c r="T26" s="13">
        <f t="shared" si="2"/>
        <v>71.589999999999975</v>
      </c>
    </row>
    <row r="27" spans="1:20" x14ac:dyDescent="0.25">
      <c r="A27" s="9">
        <v>43466</v>
      </c>
      <c r="B27" s="1">
        <v>43524</v>
      </c>
      <c r="C27" t="str">
        <f>INDEX(Balance!A:A,MATCH(D27,Balance!B:B,0))</f>
        <v>Fournisseurs</v>
      </c>
      <c r="D27" t="s">
        <v>286</v>
      </c>
      <c r="F27">
        <v>444</v>
      </c>
      <c r="H27" s="3">
        <f t="shared" si="0"/>
        <v>74</v>
      </c>
      <c r="K27">
        <v>26</v>
      </c>
      <c r="L27">
        <v>1</v>
      </c>
      <c r="M27">
        <v>0</v>
      </c>
      <c r="P27">
        <f>VLOOKUP(D27,tab!A:B,2,FALSE)</f>
        <v>33</v>
      </c>
      <c r="R27">
        <f t="shared" si="1"/>
        <v>-444</v>
      </c>
      <c r="S27">
        <v>20</v>
      </c>
      <c r="T27" s="13">
        <f t="shared" si="2"/>
        <v>74</v>
      </c>
    </row>
    <row r="28" spans="1:20" x14ac:dyDescent="0.25">
      <c r="A28" s="9">
        <v>43466</v>
      </c>
      <c r="B28" s="1">
        <v>43524</v>
      </c>
      <c r="C28" t="str">
        <f>INDEX(Balance!A:A,MATCH(D28,Balance!B:B,0))</f>
        <v>Fournisseurs</v>
      </c>
      <c r="D28" t="s">
        <v>274</v>
      </c>
      <c r="F28">
        <v>455.24</v>
      </c>
      <c r="H28" s="3">
        <f t="shared" si="0"/>
        <v>75.873333333333335</v>
      </c>
      <c r="K28">
        <v>27</v>
      </c>
      <c r="L28">
        <v>1</v>
      </c>
      <c r="M28">
        <v>0</v>
      </c>
      <c r="P28">
        <f>VLOOKUP(D28,tab!A:B,2,FALSE)</f>
        <v>63</v>
      </c>
      <c r="R28">
        <f t="shared" si="1"/>
        <v>-455.24</v>
      </c>
      <c r="S28">
        <v>20</v>
      </c>
      <c r="T28" s="13">
        <f t="shared" si="2"/>
        <v>75.873333333333335</v>
      </c>
    </row>
    <row r="29" spans="1:20" x14ac:dyDescent="0.25">
      <c r="A29" s="9">
        <v>43466</v>
      </c>
      <c r="B29" s="1">
        <v>43524</v>
      </c>
      <c r="C29" t="str">
        <f>INDEX(Balance!A:A,MATCH(D29,Balance!B:B,0))</f>
        <v>Fournisseurs</v>
      </c>
      <c r="D29" t="s">
        <v>259</v>
      </c>
      <c r="F29">
        <v>1936.09</v>
      </c>
      <c r="H29" s="3">
        <f t="shared" si="0"/>
        <v>322.68166666666662</v>
      </c>
      <c r="K29">
        <v>28</v>
      </c>
      <c r="L29">
        <v>1</v>
      </c>
      <c r="M29">
        <v>0</v>
      </c>
      <c r="P29">
        <f>VLOOKUP(D29,tab!A:B,2,FALSE)</f>
        <v>72</v>
      </c>
      <c r="R29">
        <f t="shared" si="1"/>
        <v>-1936.09</v>
      </c>
      <c r="S29">
        <v>20</v>
      </c>
      <c r="T29" s="13">
        <f t="shared" si="2"/>
        <v>322.68166666666662</v>
      </c>
    </row>
    <row r="30" spans="1:20" x14ac:dyDescent="0.25">
      <c r="A30" s="9">
        <v>43466</v>
      </c>
      <c r="B30" s="1">
        <v>43535</v>
      </c>
      <c r="C30" t="str">
        <f>INDEX(Balance!A:A,MATCH(D30,Balance!B:B,0))</f>
        <v>Fournisseurs</v>
      </c>
      <c r="D30" t="s">
        <v>288</v>
      </c>
      <c r="F30">
        <v>260.35000000000002</v>
      </c>
      <c r="H30" s="3">
        <f t="shared" si="0"/>
        <v>43.391666666666652</v>
      </c>
      <c r="K30">
        <v>29</v>
      </c>
      <c r="L30">
        <v>1</v>
      </c>
      <c r="M30">
        <v>0</v>
      </c>
      <c r="P30">
        <f>VLOOKUP(D30,tab!A:B,2,FALSE)</f>
        <v>120</v>
      </c>
      <c r="R30">
        <f t="shared" si="1"/>
        <v>-260.35000000000002</v>
      </c>
      <c r="S30">
        <v>20</v>
      </c>
      <c r="T30" s="13">
        <f t="shared" si="2"/>
        <v>43.391666666666652</v>
      </c>
    </row>
    <row r="31" spans="1:20" x14ac:dyDescent="0.25">
      <c r="A31" s="9">
        <v>43466</v>
      </c>
      <c r="B31" s="1">
        <v>43535</v>
      </c>
      <c r="C31" t="str">
        <f>INDEX(Balance!A:A,MATCH(D31,Balance!B:B,0))</f>
        <v>Fournisseurs</v>
      </c>
      <c r="D31" t="s">
        <v>270</v>
      </c>
      <c r="F31">
        <v>2097.84</v>
      </c>
      <c r="H31" s="3">
        <f t="shared" si="0"/>
        <v>349.63999999999987</v>
      </c>
      <c r="K31">
        <v>30</v>
      </c>
      <c r="L31">
        <v>1</v>
      </c>
      <c r="M31">
        <v>0</v>
      </c>
      <c r="P31">
        <f>VLOOKUP(D31,tab!A:B,2,FALSE)</f>
        <v>110</v>
      </c>
      <c r="R31">
        <f t="shared" si="1"/>
        <v>-2097.84</v>
      </c>
      <c r="S31">
        <v>20</v>
      </c>
      <c r="T31" s="13">
        <f t="shared" si="2"/>
        <v>349.63999999999987</v>
      </c>
    </row>
    <row r="32" spans="1:20" x14ac:dyDescent="0.25">
      <c r="A32" s="9">
        <v>43466</v>
      </c>
      <c r="B32" s="1">
        <v>43536</v>
      </c>
      <c r="C32" t="str">
        <f>INDEX(Balance!A:A,MATCH(D32,Balance!B:B,0))</f>
        <v>Fournisseurs</v>
      </c>
      <c r="D32" t="s">
        <v>291</v>
      </c>
      <c r="E32" t="s">
        <v>79</v>
      </c>
      <c r="F32">
        <v>55.2</v>
      </c>
      <c r="H32" s="3">
        <f t="shared" si="0"/>
        <v>9.1999999999999957</v>
      </c>
      <c r="K32">
        <v>31</v>
      </c>
      <c r="L32">
        <v>1</v>
      </c>
      <c r="M32">
        <v>0</v>
      </c>
      <c r="P32">
        <f>VLOOKUP(D32,tab!A:B,2,FALSE)</f>
        <v>71</v>
      </c>
      <c r="R32">
        <f t="shared" si="1"/>
        <v>-55.2</v>
      </c>
      <c r="S32">
        <v>20</v>
      </c>
      <c r="T32" s="13">
        <f t="shared" si="2"/>
        <v>9.1999999999999957</v>
      </c>
    </row>
    <row r="33" spans="1:20" x14ac:dyDescent="0.25">
      <c r="A33" s="9">
        <v>43466</v>
      </c>
      <c r="B33" s="1">
        <v>43536</v>
      </c>
      <c r="C33" t="str">
        <f>INDEX(Balance!A:A,MATCH(D33,Balance!B:B,0))</f>
        <v>Fournisseurs</v>
      </c>
      <c r="D33" t="s">
        <v>261</v>
      </c>
      <c r="E33" t="s">
        <v>83</v>
      </c>
      <c r="F33">
        <v>660</v>
      </c>
      <c r="H33" s="3">
        <f t="shared" si="0"/>
        <v>110</v>
      </c>
      <c r="K33">
        <v>32</v>
      </c>
      <c r="L33">
        <v>1</v>
      </c>
      <c r="M33">
        <v>0</v>
      </c>
      <c r="P33">
        <f>VLOOKUP(D33,tab!A:B,2,FALSE)</f>
        <v>53</v>
      </c>
      <c r="R33">
        <f t="shared" si="1"/>
        <v>-660</v>
      </c>
      <c r="S33">
        <v>20</v>
      </c>
      <c r="T33" s="13">
        <f t="shared" si="2"/>
        <v>110</v>
      </c>
    </row>
    <row r="34" spans="1:20" x14ac:dyDescent="0.25">
      <c r="A34" s="9">
        <v>43466</v>
      </c>
      <c r="B34" s="1">
        <v>43480</v>
      </c>
      <c r="C34" t="str">
        <f>INDEX(Balance!A:A,MATCH(D34,Balance!B:B,0))</f>
        <v>Client</v>
      </c>
      <c r="D34" t="s">
        <v>379</v>
      </c>
      <c r="F34">
        <v>-27522.94000000001</v>
      </c>
      <c r="G34">
        <v>0</v>
      </c>
      <c r="H34" s="3">
        <f t="shared" si="0"/>
        <v>0</v>
      </c>
      <c r="K34">
        <v>33</v>
      </c>
      <c r="L34">
        <v>1</v>
      </c>
      <c r="M34">
        <v>0</v>
      </c>
      <c r="P34">
        <f>VLOOKUP(D34,tab!A:B,2,FALSE)</f>
        <v>4</v>
      </c>
      <c r="R34">
        <f t="shared" si="1"/>
        <v>27522.94000000001</v>
      </c>
      <c r="S34">
        <v>20</v>
      </c>
      <c r="T34" s="13">
        <f t="shared" si="2"/>
        <v>0</v>
      </c>
    </row>
    <row r="35" spans="1:20" x14ac:dyDescent="0.25">
      <c r="A35" s="9">
        <v>43466</v>
      </c>
      <c r="B35" s="1">
        <v>43539</v>
      </c>
      <c r="C35" t="str">
        <f>INDEX(Balance!A:A,MATCH(D35,Balance!B:B,0))</f>
        <v>Fournisseurs</v>
      </c>
      <c r="D35" t="s">
        <v>295</v>
      </c>
      <c r="F35">
        <v>2170.4</v>
      </c>
      <c r="H35" s="3">
        <f t="shared" si="0"/>
        <v>361.73333333333335</v>
      </c>
      <c r="J35">
        <v>4744.6499999999996</v>
      </c>
      <c r="K35">
        <v>34</v>
      </c>
      <c r="L35">
        <v>1</v>
      </c>
      <c r="M35">
        <v>0</v>
      </c>
      <c r="P35">
        <f>VLOOKUP(D35,tab!A:B,2,FALSE)</f>
        <v>117</v>
      </c>
      <c r="R35">
        <f t="shared" si="1"/>
        <v>-2170.4</v>
      </c>
      <c r="S35">
        <v>20</v>
      </c>
      <c r="T35" s="13">
        <f t="shared" si="2"/>
        <v>361.73333333333335</v>
      </c>
    </row>
    <row r="36" spans="1:20" x14ac:dyDescent="0.25">
      <c r="A36" s="9">
        <v>43466</v>
      </c>
      <c r="B36" s="1">
        <v>43543</v>
      </c>
      <c r="C36" t="str">
        <f>INDEX(Balance!A:A,MATCH(D36,Balance!B:B,0))</f>
        <v>Fournisseurs</v>
      </c>
      <c r="D36" t="s">
        <v>281</v>
      </c>
      <c r="F36">
        <v>1268.4000000000001</v>
      </c>
      <c r="H36" s="3">
        <f t="shared" si="0"/>
        <v>211.39999999999986</v>
      </c>
      <c r="K36">
        <v>35</v>
      </c>
      <c r="L36">
        <v>1</v>
      </c>
      <c r="M36">
        <v>0</v>
      </c>
      <c r="P36">
        <f>VLOOKUP(D36,tab!A:B,2,FALSE)</f>
        <v>77</v>
      </c>
      <c r="R36">
        <f t="shared" si="1"/>
        <v>-1268.4000000000001</v>
      </c>
      <c r="S36">
        <v>20</v>
      </c>
      <c r="T36" s="13">
        <f t="shared" si="2"/>
        <v>211.39999999999986</v>
      </c>
    </row>
    <row r="37" spans="1:20" x14ac:dyDescent="0.25">
      <c r="A37" s="9">
        <v>43466</v>
      </c>
      <c r="B37" s="1">
        <v>43543</v>
      </c>
      <c r="C37" t="str">
        <f>INDEX(Balance!A:A,MATCH(D37,Balance!B:B,0))</f>
        <v>Fournisseurs</v>
      </c>
      <c r="D37" t="s">
        <v>270</v>
      </c>
      <c r="F37">
        <v>1969.9</v>
      </c>
      <c r="H37" s="3">
        <f t="shared" si="0"/>
        <v>328.31666666666661</v>
      </c>
      <c r="K37">
        <v>36</v>
      </c>
      <c r="L37">
        <v>1</v>
      </c>
      <c r="M37">
        <v>0</v>
      </c>
      <c r="P37">
        <f>VLOOKUP(D37,tab!A:B,2,FALSE)</f>
        <v>110</v>
      </c>
      <c r="R37">
        <f t="shared" si="1"/>
        <v>-1969.9</v>
      </c>
      <c r="S37">
        <v>20</v>
      </c>
      <c r="T37" s="13">
        <f t="shared" si="2"/>
        <v>328.31666666666661</v>
      </c>
    </row>
    <row r="38" spans="1:20" x14ac:dyDescent="0.25">
      <c r="A38" s="9">
        <v>43497</v>
      </c>
      <c r="B38" s="1">
        <v>43511</v>
      </c>
      <c r="C38" t="str">
        <f>INDEX(Balance!A:A,MATCH(D38,Balance!B:B,0))</f>
        <v>Fournisseurs</v>
      </c>
      <c r="D38" t="s">
        <v>268</v>
      </c>
      <c r="F38">
        <v>797.12</v>
      </c>
      <c r="H38" s="3">
        <f t="shared" si="0"/>
        <v>132.85333333333335</v>
      </c>
      <c r="K38">
        <v>37</v>
      </c>
      <c r="L38">
        <v>1</v>
      </c>
      <c r="M38">
        <v>0</v>
      </c>
      <c r="P38">
        <f>VLOOKUP(D38,tab!A:B,2,FALSE)</f>
        <v>106</v>
      </c>
      <c r="R38">
        <f t="shared" si="1"/>
        <v>-797.12</v>
      </c>
      <c r="S38">
        <v>20</v>
      </c>
      <c r="T38" s="13">
        <f t="shared" si="2"/>
        <v>132.85333333333335</v>
      </c>
    </row>
    <row r="39" spans="1:20" x14ac:dyDescent="0.25">
      <c r="A39" s="9">
        <v>43497</v>
      </c>
      <c r="B39" s="1">
        <v>43511</v>
      </c>
      <c r="C39" t="str">
        <f>INDEX(Balance!A:A,MATCH(D39,Balance!B:B,0))</f>
        <v>Fournisseurs</v>
      </c>
      <c r="D39" t="s">
        <v>279</v>
      </c>
      <c r="F39">
        <v>1330.73</v>
      </c>
      <c r="H39" s="3">
        <f t="shared" si="0"/>
        <v>221.78833333333318</v>
      </c>
      <c r="K39">
        <v>38</v>
      </c>
      <c r="L39">
        <v>1</v>
      </c>
      <c r="M39">
        <v>0</v>
      </c>
      <c r="P39">
        <f>VLOOKUP(D39,tab!A:B,2,FALSE)</f>
        <v>54</v>
      </c>
      <c r="R39">
        <f t="shared" si="1"/>
        <v>-1330.73</v>
      </c>
      <c r="S39">
        <v>20</v>
      </c>
      <c r="T39" s="13">
        <f t="shared" si="2"/>
        <v>221.78833333333318</v>
      </c>
    </row>
    <row r="40" spans="1:20" x14ac:dyDescent="0.25">
      <c r="A40" s="9">
        <v>43497</v>
      </c>
      <c r="B40" s="1">
        <v>43514</v>
      </c>
      <c r="C40" t="str">
        <f>INDEX(Balance!A:A,MATCH(D40,Balance!B:B,0))</f>
        <v>Fournisseurs</v>
      </c>
      <c r="D40" t="s">
        <v>280</v>
      </c>
      <c r="E40" t="s">
        <v>217</v>
      </c>
      <c r="F40">
        <v>961.2</v>
      </c>
      <c r="H40" s="3">
        <f t="shared" si="0"/>
        <v>160.19999999999993</v>
      </c>
      <c r="K40">
        <v>39</v>
      </c>
      <c r="L40">
        <v>1</v>
      </c>
      <c r="M40">
        <v>0</v>
      </c>
      <c r="P40">
        <f>VLOOKUP(D40,tab!A:B,2,FALSE)</f>
        <v>43</v>
      </c>
      <c r="R40">
        <f t="shared" si="1"/>
        <v>-961.2</v>
      </c>
      <c r="S40">
        <v>20</v>
      </c>
      <c r="T40" s="13">
        <f t="shared" si="2"/>
        <v>160.19999999999993</v>
      </c>
    </row>
    <row r="41" spans="1:20" x14ac:dyDescent="0.25">
      <c r="A41" s="9">
        <v>43497</v>
      </c>
      <c r="B41" s="1">
        <v>43516</v>
      </c>
      <c r="C41" t="str">
        <f>INDEX(Balance!A:A,MATCH(D41,Balance!B:B,0))</f>
        <v>Fournisseurs</v>
      </c>
      <c r="D41" t="s">
        <v>282</v>
      </c>
      <c r="E41" t="s">
        <v>200</v>
      </c>
      <c r="F41">
        <v>19.78</v>
      </c>
      <c r="H41" s="3">
        <f t="shared" si="0"/>
        <v>3.2966666666666669</v>
      </c>
      <c r="K41">
        <v>40</v>
      </c>
      <c r="L41">
        <v>1</v>
      </c>
      <c r="M41">
        <v>0</v>
      </c>
      <c r="P41">
        <f>VLOOKUP(D41,tab!A:B,2,FALSE)</f>
        <v>82</v>
      </c>
      <c r="R41">
        <f t="shared" si="1"/>
        <v>-19.78</v>
      </c>
      <c r="S41">
        <v>20</v>
      </c>
      <c r="T41" s="13">
        <f t="shared" si="2"/>
        <v>3.2966666666666669</v>
      </c>
    </row>
    <row r="42" spans="1:20" x14ac:dyDescent="0.25">
      <c r="A42" s="9">
        <v>43497</v>
      </c>
      <c r="B42" s="1">
        <v>43521</v>
      </c>
      <c r="C42" t="str">
        <f>INDEX(Balance!A:A,MATCH(D42,Balance!B:B,0))</f>
        <v>Fournisseurs</v>
      </c>
      <c r="D42" t="s">
        <v>285</v>
      </c>
      <c r="E42" t="s">
        <v>185</v>
      </c>
      <c r="F42">
        <v>1252.92</v>
      </c>
      <c r="H42" s="3">
        <f t="shared" si="0"/>
        <v>208.81999999999994</v>
      </c>
      <c r="K42">
        <v>41</v>
      </c>
      <c r="L42">
        <v>1</v>
      </c>
      <c r="M42">
        <v>0</v>
      </c>
      <c r="P42">
        <f>VLOOKUP(D42,tab!A:B,2,FALSE)</f>
        <v>122</v>
      </c>
      <c r="R42">
        <f t="shared" si="1"/>
        <v>-1252.92</v>
      </c>
      <c r="S42">
        <v>20</v>
      </c>
      <c r="T42" s="13">
        <f t="shared" si="2"/>
        <v>208.81999999999994</v>
      </c>
    </row>
    <row r="43" spans="1:20" x14ac:dyDescent="0.25">
      <c r="A43" s="9">
        <v>43497</v>
      </c>
      <c r="B43" s="1">
        <v>43536</v>
      </c>
      <c r="C43" t="str">
        <f>INDEX(Balance!A:A,MATCH(D43,Balance!B:B,0))</f>
        <v>Fournisseurs</v>
      </c>
      <c r="D43" t="s">
        <v>261</v>
      </c>
      <c r="E43" t="s">
        <v>83</v>
      </c>
      <c r="F43">
        <v>576</v>
      </c>
      <c r="H43" s="3">
        <f t="shared" si="0"/>
        <v>96</v>
      </c>
      <c r="K43">
        <v>42</v>
      </c>
      <c r="L43">
        <v>1</v>
      </c>
      <c r="M43">
        <v>0</v>
      </c>
      <c r="P43">
        <f>VLOOKUP(D43,tab!A:B,2,FALSE)</f>
        <v>53</v>
      </c>
      <c r="R43">
        <f t="shared" si="1"/>
        <v>-576</v>
      </c>
      <c r="S43">
        <v>20</v>
      </c>
      <c r="T43" s="13">
        <f t="shared" si="2"/>
        <v>96</v>
      </c>
    </row>
    <row r="44" spans="1:20" x14ac:dyDescent="0.25">
      <c r="A44" s="9">
        <v>43497</v>
      </c>
      <c r="B44" s="1">
        <v>43539</v>
      </c>
      <c r="C44" t="str">
        <f>INDEX(Balance!A:A,MATCH(D44,Balance!B:B,0))</f>
        <v>Fournisseurs</v>
      </c>
      <c r="D44" t="s">
        <v>268</v>
      </c>
      <c r="F44">
        <v>666.31</v>
      </c>
      <c r="H44" s="3">
        <f t="shared" si="0"/>
        <v>111.05166666666662</v>
      </c>
      <c r="K44">
        <v>43</v>
      </c>
      <c r="L44">
        <v>1</v>
      </c>
      <c r="M44">
        <v>0</v>
      </c>
      <c r="P44">
        <f>VLOOKUP(D44,tab!A:B,2,FALSE)</f>
        <v>106</v>
      </c>
      <c r="R44">
        <f t="shared" si="1"/>
        <v>-666.31</v>
      </c>
      <c r="S44">
        <v>20</v>
      </c>
      <c r="T44" s="13">
        <f t="shared" si="2"/>
        <v>111.05166666666662</v>
      </c>
    </row>
    <row r="45" spans="1:20" x14ac:dyDescent="0.25">
      <c r="A45" s="9">
        <v>43497</v>
      </c>
      <c r="B45" s="1">
        <v>43556</v>
      </c>
      <c r="C45" t="str">
        <f>INDEX(Balance!A:A,MATCH(D45,Balance!B:B,0))</f>
        <v>Fournisseurs</v>
      </c>
      <c r="D45" t="s">
        <v>277</v>
      </c>
      <c r="F45">
        <v>35.81</v>
      </c>
      <c r="H45" s="3">
        <f t="shared" si="0"/>
        <v>5.9683333333333337</v>
      </c>
      <c r="K45">
        <v>44</v>
      </c>
      <c r="L45">
        <v>1</v>
      </c>
      <c r="M45">
        <v>0</v>
      </c>
      <c r="P45">
        <f>VLOOKUP(D45,tab!A:B,2,FALSE)</f>
        <v>62</v>
      </c>
      <c r="R45">
        <f t="shared" si="1"/>
        <v>-35.81</v>
      </c>
      <c r="S45">
        <v>20</v>
      </c>
      <c r="T45" s="13">
        <f t="shared" si="2"/>
        <v>5.9683333333333337</v>
      </c>
    </row>
    <row r="46" spans="1:20" x14ac:dyDescent="0.25">
      <c r="A46" s="9">
        <v>43497</v>
      </c>
      <c r="B46" s="1">
        <v>43556</v>
      </c>
      <c r="C46" t="str">
        <f>INDEX(Balance!A:A,MATCH(D46,Balance!B:B,0))</f>
        <v>Fournisseurs</v>
      </c>
      <c r="D46" t="s">
        <v>275</v>
      </c>
      <c r="F46">
        <v>79.87</v>
      </c>
      <c r="H46" s="3">
        <f t="shared" si="0"/>
        <v>13.311666666666667</v>
      </c>
      <c r="K46">
        <v>45</v>
      </c>
      <c r="L46">
        <v>1</v>
      </c>
      <c r="M46">
        <v>0</v>
      </c>
      <c r="P46">
        <f>VLOOKUP(D46,tab!A:B,2,FALSE)</f>
        <v>92</v>
      </c>
      <c r="R46">
        <f t="shared" si="1"/>
        <v>-79.87</v>
      </c>
      <c r="S46">
        <v>20</v>
      </c>
      <c r="T46" s="13">
        <f t="shared" si="2"/>
        <v>13.311666666666667</v>
      </c>
    </row>
    <row r="47" spans="1:20" x14ac:dyDescent="0.25">
      <c r="A47" s="9">
        <v>43497</v>
      </c>
      <c r="B47" s="1">
        <v>43556</v>
      </c>
      <c r="C47" t="str">
        <f>INDEX(Balance!A:A,MATCH(D47,Balance!B:B,0))</f>
        <v>Fournisseurs</v>
      </c>
      <c r="D47" t="s">
        <v>298</v>
      </c>
      <c r="F47">
        <v>99.26</v>
      </c>
      <c r="H47" s="3">
        <f t="shared" si="0"/>
        <v>16.543333333333337</v>
      </c>
      <c r="K47">
        <v>46</v>
      </c>
      <c r="L47">
        <v>1</v>
      </c>
      <c r="M47">
        <v>0</v>
      </c>
      <c r="P47">
        <f>VLOOKUP(D47,tab!A:B,2,FALSE)</f>
        <v>81</v>
      </c>
      <c r="R47">
        <f t="shared" si="1"/>
        <v>-99.26</v>
      </c>
      <c r="S47">
        <v>20</v>
      </c>
      <c r="T47" s="13">
        <f t="shared" si="2"/>
        <v>16.543333333333337</v>
      </c>
    </row>
    <row r="48" spans="1:20" x14ac:dyDescent="0.25">
      <c r="A48" s="9">
        <v>43497</v>
      </c>
      <c r="B48" s="1">
        <v>43556</v>
      </c>
      <c r="C48" t="str">
        <f>INDEX(Balance!A:A,MATCH(D48,Balance!B:B,0))</f>
        <v>Fournisseurs</v>
      </c>
      <c r="D48" t="s">
        <v>276</v>
      </c>
      <c r="F48">
        <v>236.69</v>
      </c>
      <c r="H48" s="3">
        <f t="shared" si="0"/>
        <v>39.448333333333323</v>
      </c>
      <c r="K48">
        <v>47</v>
      </c>
      <c r="L48">
        <v>1</v>
      </c>
      <c r="M48">
        <v>0</v>
      </c>
      <c r="P48">
        <f>VLOOKUP(D48,tab!A:B,2,FALSE)</f>
        <v>114</v>
      </c>
      <c r="R48">
        <f t="shared" si="1"/>
        <v>-236.69</v>
      </c>
      <c r="S48">
        <v>20</v>
      </c>
      <c r="T48" s="13">
        <f t="shared" si="2"/>
        <v>39.448333333333323</v>
      </c>
    </row>
    <row r="49" spans="1:20" x14ac:dyDescent="0.25">
      <c r="A49" s="9">
        <v>43497</v>
      </c>
      <c r="B49" s="1">
        <v>43556</v>
      </c>
      <c r="C49" t="str">
        <f>INDEX(Balance!A:A,MATCH(D49,Balance!B:B,0))</f>
        <v>Fournisseurs</v>
      </c>
      <c r="D49" t="s">
        <v>273</v>
      </c>
      <c r="F49">
        <v>285.91000000000003</v>
      </c>
      <c r="H49" s="3">
        <f t="shared" si="0"/>
        <v>47.651666666666671</v>
      </c>
      <c r="K49">
        <v>48</v>
      </c>
      <c r="L49">
        <v>1</v>
      </c>
      <c r="M49">
        <v>0</v>
      </c>
      <c r="P49">
        <f>VLOOKUP(D49,tab!A:B,2,FALSE)</f>
        <v>32</v>
      </c>
      <c r="R49">
        <f t="shared" si="1"/>
        <v>-285.91000000000003</v>
      </c>
      <c r="S49">
        <v>20</v>
      </c>
      <c r="T49" s="13">
        <f t="shared" si="2"/>
        <v>47.651666666666671</v>
      </c>
    </row>
    <row r="50" spans="1:20" x14ac:dyDescent="0.25">
      <c r="A50" s="9">
        <v>43497</v>
      </c>
      <c r="B50" s="1">
        <v>43556</v>
      </c>
      <c r="C50" t="str">
        <f>INDEX(Balance!A:A,MATCH(D50,Balance!B:B,0))</f>
        <v>Fournisseurs</v>
      </c>
      <c r="D50" t="s">
        <v>274</v>
      </c>
      <c r="F50">
        <v>753.74</v>
      </c>
      <c r="H50" s="3">
        <f t="shared" si="0"/>
        <v>125.62333333333333</v>
      </c>
      <c r="K50">
        <v>49</v>
      </c>
      <c r="L50">
        <v>1</v>
      </c>
      <c r="M50">
        <v>0</v>
      </c>
      <c r="P50">
        <f>VLOOKUP(D50,tab!A:B,2,FALSE)</f>
        <v>63</v>
      </c>
      <c r="R50">
        <f t="shared" si="1"/>
        <v>-753.74</v>
      </c>
      <c r="S50">
        <v>20</v>
      </c>
      <c r="T50" s="13">
        <f t="shared" si="2"/>
        <v>125.62333333333333</v>
      </c>
    </row>
    <row r="51" spans="1:20" x14ac:dyDescent="0.25">
      <c r="A51" s="9">
        <v>43497</v>
      </c>
      <c r="B51" s="1">
        <v>43556</v>
      </c>
      <c r="C51" t="str">
        <f>INDEX(Balance!A:A,MATCH(D51,Balance!B:B,0))</f>
        <v>Fournisseurs</v>
      </c>
      <c r="D51" t="s">
        <v>259</v>
      </c>
      <c r="F51">
        <v>1871.94</v>
      </c>
      <c r="H51" s="3">
        <f t="shared" si="0"/>
        <v>311.99</v>
      </c>
      <c r="K51">
        <v>50</v>
      </c>
      <c r="L51">
        <v>1</v>
      </c>
      <c r="M51">
        <v>0</v>
      </c>
      <c r="P51">
        <f>VLOOKUP(D51,tab!A:B,2,FALSE)</f>
        <v>72</v>
      </c>
      <c r="R51">
        <f t="shared" si="1"/>
        <v>-1871.94</v>
      </c>
      <c r="S51">
        <v>20</v>
      </c>
      <c r="T51" s="13">
        <f t="shared" si="2"/>
        <v>311.99</v>
      </c>
    </row>
    <row r="52" spans="1:20" x14ac:dyDescent="0.25">
      <c r="A52" s="9">
        <v>43497</v>
      </c>
      <c r="B52" s="1">
        <v>43565</v>
      </c>
      <c r="C52" t="str">
        <f>INDEX(Balance!A:A,MATCH(D52,Balance!B:B,0))</f>
        <v>Fournisseurs</v>
      </c>
      <c r="D52" t="s">
        <v>288</v>
      </c>
      <c r="F52">
        <v>464.4</v>
      </c>
      <c r="H52" s="3">
        <f t="shared" si="0"/>
        <v>77.399999999999977</v>
      </c>
      <c r="K52">
        <v>51</v>
      </c>
      <c r="L52">
        <v>1</v>
      </c>
      <c r="M52">
        <v>0</v>
      </c>
      <c r="P52">
        <f>VLOOKUP(D52,tab!A:B,2,FALSE)</f>
        <v>120</v>
      </c>
      <c r="R52">
        <f t="shared" si="1"/>
        <v>-464.4</v>
      </c>
      <c r="S52">
        <v>20</v>
      </c>
      <c r="T52" s="13">
        <f t="shared" si="2"/>
        <v>77.399999999999977</v>
      </c>
    </row>
    <row r="53" spans="1:20" x14ac:dyDescent="0.25">
      <c r="A53" s="9">
        <v>43497</v>
      </c>
      <c r="B53" s="1">
        <v>43569</v>
      </c>
      <c r="C53" t="str">
        <f>INDEX(Balance!A:A,MATCH(D53,Balance!B:B,0))</f>
        <v>Fournisseurs</v>
      </c>
      <c r="D53" t="s">
        <v>281</v>
      </c>
      <c r="F53">
        <v>1864.8</v>
      </c>
      <c r="H53" s="3">
        <f t="shared" si="0"/>
        <v>310.79999999999995</v>
      </c>
      <c r="K53">
        <v>52</v>
      </c>
      <c r="L53">
        <v>1</v>
      </c>
      <c r="M53">
        <v>0</v>
      </c>
      <c r="P53">
        <f>VLOOKUP(D53,tab!A:B,2,FALSE)</f>
        <v>77</v>
      </c>
      <c r="R53">
        <f t="shared" si="1"/>
        <v>-1864.8</v>
      </c>
      <c r="S53">
        <v>20</v>
      </c>
      <c r="T53" s="13">
        <f t="shared" si="2"/>
        <v>310.79999999999995</v>
      </c>
    </row>
    <row r="54" spans="1:20" x14ac:dyDescent="0.25">
      <c r="A54" s="9">
        <v>43497</v>
      </c>
      <c r="B54" s="1">
        <v>43569</v>
      </c>
      <c r="C54" t="str">
        <f>INDEX(Balance!A:A,MATCH(D54,Balance!B:B,0))</f>
        <v>Fournisseurs</v>
      </c>
      <c r="D54" t="s">
        <v>270</v>
      </c>
      <c r="F54">
        <v>5042.08</v>
      </c>
      <c r="H54" s="3">
        <f t="shared" si="0"/>
        <v>840.34666666666635</v>
      </c>
      <c r="K54">
        <v>53</v>
      </c>
      <c r="L54">
        <v>1</v>
      </c>
      <c r="M54">
        <v>0</v>
      </c>
      <c r="P54">
        <f>VLOOKUP(D54,tab!A:B,2,FALSE)</f>
        <v>110</v>
      </c>
      <c r="R54">
        <f t="shared" si="1"/>
        <v>-5042.08</v>
      </c>
      <c r="S54">
        <v>20</v>
      </c>
      <c r="T54" s="13">
        <f t="shared" si="2"/>
        <v>840.34666666666635</v>
      </c>
    </row>
    <row r="55" spans="1:20" x14ac:dyDescent="0.25">
      <c r="A55" s="9">
        <v>43497</v>
      </c>
      <c r="B55" s="1">
        <v>43570</v>
      </c>
      <c r="C55" t="str">
        <f>INDEX(Balance!A:A,MATCH(D55,Balance!B:B,0))</f>
        <v>Client</v>
      </c>
      <c r="D55" t="s">
        <v>430</v>
      </c>
      <c r="E55" t="s">
        <v>590</v>
      </c>
      <c r="G55">
        <v>0</v>
      </c>
      <c r="H55" s="3">
        <f t="shared" si="0"/>
        <v>0</v>
      </c>
      <c r="K55">
        <v>54</v>
      </c>
      <c r="L55">
        <v>1</v>
      </c>
      <c r="M55">
        <v>0</v>
      </c>
      <c r="P55">
        <f>VLOOKUP(D55,tab!A:B,2,FALSE)</f>
        <v>7</v>
      </c>
      <c r="R55">
        <f t="shared" si="1"/>
        <v>0</v>
      </c>
      <c r="S55">
        <v>20</v>
      </c>
      <c r="T55" s="13">
        <f t="shared" si="2"/>
        <v>0</v>
      </c>
    </row>
    <row r="56" spans="1:20" x14ac:dyDescent="0.25">
      <c r="A56" s="9">
        <v>43497</v>
      </c>
      <c r="B56" s="1">
        <v>43570</v>
      </c>
      <c r="C56" t="str">
        <f>INDEX(Balance!A:A,MATCH(D56,Balance!B:B,0))</f>
        <v>Fournisseurs</v>
      </c>
      <c r="D56" t="s">
        <v>262</v>
      </c>
      <c r="F56">
        <v>32.880000000000003</v>
      </c>
      <c r="H56" s="3">
        <f t="shared" si="0"/>
        <v>5.48</v>
      </c>
      <c r="K56">
        <v>55</v>
      </c>
      <c r="L56">
        <v>1</v>
      </c>
      <c r="M56">
        <v>0</v>
      </c>
      <c r="P56">
        <f>VLOOKUP(D56,tab!A:B,2,FALSE)</f>
        <v>65</v>
      </c>
      <c r="R56">
        <f t="shared" si="1"/>
        <v>-32.880000000000003</v>
      </c>
      <c r="S56">
        <v>20</v>
      </c>
      <c r="T56" s="13">
        <f t="shared" si="2"/>
        <v>5.48</v>
      </c>
    </row>
    <row r="57" spans="1:20" x14ac:dyDescent="0.25">
      <c r="A57" s="9">
        <v>43497</v>
      </c>
      <c r="B57" s="1">
        <v>43570</v>
      </c>
      <c r="C57" t="str">
        <f>INDEX(Balance!A:A,MATCH(D57,Balance!B:B,0))</f>
        <v>Fournisseurs</v>
      </c>
      <c r="D57" t="s">
        <v>289</v>
      </c>
      <c r="F57">
        <v>81.599999999999994</v>
      </c>
      <c r="H57" s="3">
        <f t="shared" si="0"/>
        <v>13.599999999999994</v>
      </c>
      <c r="K57">
        <v>56</v>
      </c>
      <c r="L57">
        <v>1</v>
      </c>
      <c r="M57">
        <v>0</v>
      </c>
      <c r="P57">
        <f>VLOOKUP(D57,tab!A:B,2,FALSE)</f>
        <v>57</v>
      </c>
      <c r="R57">
        <f t="shared" si="1"/>
        <v>-81.599999999999994</v>
      </c>
      <c r="S57">
        <v>20</v>
      </c>
      <c r="T57" s="13">
        <f t="shared" si="2"/>
        <v>13.599999999999994</v>
      </c>
    </row>
    <row r="58" spans="1:20" x14ac:dyDescent="0.25">
      <c r="A58" s="9">
        <v>43497</v>
      </c>
      <c r="B58" s="1">
        <v>43570</v>
      </c>
      <c r="C58" t="str">
        <f>INDEX(Balance!A:A,MATCH(D58,Balance!B:B,0))</f>
        <v>Fournisseurs</v>
      </c>
      <c r="D58" t="s">
        <v>262</v>
      </c>
      <c r="F58">
        <v>591.84</v>
      </c>
      <c r="H58" s="3">
        <f t="shared" si="0"/>
        <v>98.639999999999986</v>
      </c>
      <c r="K58">
        <v>57</v>
      </c>
      <c r="L58">
        <v>1</v>
      </c>
      <c r="M58">
        <v>0</v>
      </c>
      <c r="P58">
        <f>VLOOKUP(D58,tab!A:B,2,FALSE)</f>
        <v>65</v>
      </c>
      <c r="R58">
        <f t="shared" si="1"/>
        <v>-591.84</v>
      </c>
      <c r="S58">
        <v>20</v>
      </c>
      <c r="T58" s="13">
        <f t="shared" si="2"/>
        <v>98.639999999999986</v>
      </c>
    </row>
    <row r="59" spans="1:20" x14ac:dyDescent="0.25">
      <c r="A59" s="9">
        <v>43497</v>
      </c>
      <c r="B59" s="1">
        <v>43570</v>
      </c>
      <c r="C59" t="str">
        <f>INDEX(Balance!A:A,MATCH(D59,Balance!B:B,0))</f>
        <v>Fournisseurs</v>
      </c>
      <c r="D59" t="s">
        <v>262</v>
      </c>
      <c r="F59">
        <v>1191.9000000000001</v>
      </c>
      <c r="H59" s="3">
        <f t="shared" si="0"/>
        <v>198.64999999999998</v>
      </c>
      <c r="K59">
        <v>58</v>
      </c>
      <c r="L59">
        <v>1</v>
      </c>
      <c r="M59">
        <v>0</v>
      </c>
      <c r="P59">
        <f>VLOOKUP(D59,tab!A:B,2,FALSE)</f>
        <v>65</v>
      </c>
      <c r="R59">
        <f t="shared" si="1"/>
        <v>-1191.9000000000001</v>
      </c>
      <c r="S59">
        <v>20</v>
      </c>
      <c r="T59" s="13">
        <f t="shared" si="2"/>
        <v>198.64999999999998</v>
      </c>
    </row>
    <row r="60" spans="1:20" x14ac:dyDescent="0.25">
      <c r="A60" s="9">
        <v>43497</v>
      </c>
      <c r="B60" s="1">
        <v>43595</v>
      </c>
      <c r="C60" t="str">
        <f>INDEX(Balance!A:A,MATCH(D60,Balance!B:B,0))</f>
        <v>Fournisseurs</v>
      </c>
      <c r="D60" t="s">
        <v>288</v>
      </c>
      <c r="F60">
        <v>13.33</v>
      </c>
      <c r="H60" s="3">
        <f t="shared" si="0"/>
        <v>2.2216666666666658</v>
      </c>
      <c r="K60">
        <v>59</v>
      </c>
      <c r="L60">
        <v>1</v>
      </c>
      <c r="M60">
        <v>0</v>
      </c>
      <c r="P60">
        <f>VLOOKUP(D60,tab!A:B,2,FALSE)</f>
        <v>120</v>
      </c>
      <c r="R60">
        <f t="shared" si="1"/>
        <v>-13.33</v>
      </c>
      <c r="S60">
        <v>20</v>
      </c>
      <c r="T60" s="13">
        <f t="shared" si="2"/>
        <v>2.2216666666666658</v>
      </c>
    </row>
    <row r="61" spans="1:20" x14ac:dyDescent="0.25">
      <c r="A61" s="9">
        <v>43524</v>
      </c>
      <c r="B61" s="1">
        <v>43553</v>
      </c>
      <c r="C61" t="str">
        <f>INDEX(Balance!A:A,MATCH(D61,Balance!B:B,0))</f>
        <v>Client</v>
      </c>
      <c r="D61" t="s">
        <v>379</v>
      </c>
      <c r="E61" t="s">
        <v>65</v>
      </c>
      <c r="G61">
        <v>9720</v>
      </c>
      <c r="H61" s="3">
        <f t="shared" si="0"/>
        <v>-1620</v>
      </c>
      <c r="K61">
        <v>60</v>
      </c>
      <c r="L61">
        <v>1</v>
      </c>
      <c r="M61">
        <v>0</v>
      </c>
      <c r="P61">
        <f>VLOOKUP(D61,tab!A:B,2,FALSE)</f>
        <v>4</v>
      </c>
      <c r="R61">
        <f t="shared" si="1"/>
        <v>9720</v>
      </c>
      <c r="S61">
        <v>20</v>
      </c>
      <c r="T61" s="13">
        <f t="shared" si="2"/>
        <v>-1620</v>
      </c>
    </row>
    <row r="62" spans="1:20" x14ac:dyDescent="0.25">
      <c r="A62" s="9">
        <v>43524</v>
      </c>
      <c r="B62" s="1">
        <v>43553</v>
      </c>
      <c r="C62" t="str">
        <f>INDEX(Balance!A:A,MATCH(D62,Balance!B:B,0))</f>
        <v>Client</v>
      </c>
      <c r="D62" t="s">
        <v>379</v>
      </c>
      <c r="E62" t="s">
        <v>65</v>
      </c>
      <c r="G62">
        <v>5592</v>
      </c>
      <c r="H62" s="3">
        <f t="shared" si="0"/>
        <v>-932</v>
      </c>
      <c r="K62">
        <v>61</v>
      </c>
      <c r="L62">
        <v>1</v>
      </c>
      <c r="M62">
        <v>0</v>
      </c>
      <c r="P62">
        <f>VLOOKUP(D62,tab!A:B,2,FALSE)</f>
        <v>4</v>
      </c>
      <c r="R62">
        <f t="shared" si="1"/>
        <v>5592</v>
      </c>
      <c r="S62">
        <v>20</v>
      </c>
      <c r="T62" s="13">
        <f t="shared" si="2"/>
        <v>-932</v>
      </c>
    </row>
    <row r="63" spans="1:20" x14ac:dyDescent="0.25">
      <c r="A63" s="9">
        <v>43524</v>
      </c>
      <c r="B63" s="1">
        <v>43570</v>
      </c>
      <c r="C63" t="str">
        <f>INDEX(Balance!A:A,MATCH(D63,Balance!B:B,0))</f>
        <v>Client</v>
      </c>
      <c r="D63" t="s">
        <v>379</v>
      </c>
      <c r="G63">
        <v>13481.88</v>
      </c>
      <c r="H63" s="3">
        <f t="shared" si="0"/>
        <v>-2246.9799999999996</v>
      </c>
      <c r="K63">
        <v>62</v>
      </c>
      <c r="L63">
        <v>1</v>
      </c>
      <c r="M63">
        <v>0</v>
      </c>
      <c r="P63">
        <f>VLOOKUP(D63,tab!A:B,2,FALSE)</f>
        <v>4</v>
      </c>
      <c r="R63">
        <f t="shared" si="1"/>
        <v>13481.88</v>
      </c>
      <c r="S63">
        <v>20</v>
      </c>
      <c r="T63" s="13">
        <f t="shared" si="2"/>
        <v>-2246.9799999999996</v>
      </c>
    </row>
    <row r="64" spans="1:20" x14ac:dyDescent="0.25">
      <c r="A64" s="9">
        <v>43524</v>
      </c>
      <c r="B64" s="1">
        <v>43570</v>
      </c>
      <c r="C64" t="str">
        <f>INDEX(Balance!A:A,MATCH(D64,Balance!B:B,0))</f>
        <v>Client</v>
      </c>
      <c r="D64" t="s">
        <v>379</v>
      </c>
      <c r="G64">
        <v>8298</v>
      </c>
      <c r="H64" s="3">
        <f t="shared" si="0"/>
        <v>-1383</v>
      </c>
      <c r="K64">
        <v>63</v>
      </c>
      <c r="L64">
        <v>1</v>
      </c>
      <c r="M64">
        <v>0</v>
      </c>
      <c r="P64">
        <f>VLOOKUP(D64,tab!A:B,2,FALSE)</f>
        <v>4</v>
      </c>
      <c r="R64">
        <f t="shared" si="1"/>
        <v>8298</v>
      </c>
      <c r="S64">
        <v>20</v>
      </c>
      <c r="T64" s="13">
        <f t="shared" si="2"/>
        <v>-1383</v>
      </c>
    </row>
    <row r="65" spans="1:20" x14ac:dyDescent="0.25">
      <c r="A65" s="9">
        <v>43524</v>
      </c>
      <c r="B65" s="1">
        <v>43570</v>
      </c>
      <c r="C65" t="str">
        <f>INDEX(Balance!A:A,MATCH(D65,Balance!B:B,0))</f>
        <v>Client</v>
      </c>
      <c r="D65" t="s">
        <v>370</v>
      </c>
      <c r="G65">
        <v>5008.6000000000004</v>
      </c>
      <c r="H65" s="3">
        <f t="shared" si="0"/>
        <v>-834.76666666666642</v>
      </c>
      <c r="K65">
        <v>64</v>
      </c>
      <c r="L65">
        <v>1</v>
      </c>
      <c r="M65">
        <v>0</v>
      </c>
      <c r="P65">
        <f>VLOOKUP(D65,tab!A:B,2,FALSE)</f>
        <v>9</v>
      </c>
      <c r="R65">
        <f t="shared" si="1"/>
        <v>5008.6000000000004</v>
      </c>
      <c r="S65">
        <v>20</v>
      </c>
      <c r="T65" s="13">
        <f t="shared" si="2"/>
        <v>-834.76666666666642</v>
      </c>
    </row>
    <row r="66" spans="1:20" x14ac:dyDescent="0.25">
      <c r="A66" s="9">
        <v>43524</v>
      </c>
      <c r="B66" s="1">
        <v>43570</v>
      </c>
      <c r="C66" t="str">
        <f>INDEX(Balance!A:A,MATCH(D66,Balance!B:B,0))</f>
        <v>Client</v>
      </c>
      <c r="D66" t="s">
        <v>379</v>
      </c>
      <c r="G66">
        <v>2220</v>
      </c>
      <c r="H66" s="3">
        <f t="shared" si="0"/>
        <v>-370</v>
      </c>
      <c r="K66">
        <v>65</v>
      </c>
      <c r="L66">
        <v>1</v>
      </c>
      <c r="M66">
        <v>0</v>
      </c>
      <c r="P66">
        <f>VLOOKUP(D66,tab!A:B,2,FALSE)</f>
        <v>4</v>
      </c>
      <c r="R66">
        <f t="shared" si="1"/>
        <v>2220</v>
      </c>
      <c r="S66">
        <v>20</v>
      </c>
      <c r="T66" s="13">
        <f t="shared" si="2"/>
        <v>-370</v>
      </c>
    </row>
    <row r="67" spans="1:20" x14ac:dyDescent="0.25">
      <c r="A67" s="9">
        <v>43524</v>
      </c>
      <c r="B67" s="1">
        <v>43570</v>
      </c>
      <c r="C67" t="str">
        <f>INDEX(Balance!A:A,MATCH(D67,Balance!B:B,0))</f>
        <v>Client</v>
      </c>
      <c r="D67" t="s">
        <v>379</v>
      </c>
      <c r="E67" t="s">
        <v>308</v>
      </c>
      <c r="G67">
        <v>432</v>
      </c>
      <c r="H67" s="3">
        <f t="shared" si="0"/>
        <v>-72</v>
      </c>
      <c r="K67">
        <v>66</v>
      </c>
      <c r="L67">
        <v>1</v>
      </c>
      <c r="M67">
        <v>0</v>
      </c>
      <c r="P67">
        <f>VLOOKUP(D67,tab!A:B,2,FALSE)</f>
        <v>4</v>
      </c>
      <c r="R67">
        <f t="shared" ref="R67:R130" si="3">G67-F67</f>
        <v>432</v>
      </c>
      <c r="S67">
        <v>20</v>
      </c>
      <c r="T67" s="13">
        <f t="shared" ref="T67:T130" si="4">H67</f>
        <v>-72</v>
      </c>
    </row>
    <row r="68" spans="1:20" x14ac:dyDescent="0.25">
      <c r="A68" s="9">
        <v>43525</v>
      </c>
      <c r="B68" s="1">
        <v>43529</v>
      </c>
      <c r="C68" t="str">
        <f>INDEX(Balance!A:A,MATCH(D68,Balance!B:B,0))</f>
        <v>Client</v>
      </c>
      <c r="D68" t="s">
        <v>427</v>
      </c>
      <c r="E68" t="s">
        <v>304</v>
      </c>
      <c r="G68">
        <v>720</v>
      </c>
      <c r="H68" s="3">
        <f t="shared" ref="H68:H118" si="5">IF(F68&gt;0,F68-(F68/TVA),-(G68-(G68/TVA)))</f>
        <v>-120</v>
      </c>
      <c r="K68">
        <v>67</v>
      </c>
      <c r="L68">
        <v>1</v>
      </c>
      <c r="M68">
        <v>0</v>
      </c>
      <c r="P68">
        <f>VLOOKUP(D68,tab!A:B,2,FALSE)</f>
        <v>2</v>
      </c>
      <c r="R68">
        <f t="shared" si="3"/>
        <v>720</v>
      </c>
      <c r="S68">
        <v>20</v>
      </c>
      <c r="T68" s="13">
        <f t="shared" si="4"/>
        <v>-120</v>
      </c>
    </row>
    <row r="69" spans="1:20" x14ac:dyDescent="0.25">
      <c r="A69" s="9">
        <v>43525</v>
      </c>
      <c r="B69" s="1">
        <v>43535</v>
      </c>
      <c r="C69" t="str">
        <f>INDEX(Balance!A:A,MATCH(D69,Balance!B:B,0))</f>
        <v>Depense</v>
      </c>
      <c r="D69" t="s">
        <v>255</v>
      </c>
      <c r="E69" t="s">
        <v>113</v>
      </c>
      <c r="F69">
        <v>1300</v>
      </c>
      <c r="H69" s="3">
        <f t="shared" si="5"/>
        <v>216.66666666666652</v>
      </c>
      <c r="K69">
        <v>68</v>
      </c>
      <c r="L69">
        <v>1</v>
      </c>
      <c r="M69">
        <v>0</v>
      </c>
      <c r="P69">
        <f>VLOOKUP(D69,tab!A:B,2,FALSE)</f>
        <v>20</v>
      </c>
      <c r="R69">
        <f t="shared" si="3"/>
        <v>-1300</v>
      </c>
      <c r="S69">
        <v>20</v>
      </c>
      <c r="T69" s="13">
        <f t="shared" si="4"/>
        <v>216.66666666666652</v>
      </c>
    </row>
    <row r="70" spans="1:20" x14ac:dyDescent="0.25">
      <c r="A70" s="9">
        <v>43525</v>
      </c>
      <c r="B70" s="1">
        <v>43536</v>
      </c>
      <c r="C70" t="str">
        <f>INDEX(Balance!A:A,MATCH(D70,Balance!B:B,0))</f>
        <v>Fournisseurs</v>
      </c>
      <c r="D70" t="s">
        <v>292</v>
      </c>
      <c r="E70" t="s">
        <v>81</v>
      </c>
      <c r="F70">
        <v>78.16</v>
      </c>
      <c r="H70" s="3">
        <f t="shared" si="5"/>
        <v>13.026666666666657</v>
      </c>
      <c r="K70">
        <v>69</v>
      </c>
      <c r="L70">
        <v>1</v>
      </c>
      <c r="M70">
        <v>0</v>
      </c>
      <c r="P70">
        <f>VLOOKUP(D70,tab!A:B,2,FALSE)</f>
        <v>34</v>
      </c>
      <c r="R70">
        <f t="shared" si="3"/>
        <v>-78.16</v>
      </c>
      <c r="S70">
        <v>20</v>
      </c>
      <c r="T70" s="13">
        <f t="shared" si="4"/>
        <v>13.026666666666657</v>
      </c>
    </row>
    <row r="71" spans="1:20" x14ac:dyDescent="0.25">
      <c r="A71" s="9">
        <v>43525</v>
      </c>
      <c r="B71" s="1">
        <v>43552</v>
      </c>
      <c r="C71" t="str">
        <f>INDEX(Balance!A:A,MATCH(D71,Balance!B:B,0))</f>
        <v>Fournisseurs</v>
      </c>
      <c r="D71" t="s">
        <v>296</v>
      </c>
      <c r="E71" t="s">
        <v>305</v>
      </c>
      <c r="F71">
        <v>300</v>
      </c>
      <c r="H71" s="3">
        <f t="shared" si="5"/>
        <v>50</v>
      </c>
      <c r="K71">
        <v>70</v>
      </c>
      <c r="L71">
        <v>1</v>
      </c>
      <c r="M71">
        <v>0</v>
      </c>
      <c r="P71">
        <f>VLOOKUP(D71,tab!A:B,2,FALSE)</f>
        <v>78</v>
      </c>
      <c r="R71">
        <f t="shared" si="3"/>
        <v>-300</v>
      </c>
      <c r="S71">
        <v>20</v>
      </c>
      <c r="T71" s="13">
        <f t="shared" si="4"/>
        <v>50</v>
      </c>
    </row>
    <row r="72" spans="1:20" x14ac:dyDescent="0.25">
      <c r="A72" s="9">
        <v>43525</v>
      </c>
      <c r="B72" s="1">
        <v>43553</v>
      </c>
      <c r="C72" t="str">
        <f>INDEX(Balance!A:A,MATCH(D72,Balance!B:B,0))</f>
        <v>Fournisseurs</v>
      </c>
      <c r="D72" t="s">
        <v>297</v>
      </c>
      <c r="E72" t="s">
        <v>306</v>
      </c>
      <c r="F72">
        <v>37</v>
      </c>
      <c r="H72" s="3">
        <f t="shared" si="5"/>
        <v>6.1666666666666643</v>
      </c>
      <c r="K72">
        <v>71</v>
      </c>
      <c r="L72">
        <v>1</v>
      </c>
      <c r="M72">
        <v>0</v>
      </c>
      <c r="P72">
        <f>VLOOKUP(D72,tab!A:B,2,FALSE)</f>
        <v>48</v>
      </c>
      <c r="R72">
        <f t="shared" si="3"/>
        <v>-37</v>
      </c>
      <c r="S72">
        <v>20</v>
      </c>
      <c r="T72" s="13">
        <f t="shared" si="4"/>
        <v>6.1666666666666643</v>
      </c>
    </row>
    <row r="73" spans="1:20" x14ac:dyDescent="0.25">
      <c r="A73" s="9">
        <v>43525</v>
      </c>
      <c r="B73" s="1">
        <v>43570</v>
      </c>
      <c r="C73" t="str">
        <f>INDEX(Balance!A:A,MATCH(D73,Balance!B:B,0))</f>
        <v>Fournisseurs</v>
      </c>
      <c r="D73" t="s">
        <v>262</v>
      </c>
      <c r="F73">
        <v>328.8</v>
      </c>
      <c r="H73" s="3">
        <f t="shared" si="5"/>
        <v>54.800000000000011</v>
      </c>
      <c r="K73">
        <v>72</v>
      </c>
      <c r="L73">
        <v>1</v>
      </c>
      <c r="M73">
        <v>0</v>
      </c>
      <c r="P73">
        <f>VLOOKUP(D73,tab!A:B,2,FALSE)</f>
        <v>65</v>
      </c>
      <c r="R73">
        <f t="shared" si="3"/>
        <v>-328.8</v>
      </c>
      <c r="S73">
        <v>20</v>
      </c>
      <c r="T73" s="13">
        <f t="shared" si="4"/>
        <v>54.800000000000011</v>
      </c>
    </row>
    <row r="74" spans="1:20" x14ac:dyDescent="0.25">
      <c r="A74" s="9">
        <v>43525</v>
      </c>
      <c r="B74" s="1">
        <v>43570</v>
      </c>
      <c r="C74" t="str">
        <f>INDEX(Balance!A:A,MATCH(D74,Balance!B:B,0))</f>
        <v>Fournisseurs</v>
      </c>
      <c r="D74" t="s">
        <v>262</v>
      </c>
      <c r="F74">
        <v>501.42</v>
      </c>
      <c r="H74" s="3">
        <f t="shared" si="5"/>
        <v>83.57</v>
      </c>
      <c r="K74">
        <v>73</v>
      </c>
      <c r="L74">
        <v>1</v>
      </c>
      <c r="M74">
        <v>0</v>
      </c>
      <c r="P74">
        <f>VLOOKUP(D74,tab!A:B,2,FALSE)</f>
        <v>65</v>
      </c>
      <c r="R74">
        <f t="shared" si="3"/>
        <v>-501.42</v>
      </c>
      <c r="S74">
        <v>20</v>
      </c>
      <c r="T74" s="13">
        <f t="shared" si="4"/>
        <v>83.57</v>
      </c>
    </row>
    <row r="75" spans="1:20" x14ac:dyDescent="0.25">
      <c r="A75" s="9">
        <v>43525</v>
      </c>
      <c r="B75" s="1">
        <v>43585</v>
      </c>
      <c r="C75" t="str">
        <f>INDEX(Balance!A:A,MATCH(D75,Balance!B:B,0))</f>
        <v>Prorata</v>
      </c>
      <c r="D75" t="s">
        <v>283</v>
      </c>
      <c r="F75">
        <v>86.87</v>
      </c>
      <c r="H75" s="3">
        <f t="shared" si="5"/>
        <v>14.478333333333325</v>
      </c>
      <c r="K75">
        <v>74</v>
      </c>
      <c r="L75">
        <v>1</v>
      </c>
      <c r="M75">
        <v>0</v>
      </c>
      <c r="P75">
        <f>VLOOKUP(D75,tab!A:B,2,FALSE)</f>
        <v>124</v>
      </c>
      <c r="R75">
        <f t="shared" si="3"/>
        <v>-86.87</v>
      </c>
      <c r="S75">
        <v>20</v>
      </c>
      <c r="T75" s="13">
        <f t="shared" si="4"/>
        <v>14.478333333333325</v>
      </c>
    </row>
    <row r="76" spans="1:20" x14ac:dyDescent="0.25">
      <c r="A76" s="9">
        <v>43525</v>
      </c>
      <c r="B76" s="1">
        <v>43585</v>
      </c>
      <c r="C76" t="str">
        <f>INDEX(Balance!A:A,MATCH(D76,Balance!B:B,0))</f>
        <v>Fournisseurs</v>
      </c>
      <c r="D76" t="s">
        <v>289</v>
      </c>
      <c r="F76">
        <v>244.32</v>
      </c>
      <c r="H76" s="3">
        <f t="shared" si="5"/>
        <v>40.72</v>
      </c>
      <c r="K76">
        <v>75</v>
      </c>
      <c r="L76">
        <v>1</v>
      </c>
      <c r="M76">
        <v>0</v>
      </c>
      <c r="P76">
        <f>VLOOKUP(D76,tab!A:B,2,FALSE)</f>
        <v>57</v>
      </c>
      <c r="R76">
        <f t="shared" si="3"/>
        <v>-244.32</v>
      </c>
      <c r="S76">
        <v>20</v>
      </c>
      <c r="T76" s="13">
        <f t="shared" si="4"/>
        <v>40.72</v>
      </c>
    </row>
    <row r="77" spans="1:20" x14ac:dyDescent="0.25">
      <c r="A77" s="9">
        <v>43525</v>
      </c>
      <c r="B77" s="1">
        <v>43585</v>
      </c>
      <c r="C77" t="str">
        <f>INDEX(Balance!A:A,MATCH(D77,Balance!B:B,0))</f>
        <v>Fournisseurs</v>
      </c>
      <c r="D77" t="s">
        <v>300</v>
      </c>
      <c r="F77">
        <v>310.3</v>
      </c>
      <c r="H77" s="3">
        <f t="shared" si="5"/>
        <v>51.71666666666664</v>
      </c>
      <c r="K77">
        <v>76</v>
      </c>
      <c r="L77">
        <v>1</v>
      </c>
      <c r="M77">
        <v>0</v>
      </c>
      <c r="P77">
        <f>VLOOKUP(D77,tab!A:B,2,FALSE)</f>
        <v>107</v>
      </c>
      <c r="R77">
        <f t="shared" si="3"/>
        <v>-310.3</v>
      </c>
      <c r="S77">
        <v>20</v>
      </c>
      <c r="T77" s="13">
        <f t="shared" si="4"/>
        <v>51.71666666666664</v>
      </c>
    </row>
    <row r="78" spans="1:20" x14ac:dyDescent="0.25">
      <c r="A78" s="9">
        <v>43525</v>
      </c>
      <c r="B78" s="1">
        <v>43585</v>
      </c>
      <c r="C78" t="str">
        <f>INDEX(Balance!A:A,MATCH(D78,Balance!B:B,0))</f>
        <v>Fournisseurs</v>
      </c>
      <c r="D78" t="s">
        <v>259</v>
      </c>
      <c r="F78">
        <v>336.12</v>
      </c>
      <c r="H78" s="3">
        <f t="shared" si="5"/>
        <v>56.019999999999982</v>
      </c>
      <c r="K78">
        <v>77</v>
      </c>
      <c r="L78">
        <v>1</v>
      </c>
      <c r="M78">
        <v>0</v>
      </c>
      <c r="P78">
        <f>VLOOKUP(D78,tab!A:B,2,FALSE)</f>
        <v>72</v>
      </c>
      <c r="R78">
        <f t="shared" si="3"/>
        <v>-336.12</v>
      </c>
      <c r="S78">
        <v>20</v>
      </c>
      <c r="T78" s="13">
        <f t="shared" si="4"/>
        <v>56.019999999999982</v>
      </c>
    </row>
    <row r="79" spans="1:20" x14ac:dyDescent="0.25">
      <c r="A79" s="9">
        <v>43525</v>
      </c>
      <c r="B79" s="1">
        <v>43585</v>
      </c>
      <c r="C79" t="str">
        <f>INDEX(Balance!A:A,MATCH(D79,Balance!B:B,0))</f>
        <v>Prorata</v>
      </c>
      <c r="D79" t="s">
        <v>301</v>
      </c>
      <c r="F79">
        <v>360.91</v>
      </c>
      <c r="H79" s="3">
        <f t="shared" si="5"/>
        <v>60.151666666666642</v>
      </c>
      <c r="K79">
        <v>78</v>
      </c>
      <c r="L79">
        <v>1</v>
      </c>
      <c r="M79">
        <v>0</v>
      </c>
      <c r="P79">
        <f>VLOOKUP(D79,tab!A:B,2,FALSE)</f>
        <v>123</v>
      </c>
      <c r="R79">
        <f t="shared" si="3"/>
        <v>-360.91</v>
      </c>
      <c r="S79">
        <v>20</v>
      </c>
      <c r="T79" s="13">
        <f t="shared" si="4"/>
        <v>60.151666666666642</v>
      </c>
    </row>
    <row r="80" spans="1:20" x14ac:dyDescent="0.25">
      <c r="A80" s="9">
        <v>43525</v>
      </c>
      <c r="B80" s="1">
        <v>43585</v>
      </c>
      <c r="C80" t="str">
        <f>INDEX(Balance!A:A,MATCH(D80,Balance!B:B,0))</f>
        <v>Fournisseurs</v>
      </c>
      <c r="D80" t="s">
        <v>276</v>
      </c>
      <c r="F80">
        <v>367.73</v>
      </c>
      <c r="H80" s="3">
        <f t="shared" si="5"/>
        <v>61.288333333333298</v>
      </c>
      <c r="K80">
        <v>79</v>
      </c>
      <c r="L80">
        <v>1</v>
      </c>
      <c r="M80">
        <v>0</v>
      </c>
      <c r="P80">
        <f>VLOOKUP(D80,tab!A:B,2,FALSE)</f>
        <v>114</v>
      </c>
      <c r="R80">
        <f t="shared" si="3"/>
        <v>-367.73</v>
      </c>
      <c r="S80">
        <v>20</v>
      </c>
      <c r="T80" s="13">
        <f t="shared" si="4"/>
        <v>61.288333333333298</v>
      </c>
    </row>
    <row r="81" spans="1:20" x14ac:dyDescent="0.25">
      <c r="A81" s="9">
        <v>43525</v>
      </c>
      <c r="B81" s="1">
        <v>43585</v>
      </c>
      <c r="C81" t="str">
        <f>INDEX(Balance!A:A,MATCH(D81,Balance!B:B,0))</f>
        <v>Prorata</v>
      </c>
      <c r="D81" t="s">
        <v>302</v>
      </c>
      <c r="F81">
        <v>448.01</v>
      </c>
      <c r="H81" s="3">
        <f t="shared" si="5"/>
        <v>74.668333333333294</v>
      </c>
      <c r="K81">
        <v>80</v>
      </c>
      <c r="L81">
        <v>1</v>
      </c>
      <c r="M81">
        <v>0</v>
      </c>
      <c r="P81">
        <f>VLOOKUP(D81,tab!A:B,2,FALSE)</f>
        <v>125</v>
      </c>
      <c r="R81">
        <f t="shared" si="3"/>
        <v>-448.01</v>
      </c>
      <c r="S81">
        <v>20</v>
      </c>
      <c r="T81" s="13">
        <f t="shared" si="4"/>
        <v>74.668333333333294</v>
      </c>
    </row>
    <row r="82" spans="1:20" x14ac:dyDescent="0.25">
      <c r="A82" s="9">
        <v>43525</v>
      </c>
      <c r="B82" s="1">
        <v>43585</v>
      </c>
      <c r="C82" t="str">
        <f>INDEX(Balance!A:A,MATCH(D82,Balance!B:B,0))</f>
        <v>Fournisseurs</v>
      </c>
      <c r="D82" t="s">
        <v>261</v>
      </c>
      <c r="F82">
        <v>552</v>
      </c>
      <c r="H82" s="3">
        <f t="shared" si="5"/>
        <v>92</v>
      </c>
      <c r="K82">
        <v>81</v>
      </c>
      <c r="L82">
        <v>1</v>
      </c>
      <c r="M82">
        <v>0</v>
      </c>
      <c r="P82">
        <f>VLOOKUP(D82,tab!A:B,2,FALSE)</f>
        <v>53</v>
      </c>
      <c r="R82">
        <f t="shared" si="3"/>
        <v>-552</v>
      </c>
      <c r="S82">
        <v>20</v>
      </c>
      <c r="T82" s="13">
        <f t="shared" si="4"/>
        <v>92</v>
      </c>
    </row>
    <row r="83" spans="1:20" x14ac:dyDescent="0.25">
      <c r="A83" s="9">
        <v>43525</v>
      </c>
      <c r="B83" s="1">
        <v>43585</v>
      </c>
      <c r="C83" t="str">
        <f>INDEX(Balance!A:A,MATCH(D83,Balance!B:B,0))</f>
        <v>Fournisseurs</v>
      </c>
      <c r="D83" t="s">
        <v>261</v>
      </c>
      <c r="F83">
        <v>1020</v>
      </c>
      <c r="H83" s="3">
        <f t="shared" si="5"/>
        <v>170</v>
      </c>
      <c r="K83">
        <v>82</v>
      </c>
      <c r="L83">
        <v>1</v>
      </c>
      <c r="M83">
        <v>0</v>
      </c>
      <c r="P83">
        <f>VLOOKUP(D83,tab!A:B,2,FALSE)</f>
        <v>53</v>
      </c>
      <c r="R83">
        <f t="shared" si="3"/>
        <v>-1020</v>
      </c>
      <c r="S83">
        <v>20</v>
      </c>
      <c r="T83" s="13">
        <f t="shared" si="4"/>
        <v>170</v>
      </c>
    </row>
    <row r="84" spans="1:20" x14ac:dyDescent="0.25">
      <c r="A84" s="9">
        <v>43525</v>
      </c>
      <c r="B84" s="1">
        <v>43585</v>
      </c>
      <c r="C84" t="str">
        <f>INDEX(Balance!A:A,MATCH(D84,Balance!B:B,0))</f>
        <v>Fournisseurs</v>
      </c>
      <c r="D84" t="s">
        <v>303</v>
      </c>
      <c r="F84">
        <v>1169.4000000000001</v>
      </c>
      <c r="H84" s="3">
        <f t="shared" si="5"/>
        <v>194.89999999999998</v>
      </c>
      <c r="K84">
        <v>83</v>
      </c>
      <c r="L84">
        <v>1</v>
      </c>
      <c r="M84">
        <v>0</v>
      </c>
      <c r="P84">
        <f>VLOOKUP(D84,tab!A:B,2,FALSE)</f>
        <v>91</v>
      </c>
      <c r="R84">
        <f t="shared" si="3"/>
        <v>-1169.4000000000001</v>
      </c>
      <c r="S84">
        <v>20</v>
      </c>
      <c r="T84" s="13">
        <f t="shared" si="4"/>
        <v>194.89999999999998</v>
      </c>
    </row>
    <row r="85" spans="1:20" x14ac:dyDescent="0.25">
      <c r="A85" s="9">
        <v>43525</v>
      </c>
      <c r="B85" s="1">
        <v>43592</v>
      </c>
      <c r="C85" t="str">
        <f>INDEX(Balance!A:A,MATCH(D85,Balance!B:B,0))</f>
        <v>Fournisseurs</v>
      </c>
      <c r="D85" t="s">
        <v>277</v>
      </c>
      <c r="F85">
        <v>273.58999999999997</v>
      </c>
      <c r="H85" s="3">
        <f t="shared" si="5"/>
        <v>45.598333333333329</v>
      </c>
      <c r="K85">
        <v>84</v>
      </c>
      <c r="L85">
        <v>1</v>
      </c>
      <c r="M85">
        <v>0</v>
      </c>
      <c r="P85">
        <f>VLOOKUP(D85,tab!A:B,2,FALSE)</f>
        <v>62</v>
      </c>
      <c r="R85">
        <f t="shared" si="3"/>
        <v>-273.58999999999997</v>
      </c>
      <c r="S85">
        <v>20</v>
      </c>
      <c r="T85" s="13">
        <f t="shared" si="4"/>
        <v>45.598333333333329</v>
      </c>
    </row>
    <row r="86" spans="1:20" x14ac:dyDescent="0.25">
      <c r="A86" s="9">
        <v>43525</v>
      </c>
      <c r="B86" s="1">
        <v>43598</v>
      </c>
      <c r="C86" t="str">
        <f>INDEX(Balance!A:A,MATCH(D86,Balance!B:B,0))</f>
        <v>Fournisseurs</v>
      </c>
      <c r="D86" t="s">
        <v>277</v>
      </c>
      <c r="F86">
        <v>215.3</v>
      </c>
      <c r="H86" s="3">
        <f t="shared" si="5"/>
        <v>35.883333333333326</v>
      </c>
      <c r="K86">
        <v>85</v>
      </c>
      <c r="L86">
        <v>1</v>
      </c>
      <c r="M86">
        <v>0</v>
      </c>
      <c r="P86">
        <f>VLOOKUP(D86,tab!A:B,2,FALSE)</f>
        <v>62</v>
      </c>
      <c r="R86">
        <f t="shared" si="3"/>
        <v>-215.3</v>
      </c>
      <c r="S86">
        <v>20</v>
      </c>
      <c r="T86" s="13">
        <f t="shared" si="4"/>
        <v>35.883333333333326</v>
      </c>
    </row>
    <row r="87" spans="1:20" x14ac:dyDescent="0.25">
      <c r="A87" s="9">
        <v>43525</v>
      </c>
      <c r="B87" s="1">
        <v>43602</v>
      </c>
      <c r="C87" t="str">
        <f>INDEX(Balance!A:A,MATCH(D87,Balance!B:B,0))</f>
        <v>Fournisseurs</v>
      </c>
      <c r="D87" t="s">
        <v>277</v>
      </c>
      <c r="F87">
        <v>106.86</v>
      </c>
      <c r="H87" s="3">
        <f t="shared" si="5"/>
        <v>17.810000000000002</v>
      </c>
      <c r="K87">
        <v>86</v>
      </c>
      <c r="L87">
        <v>1</v>
      </c>
      <c r="M87">
        <v>0</v>
      </c>
      <c r="P87">
        <f>VLOOKUP(D87,tab!A:B,2,FALSE)</f>
        <v>62</v>
      </c>
      <c r="R87">
        <f t="shared" si="3"/>
        <v>-106.86</v>
      </c>
      <c r="S87">
        <v>20</v>
      </c>
      <c r="T87" s="13">
        <f t="shared" si="4"/>
        <v>17.810000000000002</v>
      </c>
    </row>
    <row r="88" spans="1:20" x14ac:dyDescent="0.25">
      <c r="A88" s="9">
        <v>43554</v>
      </c>
      <c r="B88" s="1">
        <v>43585</v>
      </c>
      <c r="C88" t="str">
        <f>INDEX(Balance!A:A,MATCH(D88,Balance!B:B,0))</f>
        <v>Client</v>
      </c>
      <c r="D88" t="s">
        <v>366</v>
      </c>
      <c r="E88" t="s">
        <v>536</v>
      </c>
      <c r="G88">
        <v>1500</v>
      </c>
      <c r="H88" s="3">
        <f t="shared" si="5"/>
        <v>-250</v>
      </c>
      <c r="K88">
        <v>87</v>
      </c>
      <c r="L88">
        <v>1</v>
      </c>
      <c r="M88">
        <v>0</v>
      </c>
      <c r="P88">
        <f>VLOOKUP(D88,tab!A:B,2,FALSE)</f>
        <v>5</v>
      </c>
      <c r="R88">
        <f t="shared" si="3"/>
        <v>1500</v>
      </c>
      <c r="S88">
        <v>20</v>
      </c>
      <c r="T88" s="13">
        <f t="shared" si="4"/>
        <v>-250</v>
      </c>
    </row>
    <row r="89" spans="1:20" x14ac:dyDescent="0.25">
      <c r="A89" s="9">
        <v>43554</v>
      </c>
      <c r="B89" s="1">
        <v>43585</v>
      </c>
      <c r="C89" t="str">
        <f>INDEX(Balance!A:A,MATCH(D89,Balance!B:B,0))</f>
        <v>Client</v>
      </c>
      <c r="D89" t="s">
        <v>370</v>
      </c>
      <c r="E89" t="s">
        <v>537</v>
      </c>
      <c r="G89">
        <v>14025.3</v>
      </c>
      <c r="H89" s="3">
        <f t="shared" si="5"/>
        <v>-2337.5499999999993</v>
      </c>
      <c r="K89">
        <v>88</v>
      </c>
      <c r="L89">
        <v>1</v>
      </c>
      <c r="M89">
        <v>0</v>
      </c>
      <c r="P89">
        <f>VLOOKUP(D89,tab!A:B,2,FALSE)</f>
        <v>9</v>
      </c>
      <c r="R89">
        <f t="shared" si="3"/>
        <v>14025.3</v>
      </c>
      <c r="S89">
        <v>20</v>
      </c>
      <c r="T89" s="13">
        <f t="shared" si="4"/>
        <v>-2337.5499999999993</v>
      </c>
    </row>
    <row r="90" spans="1:20" x14ac:dyDescent="0.25">
      <c r="A90" s="9">
        <v>43554</v>
      </c>
      <c r="B90" s="1">
        <v>43585</v>
      </c>
      <c r="C90" t="str">
        <f>INDEX(Balance!A:A,MATCH(D90,Balance!B:B,0))</f>
        <v>Fournisseurs</v>
      </c>
      <c r="D90" t="s">
        <v>434</v>
      </c>
      <c r="E90" t="s">
        <v>538</v>
      </c>
      <c r="G90">
        <v>1560</v>
      </c>
      <c r="H90" s="3">
        <f t="shared" si="5"/>
        <v>-260</v>
      </c>
      <c r="K90">
        <v>89</v>
      </c>
      <c r="L90">
        <v>1</v>
      </c>
      <c r="M90">
        <v>0</v>
      </c>
      <c r="P90">
        <f>VLOOKUP(D90,tab!A:B,2,FALSE)</f>
        <v>89</v>
      </c>
      <c r="R90">
        <f t="shared" si="3"/>
        <v>1560</v>
      </c>
      <c r="S90">
        <v>20</v>
      </c>
      <c r="T90" s="13">
        <f t="shared" si="4"/>
        <v>-260</v>
      </c>
    </row>
    <row r="91" spans="1:20" x14ac:dyDescent="0.25">
      <c r="A91" s="9">
        <v>43554</v>
      </c>
      <c r="B91" s="1">
        <v>43585</v>
      </c>
      <c r="C91" t="str">
        <f>INDEX(Balance!A:A,MATCH(D91,Balance!B:B,0))</f>
        <v>Client</v>
      </c>
      <c r="D91" t="s">
        <v>534</v>
      </c>
      <c r="E91" t="s">
        <v>539</v>
      </c>
      <c r="G91">
        <v>9019.2000000000007</v>
      </c>
      <c r="H91" s="3">
        <f t="shared" si="5"/>
        <v>-1503.1999999999998</v>
      </c>
      <c r="K91">
        <v>90</v>
      </c>
      <c r="L91">
        <v>1</v>
      </c>
      <c r="M91">
        <v>0</v>
      </c>
      <c r="P91">
        <f>VLOOKUP(D91,tab!A:B,2,FALSE)</f>
        <v>3</v>
      </c>
      <c r="R91">
        <f t="shared" si="3"/>
        <v>9019.2000000000007</v>
      </c>
      <c r="S91">
        <v>20</v>
      </c>
      <c r="T91" s="13">
        <f t="shared" si="4"/>
        <v>-1503.1999999999998</v>
      </c>
    </row>
    <row r="92" spans="1:20" x14ac:dyDescent="0.25">
      <c r="A92" s="9">
        <v>43554</v>
      </c>
      <c r="B92" s="1">
        <v>43585</v>
      </c>
      <c r="C92" t="str">
        <f>INDEX(Balance!A:A,MATCH(D92,Balance!B:B,0))</f>
        <v>Recette</v>
      </c>
      <c r="D92" t="s">
        <v>540</v>
      </c>
      <c r="E92" t="s">
        <v>541</v>
      </c>
      <c r="G92">
        <v>738</v>
      </c>
      <c r="H92" s="3">
        <f t="shared" si="5"/>
        <v>-123</v>
      </c>
      <c r="K92">
        <v>91</v>
      </c>
      <c r="L92">
        <v>1</v>
      </c>
      <c r="M92">
        <v>0</v>
      </c>
      <c r="P92">
        <f>VLOOKUP(D92,tab!A:B,2,FALSE)</f>
        <v>126</v>
      </c>
      <c r="R92">
        <f t="shared" si="3"/>
        <v>738</v>
      </c>
      <c r="S92">
        <v>20</v>
      </c>
      <c r="T92" s="13">
        <f t="shared" si="4"/>
        <v>-123</v>
      </c>
    </row>
    <row r="93" spans="1:20" x14ac:dyDescent="0.25">
      <c r="A93" s="9">
        <v>43554</v>
      </c>
      <c r="B93" s="1">
        <v>43585</v>
      </c>
      <c r="C93" t="str">
        <f>INDEX(Balance!A:A,MATCH(D93,Balance!B:B,0))</f>
        <v>Recette</v>
      </c>
      <c r="D93" t="s">
        <v>540</v>
      </c>
      <c r="E93" t="s">
        <v>542</v>
      </c>
      <c r="G93">
        <v>864</v>
      </c>
      <c r="H93" s="3">
        <f t="shared" si="5"/>
        <v>-144</v>
      </c>
      <c r="K93">
        <v>92</v>
      </c>
      <c r="L93">
        <v>1</v>
      </c>
      <c r="M93">
        <v>0</v>
      </c>
      <c r="P93">
        <f>VLOOKUP(D93,tab!A:B,2,FALSE)</f>
        <v>126</v>
      </c>
      <c r="R93">
        <f t="shared" si="3"/>
        <v>864</v>
      </c>
      <c r="S93">
        <v>20</v>
      </c>
      <c r="T93" s="13">
        <f t="shared" si="4"/>
        <v>-144</v>
      </c>
    </row>
    <row r="94" spans="1:20" x14ac:dyDescent="0.25">
      <c r="A94" s="9">
        <v>43554</v>
      </c>
      <c r="B94" s="1">
        <v>43585</v>
      </c>
      <c r="C94" t="str">
        <f>INDEX(Balance!A:A,MATCH(D94,Balance!B:B,0))</f>
        <v>Client</v>
      </c>
      <c r="D94" t="s">
        <v>430</v>
      </c>
      <c r="E94" t="s">
        <v>589</v>
      </c>
      <c r="G94">
        <v>0</v>
      </c>
      <c r="H94" s="3">
        <f t="shared" si="5"/>
        <v>0</v>
      </c>
      <c r="K94">
        <v>93</v>
      </c>
      <c r="L94">
        <v>1</v>
      </c>
      <c r="M94">
        <v>0</v>
      </c>
      <c r="P94">
        <f>VLOOKUP(D94,tab!A:B,2,FALSE)</f>
        <v>7</v>
      </c>
      <c r="R94">
        <f t="shared" si="3"/>
        <v>0</v>
      </c>
      <c r="S94">
        <v>20</v>
      </c>
      <c r="T94" s="13">
        <f t="shared" si="4"/>
        <v>0</v>
      </c>
    </row>
    <row r="95" spans="1:20" x14ac:dyDescent="0.25">
      <c r="A95" s="9">
        <v>43554</v>
      </c>
      <c r="B95" s="1">
        <v>43570</v>
      </c>
      <c r="C95" t="str">
        <f>INDEX(Balance!A:A,MATCH(D95,Balance!B:B,0))</f>
        <v>Client</v>
      </c>
      <c r="D95" t="s">
        <v>379</v>
      </c>
      <c r="E95" t="s">
        <v>543</v>
      </c>
      <c r="G95">
        <v>3900</v>
      </c>
      <c r="H95" s="3">
        <f t="shared" si="5"/>
        <v>-650</v>
      </c>
      <c r="K95">
        <v>94</v>
      </c>
      <c r="L95">
        <v>1</v>
      </c>
      <c r="M95">
        <v>0</v>
      </c>
      <c r="P95">
        <f>VLOOKUP(D95,tab!A:B,2,FALSE)</f>
        <v>4</v>
      </c>
      <c r="R95">
        <f t="shared" si="3"/>
        <v>3900</v>
      </c>
      <c r="S95">
        <v>20</v>
      </c>
      <c r="T95" s="13">
        <f t="shared" si="4"/>
        <v>-650</v>
      </c>
    </row>
    <row r="96" spans="1:20" x14ac:dyDescent="0.25">
      <c r="A96" s="9">
        <v>43555</v>
      </c>
      <c r="B96" s="1">
        <v>43585</v>
      </c>
      <c r="C96" t="str">
        <f>INDEX(Balance!A:A,MATCH(D96,Balance!B:B,0))</f>
        <v>Fournisseurs</v>
      </c>
      <c r="D96" t="s">
        <v>274</v>
      </c>
      <c r="F96">
        <v>619.4</v>
      </c>
      <c r="H96" s="3">
        <f t="shared" si="5"/>
        <v>103.23333333333335</v>
      </c>
      <c r="K96">
        <v>95</v>
      </c>
      <c r="L96">
        <v>1</v>
      </c>
      <c r="M96">
        <v>0</v>
      </c>
      <c r="P96">
        <f>VLOOKUP(D96,tab!A:B,2,FALSE)</f>
        <v>63</v>
      </c>
      <c r="R96">
        <f t="shared" si="3"/>
        <v>-619.4</v>
      </c>
      <c r="S96">
        <v>20</v>
      </c>
      <c r="T96" s="13">
        <f t="shared" si="4"/>
        <v>103.23333333333335</v>
      </c>
    </row>
    <row r="97" spans="1:20" x14ac:dyDescent="0.25">
      <c r="A97" s="9">
        <v>43555</v>
      </c>
      <c r="B97" s="1">
        <v>43597</v>
      </c>
      <c r="C97" t="str">
        <f>INDEX(Balance!A:A,MATCH(D97,Balance!B:B,0))</f>
        <v>Fournisseurs</v>
      </c>
      <c r="D97" t="s">
        <v>270</v>
      </c>
      <c r="E97" t="s">
        <v>570</v>
      </c>
      <c r="F97">
        <v>144.06</v>
      </c>
      <c r="H97" s="3">
        <f t="shared" si="5"/>
        <v>24.009999999999991</v>
      </c>
      <c r="K97">
        <v>96</v>
      </c>
      <c r="L97">
        <v>1</v>
      </c>
      <c r="M97">
        <v>0</v>
      </c>
      <c r="P97">
        <f>VLOOKUP(D97,tab!A:B,2,FALSE)</f>
        <v>110</v>
      </c>
      <c r="R97">
        <f t="shared" si="3"/>
        <v>-144.06</v>
      </c>
      <c r="S97">
        <v>20</v>
      </c>
      <c r="T97" s="13">
        <f t="shared" si="4"/>
        <v>24.009999999999991</v>
      </c>
    </row>
    <row r="98" spans="1:20" x14ac:dyDescent="0.25">
      <c r="A98" s="9">
        <v>43555</v>
      </c>
      <c r="B98" s="1">
        <v>43597</v>
      </c>
      <c r="C98" t="str">
        <f>INDEX(Balance!A:A,MATCH(D98,Balance!B:B,0))</f>
        <v>Fournisseurs</v>
      </c>
      <c r="D98" t="s">
        <v>270</v>
      </c>
      <c r="E98" t="s">
        <v>571</v>
      </c>
      <c r="F98">
        <v>124.4</v>
      </c>
      <c r="H98" s="3">
        <f t="shared" si="5"/>
        <v>20.733333333333334</v>
      </c>
      <c r="K98">
        <v>97</v>
      </c>
      <c r="L98">
        <v>1</v>
      </c>
      <c r="M98">
        <v>0</v>
      </c>
      <c r="P98">
        <f>VLOOKUP(D98,tab!A:B,2,FALSE)</f>
        <v>110</v>
      </c>
      <c r="R98">
        <f t="shared" si="3"/>
        <v>-124.4</v>
      </c>
      <c r="S98">
        <v>20</v>
      </c>
      <c r="T98" s="13">
        <f t="shared" si="4"/>
        <v>20.733333333333334</v>
      </c>
    </row>
    <row r="99" spans="1:20" x14ac:dyDescent="0.25">
      <c r="A99" s="9">
        <v>43555</v>
      </c>
      <c r="B99" s="1">
        <v>43597</v>
      </c>
      <c r="C99" t="str">
        <f>INDEX(Balance!A:A,MATCH(D99,Balance!B:B,0))</f>
        <v>Fournisseurs</v>
      </c>
      <c r="D99" t="s">
        <v>270</v>
      </c>
      <c r="E99" t="s">
        <v>572</v>
      </c>
      <c r="F99">
        <v>350.59</v>
      </c>
      <c r="H99" s="3">
        <f t="shared" si="5"/>
        <v>58.431666666666672</v>
      </c>
      <c r="K99">
        <v>98</v>
      </c>
      <c r="L99">
        <v>1</v>
      </c>
      <c r="M99">
        <v>0</v>
      </c>
      <c r="P99">
        <f>VLOOKUP(D99,tab!A:B,2,FALSE)</f>
        <v>110</v>
      </c>
      <c r="R99">
        <f t="shared" si="3"/>
        <v>-350.59</v>
      </c>
      <c r="S99">
        <v>20</v>
      </c>
      <c r="T99" s="13">
        <f t="shared" si="4"/>
        <v>58.431666666666672</v>
      </c>
    </row>
    <row r="100" spans="1:20" x14ac:dyDescent="0.25">
      <c r="A100" s="9">
        <v>43555</v>
      </c>
      <c r="B100" s="1">
        <v>43597</v>
      </c>
      <c r="C100" t="str">
        <f>INDEX(Balance!A:A,MATCH(D100,Balance!B:B,0))</f>
        <v>Fournisseurs</v>
      </c>
      <c r="D100" t="s">
        <v>270</v>
      </c>
      <c r="E100" t="s">
        <v>573</v>
      </c>
      <c r="F100">
        <v>436.67</v>
      </c>
      <c r="H100" s="3">
        <f t="shared" si="5"/>
        <v>72.778333333333308</v>
      </c>
      <c r="K100">
        <v>99</v>
      </c>
      <c r="L100">
        <v>1</v>
      </c>
      <c r="M100">
        <v>0</v>
      </c>
      <c r="P100">
        <f>VLOOKUP(D100,tab!A:B,2,FALSE)</f>
        <v>110</v>
      </c>
      <c r="R100">
        <f t="shared" si="3"/>
        <v>-436.67</v>
      </c>
      <c r="S100">
        <v>20</v>
      </c>
      <c r="T100" s="13">
        <f t="shared" si="4"/>
        <v>72.778333333333308</v>
      </c>
    </row>
    <row r="101" spans="1:20" x14ac:dyDescent="0.25">
      <c r="A101" s="9">
        <v>43555</v>
      </c>
      <c r="B101" s="1">
        <v>43600</v>
      </c>
      <c r="C101" t="str">
        <f>INDEX(Balance!A:A,MATCH(D101,Balance!B:B,0))</f>
        <v>Fournisseurs</v>
      </c>
      <c r="D101" t="s">
        <v>289</v>
      </c>
      <c r="E101" t="s">
        <v>574</v>
      </c>
      <c r="F101">
        <v>99.12</v>
      </c>
      <c r="H101" s="3">
        <f t="shared" si="5"/>
        <v>16.519999999999996</v>
      </c>
      <c r="K101">
        <v>100</v>
      </c>
      <c r="L101">
        <v>1</v>
      </c>
      <c r="M101">
        <v>0</v>
      </c>
      <c r="P101">
        <f>VLOOKUP(D101,tab!A:B,2,FALSE)</f>
        <v>57</v>
      </c>
      <c r="R101">
        <f t="shared" si="3"/>
        <v>-99.12</v>
      </c>
      <c r="S101">
        <v>20</v>
      </c>
      <c r="T101" s="13">
        <f t="shared" si="4"/>
        <v>16.519999999999996</v>
      </c>
    </row>
    <row r="102" spans="1:20" x14ac:dyDescent="0.25">
      <c r="A102" s="9">
        <v>43555</v>
      </c>
      <c r="B102" s="1">
        <v>43585</v>
      </c>
      <c r="C102" t="str">
        <f>INDEX(Balance!A:A,MATCH(D102,Balance!B:B,0))</f>
        <v>Fournisseurs</v>
      </c>
      <c r="D102" t="s">
        <v>259</v>
      </c>
      <c r="E102" t="s">
        <v>575</v>
      </c>
      <c r="F102">
        <v>737.3</v>
      </c>
      <c r="H102" s="3">
        <f t="shared" si="5"/>
        <v>122.88333333333333</v>
      </c>
      <c r="K102">
        <v>101</v>
      </c>
      <c r="L102">
        <v>1</v>
      </c>
      <c r="M102">
        <v>0</v>
      </c>
      <c r="P102">
        <f>VLOOKUP(D102,tab!A:B,2,FALSE)</f>
        <v>72</v>
      </c>
      <c r="R102">
        <f t="shared" si="3"/>
        <v>-737.3</v>
      </c>
      <c r="S102">
        <v>20</v>
      </c>
      <c r="T102" s="13">
        <f t="shared" si="4"/>
        <v>122.88333333333333</v>
      </c>
    </row>
    <row r="103" spans="1:20" x14ac:dyDescent="0.25">
      <c r="A103" s="9">
        <v>43555</v>
      </c>
      <c r="B103" s="1">
        <v>43536</v>
      </c>
      <c r="C103" t="str">
        <f>INDEX(Balance!A:A,MATCH(D103,Balance!B:B,0))</f>
        <v>Fournisseurs</v>
      </c>
      <c r="D103" t="s">
        <v>576</v>
      </c>
      <c r="E103" t="s">
        <v>577</v>
      </c>
      <c r="F103">
        <v>505.43</v>
      </c>
      <c r="H103" s="3">
        <f t="shared" si="5"/>
        <v>84.238333333333344</v>
      </c>
      <c r="K103">
        <v>102</v>
      </c>
      <c r="L103">
        <v>1</v>
      </c>
      <c r="M103">
        <v>0</v>
      </c>
      <c r="P103">
        <f>VLOOKUP(D103,tab!A:B,2,FALSE)</f>
        <v>52</v>
      </c>
      <c r="R103">
        <f t="shared" si="3"/>
        <v>-505.43</v>
      </c>
      <c r="S103">
        <v>20</v>
      </c>
      <c r="T103" s="13">
        <f t="shared" si="4"/>
        <v>84.238333333333344</v>
      </c>
    </row>
    <row r="104" spans="1:20" x14ac:dyDescent="0.25">
      <c r="A104" s="9">
        <v>43555</v>
      </c>
      <c r="B104" s="1">
        <v>43600</v>
      </c>
      <c r="C104" t="str">
        <f>INDEX(Balance!A:A,MATCH(D104,Balance!B:B,0))</f>
        <v>Fournisseurs</v>
      </c>
      <c r="D104" t="s">
        <v>262</v>
      </c>
      <c r="E104" t="s">
        <v>578</v>
      </c>
      <c r="F104">
        <v>230.16</v>
      </c>
      <c r="H104" s="3">
        <f t="shared" si="5"/>
        <v>38.359999999999985</v>
      </c>
      <c r="K104">
        <v>103</v>
      </c>
      <c r="L104">
        <v>1</v>
      </c>
      <c r="M104">
        <v>0</v>
      </c>
      <c r="P104">
        <f>VLOOKUP(D104,tab!A:B,2,FALSE)</f>
        <v>65</v>
      </c>
      <c r="R104">
        <f t="shared" si="3"/>
        <v>-230.16</v>
      </c>
      <c r="S104">
        <v>20</v>
      </c>
      <c r="T104" s="13">
        <f t="shared" si="4"/>
        <v>38.359999999999985</v>
      </c>
    </row>
    <row r="105" spans="1:20" x14ac:dyDescent="0.25">
      <c r="A105" s="9">
        <v>43555</v>
      </c>
      <c r="B105" s="1">
        <v>43585</v>
      </c>
      <c r="C105" t="str">
        <f>INDEX(Balance!A:A,MATCH(D105,Balance!B:B,0))</f>
        <v>Fournisseurs</v>
      </c>
      <c r="D105" t="s">
        <v>273</v>
      </c>
      <c r="E105" t="s">
        <v>579</v>
      </c>
      <c r="F105">
        <v>42.38</v>
      </c>
      <c r="H105" s="3">
        <f t="shared" si="5"/>
        <v>7.0633333333333326</v>
      </c>
      <c r="K105">
        <v>104</v>
      </c>
      <c r="L105">
        <v>1</v>
      </c>
      <c r="M105">
        <v>0</v>
      </c>
      <c r="P105">
        <f>VLOOKUP(D105,tab!A:B,2,FALSE)</f>
        <v>32</v>
      </c>
      <c r="R105">
        <f t="shared" si="3"/>
        <v>-42.38</v>
      </c>
      <c r="S105">
        <v>20</v>
      </c>
      <c r="T105" s="13">
        <f t="shared" si="4"/>
        <v>7.0633333333333326</v>
      </c>
    </row>
    <row r="106" spans="1:20" x14ac:dyDescent="0.25">
      <c r="A106" s="9">
        <v>43555</v>
      </c>
      <c r="B106" s="1">
        <v>43568</v>
      </c>
      <c r="C106" t="str">
        <f>INDEX(Balance!A:A,MATCH(D106,Balance!B:B,0))</f>
        <v>Fournisseurs</v>
      </c>
      <c r="D106" t="s">
        <v>324</v>
      </c>
      <c r="E106" t="s">
        <v>581</v>
      </c>
      <c r="F106">
        <v>97.03</v>
      </c>
      <c r="H106" s="3">
        <f t="shared" si="5"/>
        <v>16.171666666666667</v>
      </c>
      <c r="K106">
        <v>105</v>
      </c>
      <c r="L106">
        <v>1</v>
      </c>
      <c r="M106">
        <v>0</v>
      </c>
      <c r="P106">
        <f>VLOOKUP(D106,tab!A:B,2,FALSE)</f>
        <v>80</v>
      </c>
      <c r="R106">
        <f t="shared" si="3"/>
        <v>-97.03</v>
      </c>
      <c r="S106">
        <v>20</v>
      </c>
      <c r="T106" s="13">
        <f t="shared" si="4"/>
        <v>16.171666666666667</v>
      </c>
    </row>
    <row r="107" spans="1:20" x14ac:dyDescent="0.25">
      <c r="A107" s="9">
        <v>43555</v>
      </c>
      <c r="B107" s="1">
        <v>43600</v>
      </c>
      <c r="C107" t="str">
        <f>INDEX(Balance!A:A,MATCH(D107,Balance!B:B,0))</f>
        <v>Fournisseurs</v>
      </c>
      <c r="D107" t="s">
        <v>268</v>
      </c>
      <c r="E107" t="s">
        <v>582</v>
      </c>
      <c r="F107">
        <v>376.2</v>
      </c>
      <c r="H107" s="3">
        <f t="shared" si="5"/>
        <v>62.699999999999989</v>
      </c>
      <c r="K107">
        <v>106</v>
      </c>
      <c r="L107">
        <v>1</v>
      </c>
      <c r="M107">
        <v>0</v>
      </c>
      <c r="P107">
        <f>VLOOKUP(D107,tab!A:B,2,FALSE)</f>
        <v>106</v>
      </c>
      <c r="R107">
        <f t="shared" si="3"/>
        <v>-376.2</v>
      </c>
      <c r="S107">
        <v>20</v>
      </c>
      <c r="T107" s="13">
        <f t="shared" si="4"/>
        <v>62.699999999999989</v>
      </c>
    </row>
    <row r="108" spans="1:20" x14ac:dyDescent="0.25">
      <c r="A108" s="9">
        <v>43555</v>
      </c>
      <c r="B108" s="1">
        <v>43585</v>
      </c>
      <c r="C108" t="str">
        <f>INDEX(Balance!A:A,MATCH(D108,Balance!B:B,0))</f>
        <v>Fournisseurs</v>
      </c>
      <c r="D108" t="s">
        <v>298</v>
      </c>
      <c r="E108" t="s">
        <v>583</v>
      </c>
      <c r="F108">
        <v>118.07</v>
      </c>
      <c r="H108" s="3">
        <f t="shared" si="5"/>
        <v>19.678333333333327</v>
      </c>
      <c r="K108">
        <v>107</v>
      </c>
      <c r="L108">
        <v>1</v>
      </c>
      <c r="M108">
        <v>0</v>
      </c>
      <c r="P108">
        <f>VLOOKUP(D108,tab!A:B,2,FALSE)</f>
        <v>81</v>
      </c>
      <c r="R108">
        <f t="shared" si="3"/>
        <v>-118.07</v>
      </c>
      <c r="S108">
        <v>20</v>
      </c>
      <c r="T108" s="13">
        <f t="shared" si="4"/>
        <v>19.678333333333327</v>
      </c>
    </row>
    <row r="109" spans="1:20" x14ac:dyDescent="0.25">
      <c r="A109" s="9">
        <v>43555</v>
      </c>
      <c r="B109" s="1">
        <v>43585</v>
      </c>
      <c r="C109" t="str">
        <f>INDEX(Balance!A:A,MATCH(D109,Balance!B:B,0))</f>
        <v>Fournisseurs</v>
      </c>
      <c r="D109" t="s">
        <v>265</v>
      </c>
      <c r="E109" t="s">
        <v>584</v>
      </c>
      <c r="F109">
        <v>1776</v>
      </c>
      <c r="H109" s="3">
        <f t="shared" si="5"/>
        <v>296</v>
      </c>
      <c r="K109">
        <v>108</v>
      </c>
      <c r="L109">
        <v>1</v>
      </c>
      <c r="M109">
        <v>0</v>
      </c>
      <c r="P109">
        <f>VLOOKUP(D109,tab!A:B,2,FALSE)</f>
        <v>70</v>
      </c>
      <c r="R109">
        <f t="shared" si="3"/>
        <v>-1776</v>
      </c>
      <c r="S109">
        <v>20</v>
      </c>
      <c r="T109" s="13">
        <f t="shared" si="4"/>
        <v>296</v>
      </c>
    </row>
    <row r="110" spans="1:20" x14ac:dyDescent="0.25">
      <c r="A110" s="9">
        <v>43555</v>
      </c>
      <c r="B110" s="1">
        <v>43585</v>
      </c>
      <c r="C110" t="str">
        <f>INDEX(Balance!A:A,MATCH(D110,Balance!B:B,0))</f>
        <v>Fournisseurs</v>
      </c>
      <c r="D110" t="s">
        <v>276</v>
      </c>
      <c r="E110" t="s">
        <v>585</v>
      </c>
      <c r="F110">
        <v>1474.04</v>
      </c>
      <c r="H110" s="3">
        <f t="shared" si="5"/>
        <v>245.67333333333318</v>
      </c>
      <c r="K110">
        <v>109</v>
      </c>
      <c r="L110">
        <v>1</v>
      </c>
      <c r="M110">
        <v>0</v>
      </c>
      <c r="P110">
        <f>VLOOKUP(D110,tab!A:B,2,FALSE)</f>
        <v>114</v>
      </c>
      <c r="R110">
        <f t="shared" si="3"/>
        <v>-1474.04</v>
      </c>
      <c r="S110">
        <v>20</v>
      </c>
      <c r="T110" s="13">
        <f t="shared" si="4"/>
        <v>245.67333333333318</v>
      </c>
    </row>
    <row r="111" spans="1:20" x14ac:dyDescent="0.25">
      <c r="A111" s="9">
        <v>43555</v>
      </c>
      <c r="B111" s="1">
        <v>43585</v>
      </c>
      <c r="C111" t="str">
        <f>INDEX(Balance!A:A,MATCH(D111,Balance!B:B,0))</f>
        <v>Fournisseurs</v>
      </c>
      <c r="D111" t="s">
        <v>586</v>
      </c>
      <c r="E111" t="s">
        <v>587</v>
      </c>
      <c r="F111">
        <v>561.6</v>
      </c>
      <c r="H111" s="3">
        <f t="shared" si="5"/>
        <v>93.599999999999966</v>
      </c>
      <c r="K111">
        <v>110</v>
      </c>
      <c r="L111">
        <v>1</v>
      </c>
      <c r="M111">
        <v>0</v>
      </c>
      <c r="P111">
        <f>VLOOKUP(D111,tab!A:B,2,FALSE)</f>
        <v>92</v>
      </c>
      <c r="R111">
        <f t="shared" si="3"/>
        <v>-561.6</v>
      </c>
      <c r="S111">
        <v>20</v>
      </c>
      <c r="T111" s="13">
        <f t="shared" si="4"/>
        <v>93.599999999999966</v>
      </c>
    </row>
    <row r="112" spans="1:20" x14ac:dyDescent="0.25">
      <c r="A112" s="9">
        <v>43555</v>
      </c>
      <c r="B112" s="1">
        <v>43597</v>
      </c>
      <c r="C112" t="str">
        <f>INDEX(Balance!A:A,MATCH(D112,Balance!B:B,0))</f>
        <v>Fournisseurs</v>
      </c>
      <c r="D112" t="s">
        <v>281</v>
      </c>
      <c r="E112" t="s">
        <v>588</v>
      </c>
      <c r="F112">
        <v>1020</v>
      </c>
      <c r="H112" s="3">
        <f t="shared" si="5"/>
        <v>170</v>
      </c>
      <c r="K112">
        <v>111</v>
      </c>
      <c r="L112">
        <v>1</v>
      </c>
      <c r="M112">
        <v>0</v>
      </c>
      <c r="P112">
        <f>VLOOKUP(D112,tab!A:B,2,FALSE)</f>
        <v>77</v>
      </c>
      <c r="R112">
        <f t="shared" si="3"/>
        <v>-1020</v>
      </c>
      <c r="S112">
        <v>20</v>
      </c>
      <c r="T112" s="13">
        <f t="shared" si="4"/>
        <v>170</v>
      </c>
    </row>
    <row r="113" spans="1:20" x14ac:dyDescent="0.25">
      <c r="A113" s="9">
        <v>43556</v>
      </c>
      <c r="B113" s="1">
        <v>43570</v>
      </c>
      <c r="C113" t="str">
        <f>INDEX(Balance!A:A,MATCH(D113,Balance!B:B,0))</f>
        <v>Fournisseurs</v>
      </c>
      <c r="D113" t="s">
        <v>268</v>
      </c>
      <c r="F113">
        <v>78</v>
      </c>
      <c r="H113" s="3">
        <f t="shared" si="5"/>
        <v>13</v>
      </c>
      <c r="K113">
        <v>112</v>
      </c>
      <c r="L113">
        <v>1</v>
      </c>
      <c r="M113">
        <v>0</v>
      </c>
      <c r="P113">
        <f>VLOOKUP(D113,tab!A:B,2,FALSE)</f>
        <v>106</v>
      </c>
      <c r="R113">
        <f t="shared" si="3"/>
        <v>-78</v>
      </c>
      <c r="S113">
        <v>20</v>
      </c>
      <c r="T113" s="13">
        <f t="shared" si="4"/>
        <v>13</v>
      </c>
    </row>
    <row r="114" spans="1:20" x14ac:dyDescent="0.25">
      <c r="A114" s="9">
        <v>43556</v>
      </c>
      <c r="B114" s="1">
        <v>43570</v>
      </c>
      <c r="C114" t="str">
        <f>INDEX(Balance!A:A,MATCH(D114,Balance!B:B,0))</f>
        <v>Fournisseurs</v>
      </c>
      <c r="D114" t="s">
        <v>268</v>
      </c>
      <c r="F114">
        <v>376.2</v>
      </c>
      <c r="H114" s="3">
        <f t="shared" si="5"/>
        <v>62.699999999999989</v>
      </c>
      <c r="K114">
        <v>113</v>
      </c>
      <c r="L114">
        <v>1</v>
      </c>
      <c r="M114">
        <v>0</v>
      </c>
      <c r="P114">
        <f>VLOOKUP(D114,tab!A:B,2,FALSE)</f>
        <v>106</v>
      </c>
      <c r="R114">
        <f t="shared" si="3"/>
        <v>-376.2</v>
      </c>
      <c r="S114">
        <v>20</v>
      </c>
      <c r="T114" s="13">
        <f t="shared" si="4"/>
        <v>62.699999999999989</v>
      </c>
    </row>
    <row r="115" spans="1:20" x14ac:dyDescent="0.25">
      <c r="A115" s="9">
        <v>43556</v>
      </c>
      <c r="B115" s="1">
        <v>43579</v>
      </c>
      <c r="C115" t="str">
        <f>INDEX(Balance!A:A,MATCH(D115,Balance!B:B,0))</f>
        <v>Fournisseurs</v>
      </c>
      <c r="D115" t="s">
        <v>299</v>
      </c>
      <c r="F115">
        <v>348</v>
      </c>
      <c r="H115" s="3">
        <f t="shared" si="5"/>
        <v>58</v>
      </c>
      <c r="K115">
        <v>114</v>
      </c>
      <c r="L115">
        <v>1</v>
      </c>
      <c r="M115">
        <v>0</v>
      </c>
      <c r="P115">
        <f>VLOOKUP(D115,tab!A:B,2,FALSE)</f>
        <v>51</v>
      </c>
      <c r="R115">
        <f t="shared" si="3"/>
        <v>-348</v>
      </c>
      <c r="S115">
        <v>20</v>
      </c>
      <c r="T115" s="13">
        <f t="shared" si="4"/>
        <v>58</v>
      </c>
    </row>
    <row r="116" spans="1:20" x14ac:dyDescent="0.25">
      <c r="A116" s="9">
        <v>43556</v>
      </c>
      <c r="B116" s="1">
        <v>43600</v>
      </c>
      <c r="C116" t="str">
        <f>INDEX(Balance!A:A,MATCH(D116,Balance!B:B,0))</f>
        <v>Fournisseurs</v>
      </c>
      <c r="D116" t="s">
        <v>268</v>
      </c>
      <c r="F116">
        <v>72</v>
      </c>
      <c r="H116" s="3">
        <f t="shared" si="5"/>
        <v>12</v>
      </c>
      <c r="K116">
        <v>115</v>
      </c>
      <c r="L116">
        <v>1</v>
      </c>
      <c r="M116">
        <v>0</v>
      </c>
      <c r="P116">
        <f>VLOOKUP(D116,tab!A:B,2,FALSE)</f>
        <v>106</v>
      </c>
      <c r="R116">
        <f t="shared" si="3"/>
        <v>-72</v>
      </c>
      <c r="S116">
        <v>20</v>
      </c>
      <c r="T116" s="13">
        <f t="shared" si="4"/>
        <v>12</v>
      </c>
    </row>
    <row r="117" spans="1:20" x14ac:dyDescent="0.25">
      <c r="A117" s="9">
        <v>43559</v>
      </c>
      <c r="B117" s="1">
        <v>43631</v>
      </c>
      <c r="C117" t="str">
        <f>INDEX(Balance!A:A,MATCH(D117,Balance!B:B,0))</f>
        <v>Fournisseurs</v>
      </c>
      <c r="D117" t="s">
        <v>262</v>
      </c>
      <c r="E117" t="s">
        <v>580</v>
      </c>
      <c r="F117">
        <v>263.04000000000002</v>
      </c>
      <c r="H117" s="3">
        <f t="shared" si="5"/>
        <v>43.84</v>
      </c>
      <c r="K117">
        <v>116</v>
      </c>
      <c r="L117">
        <v>1</v>
      </c>
      <c r="M117">
        <v>0</v>
      </c>
      <c r="P117">
        <f>VLOOKUP(D117,tab!A:B,2,FALSE)</f>
        <v>65</v>
      </c>
      <c r="R117">
        <f t="shared" si="3"/>
        <v>-263.04000000000002</v>
      </c>
      <c r="S117">
        <v>20</v>
      </c>
      <c r="T117" s="13">
        <f t="shared" si="4"/>
        <v>43.84</v>
      </c>
    </row>
    <row r="118" spans="1:20" x14ac:dyDescent="0.25">
      <c r="A118" s="9">
        <v>43566</v>
      </c>
      <c r="B118" s="1">
        <v>43626</v>
      </c>
      <c r="C118" t="str">
        <f>INDEX(Balance!A:A,MATCH(D118,Balance!B:B,0))</f>
        <v>Fournisseurs</v>
      </c>
      <c r="D118" t="s">
        <v>613</v>
      </c>
      <c r="E118" t="s">
        <v>614</v>
      </c>
      <c r="F118">
        <v>8.81</v>
      </c>
      <c r="H118" s="3">
        <f t="shared" si="5"/>
        <v>1.4683333333333328</v>
      </c>
      <c r="K118">
        <v>117</v>
      </c>
      <c r="L118">
        <v>1</v>
      </c>
      <c r="M118">
        <v>0</v>
      </c>
      <c r="P118">
        <f>VLOOKUP(D118,tab!A:B,2,FALSE)</f>
        <v>62</v>
      </c>
      <c r="R118">
        <f t="shared" si="3"/>
        <v>-8.81</v>
      </c>
      <c r="S118">
        <v>20</v>
      </c>
      <c r="T118" s="13">
        <f t="shared" si="4"/>
        <v>1.4683333333333328</v>
      </c>
    </row>
    <row r="119" spans="1:20" x14ac:dyDescent="0.25">
      <c r="A119" s="9">
        <v>43570</v>
      </c>
      <c r="B119" s="1">
        <v>43616</v>
      </c>
      <c r="C119" t="str">
        <f>INDEX(Balance!A:A,MATCH(D119,Balance!B:B,0))</f>
        <v>Fournisseurs</v>
      </c>
      <c r="D119" t="s">
        <v>611</v>
      </c>
      <c r="E119" t="s">
        <v>612</v>
      </c>
      <c r="F119">
        <v>3207.07</v>
      </c>
      <c r="K119">
        <v>118</v>
      </c>
      <c r="L119">
        <v>1</v>
      </c>
      <c r="M119">
        <v>0</v>
      </c>
      <c r="P119">
        <f>VLOOKUP(D119,tab!A:B,2,FALSE)</f>
        <v>72</v>
      </c>
      <c r="R119">
        <f t="shared" si="3"/>
        <v>-3207.07</v>
      </c>
      <c r="S119">
        <v>20</v>
      </c>
      <c r="T119" s="13">
        <f t="shared" si="4"/>
        <v>0</v>
      </c>
    </row>
    <row r="120" spans="1:20" x14ac:dyDescent="0.25">
      <c r="A120" s="9">
        <v>43570</v>
      </c>
      <c r="B120" s="1">
        <v>43630</v>
      </c>
      <c r="C120" t="str">
        <f>INDEX(Balance!A:A,MATCH(D120,Balance!B:B,0))</f>
        <v>Fournisseurs</v>
      </c>
      <c r="D120" t="s">
        <v>613</v>
      </c>
      <c r="E120" t="s">
        <v>615</v>
      </c>
      <c r="F120">
        <v>31.75</v>
      </c>
      <c r="K120">
        <v>119</v>
      </c>
      <c r="L120">
        <v>1</v>
      </c>
      <c r="M120">
        <v>0</v>
      </c>
      <c r="P120">
        <f>VLOOKUP(D120,tab!A:B,2,FALSE)</f>
        <v>62</v>
      </c>
      <c r="R120">
        <f t="shared" si="3"/>
        <v>-31.75</v>
      </c>
      <c r="S120">
        <v>20</v>
      </c>
      <c r="T120" s="13">
        <f t="shared" si="4"/>
        <v>0</v>
      </c>
    </row>
    <row r="121" spans="1:20" x14ac:dyDescent="0.25">
      <c r="A121" s="9">
        <v>43570</v>
      </c>
      <c r="B121" s="1">
        <v>43630</v>
      </c>
      <c r="C121" t="str">
        <f>INDEX(Balance!A:A,MATCH(D121,Balance!B:B,0))</f>
        <v>Fournisseurs</v>
      </c>
      <c r="D121" t="s">
        <v>277</v>
      </c>
      <c r="E121" t="s">
        <v>616</v>
      </c>
      <c r="F121">
        <v>96.78</v>
      </c>
      <c r="K121">
        <v>120</v>
      </c>
      <c r="L121">
        <v>1</v>
      </c>
      <c r="M121">
        <v>0</v>
      </c>
      <c r="P121">
        <f>VLOOKUP(D121,tab!A:B,2,FALSE)</f>
        <v>62</v>
      </c>
      <c r="R121">
        <f t="shared" si="3"/>
        <v>-96.78</v>
      </c>
      <c r="S121">
        <v>20</v>
      </c>
      <c r="T121" s="13">
        <f t="shared" si="4"/>
        <v>0</v>
      </c>
    </row>
    <row r="122" spans="1:20" x14ac:dyDescent="0.25">
      <c r="A122" s="9">
        <v>43571</v>
      </c>
      <c r="B122" s="1">
        <v>43631</v>
      </c>
      <c r="C122" t="str">
        <f>INDEX(Balance!A:A,MATCH(D122,Balance!B:B,0))</f>
        <v>Fournisseurs</v>
      </c>
      <c r="D122" t="s">
        <v>262</v>
      </c>
      <c r="E122" t="s">
        <v>617</v>
      </c>
      <c r="F122">
        <v>246.6</v>
      </c>
      <c r="K122">
        <v>121</v>
      </c>
      <c r="L122">
        <v>1</v>
      </c>
      <c r="M122">
        <v>0</v>
      </c>
      <c r="P122">
        <f>VLOOKUP(D122,tab!A:B,2,FALSE)</f>
        <v>65</v>
      </c>
      <c r="R122">
        <f t="shared" si="3"/>
        <v>-246.6</v>
      </c>
      <c r="S122">
        <v>20</v>
      </c>
      <c r="T122" s="13">
        <f t="shared" si="4"/>
        <v>0</v>
      </c>
    </row>
    <row r="123" spans="1:20" x14ac:dyDescent="0.25">
      <c r="A123" s="9">
        <v>43862</v>
      </c>
      <c r="B123" s="1">
        <v>43889</v>
      </c>
      <c r="C123" t="str">
        <f>INDEX(Balance!A:A,MATCH(D123,Balance!B:B,0))</f>
        <v>Client</v>
      </c>
      <c r="D123" t="s">
        <v>378</v>
      </c>
      <c r="G123">
        <v>0</v>
      </c>
      <c r="K123">
        <v>122</v>
      </c>
      <c r="L123">
        <v>1</v>
      </c>
      <c r="M123">
        <v>0</v>
      </c>
      <c r="P123">
        <f>VLOOKUP(D123,tab!A:B,2,FALSE)</f>
        <v>6</v>
      </c>
      <c r="R123">
        <f t="shared" si="3"/>
        <v>0</v>
      </c>
      <c r="S123">
        <v>20</v>
      </c>
      <c r="T123" s="13">
        <f t="shared" si="4"/>
        <v>0</v>
      </c>
    </row>
    <row r="124" spans="1:20" x14ac:dyDescent="0.25">
      <c r="A124" s="9">
        <v>43891</v>
      </c>
      <c r="B124" s="1">
        <v>43921</v>
      </c>
      <c r="C124" t="str">
        <f>INDEX(Balance!A:A,MATCH(D124,Balance!B:B,0))</f>
        <v>Client</v>
      </c>
      <c r="D124" t="s">
        <v>370</v>
      </c>
      <c r="G124">
        <v>0</v>
      </c>
      <c r="K124">
        <v>123</v>
      </c>
      <c r="L124">
        <v>1</v>
      </c>
      <c r="M124">
        <v>0</v>
      </c>
      <c r="P124">
        <f>VLOOKUP(D124,tab!A:B,2,FALSE)</f>
        <v>9</v>
      </c>
      <c r="R124">
        <f t="shared" si="3"/>
        <v>0</v>
      </c>
      <c r="S124">
        <v>20</v>
      </c>
      <c r="T124" s="13">
        <f t="shared" si="4"/>
        <v>0</v>
      </c>
    </row>
    <row r="125" spans="1:20" x14ac:dyDescent="0.25">
      <c r="A125" s="9">
        <v>43891</v>
      </c>
      <c r="B125" s="1">
        <v>43921</v>
      </c>
      <c r="C125" t="str">
        <f>INDEX(Balance!A:A,MATCH(D125,Balance!B:B,0))</f>
        <v>Client</v>
      </c>
      <c r="D125" t="s">
        <v>379</v>
      </c>
      <c r="G125">
        <v>0</v>
      </c>
      <c r="K125">
        <v>124</v>
      </c>
      <c r="L125">
        <v>1</v>
      </c>
      <c r="M125">
        <v>0</v>
      </c>
      <c r="P125">
        <f>VLOOKUP(D125,tab!A:B,2,FALSE)</f>
        <v>4</v>
      </c>
      <c r="R125">
        <f t="shared" si="3"/>
        <v>0</v>
      </c>
      <c r="S125">
        <v>20</v>
      </c>
      <c r="T125" s="13">
        <f t="shared" si="4"/>
        <v>0</v>
      </c>
    </row>
    <row r="126" spans="1:20" x14ac:dyDescent="0.25">
      <c r="A126" s="9">
        <v>43553</v>
      </c>
      <c r="B126" s="1">
        <v>43585</v>
      </c>
      <c r="C126" t="str">
        <f>INDEX(Balance!A:A,MATCH(D126,Balance!B:B,0))</f>
        <v>Fournisseurs</v>
      </c>
      <c r="D126" t="s">
        <v>291</v>
      </c>
      <c r="E126" t="s">
        <v>648</v>
      </c>
      <c r="F126">
        <v>204</v>
      </c>
      <c r="K126">
        <v>125</v>
      </c>
      <c r="L126">
        <v>1</v>
      </c>
      <c r="M126">
        <v>0</v>
      </c>
      <c r="P126">
        <f>VLOOKUP(D126,tab!A:B,2,FALSE)</f>
        <v>71</v>
      </c>
      <c r="R126">
        <f t="shared" si="3"/>
        <v>-204</v>
      </c>
      <c r="S126">
        <v>20</v>
      </c>
      <c r="T126" s="13">
        <f t="shared" si="4"/>
        <v>0</v>
      </c>
    </row>
    <row r="127" spans="1:20" x14ac:dyDescent="0.25">
      <c r="A127" s="9">
        <v>43585</v>
      </c>
      <c r="B127" s="1">
        <v>43632</v>
      </c>
      <c r="C127" t="str">
        <f>INDEX(Balance!A:A,MATCH(D127,Balance!B:B,0))</f>
        <v>Fournisseurs</v>
      </c>
      <c r="D127" t="s">
        <v>262</v>
      </c>
      <c r="E127" t="s">
        <v>681</v>
      </c>
      <c r="F127">
        <v>507.01</v>
      </c>
      <c r="K127">
        <v>126</v>
      </c>
      <c r="L127">
        <v>1</v>
      </c>
      <c r="M127">
        <v>0</v>
      </c>
      <c r="P127">
        <f>VLOOKUP(D127,tab!A:B,2,FALSE)</f>
        <v>65</v>
      </c>
      <c r="R127">
        <f t="shared" si="3"/>
        <v>-507.01</v>
      </c>
      <c r="S127">
        <v>20</v>
      </c>
      <c r="T127" s="13">
        <f t="shared" si="4"/>
        <v>0</v>
      </c>
    </row>
    <row r="128" spans="1:20" x14ac:dyDescent="0.25">
      <c r="A128" s="9">
        <v>43585</v>
      </c>
      <c r="B128" s="1">
        <v>43615</v>
      </c>
      <c r="C128" t="str">
        <f>INDEX(Balance!A:A,MATCH(D128,Balance!B:B,0))</f>
        <v>Fournisseurs</v>
      </c>
      <c r="D128" t="s">
        <v>261</v>
      </c>
      <c r="E128" t="s">
        <v>682</v>
      </c>
      <c r="F128">
        <v>252</v>
      </c>
      <c r="K128">
        <v>127</v>
      </c>
      <c r="L128">
        <v>1</v>
      </c>
      <c r="M128">
        <v>0</v>
      </c>
      <c r="P128">
        <f>VLOOKUP(D128,tab!A:B,2,FALSE)</f>
        <v>53</v>
      </c>
      <c r="R128">
        <f t="shared" si="3"/>
        <v>-252</v>
      </c>
      <c r="S128">
        <v>20</v>
      </c>
      <c r="T128" s="13">
        <f t="shared" si="4"/>
        <v>0</v>
      </c>
    </row>
    <row r="129" spans="1:20" x14ac:dyDescent="0.25">
      <c r="A129" s="9">
        <v>43585</v>
      </c>
      <c r="B129" s="1">
        <v>43615</v>
      </c>
      <c r="C129" t="str">
        <f>INDEX(Balance!A:A,MATCH(D129,Balance!B:B,0))</f>
        <v>Fournisseurs</v>
      </c>
      <c r="D129" t="s">
        <v>261</v>
      </c>
      <c r="E129" t="s">
        <v>711</v>
      </c>
      <c r="F129">
        <v>780</v>
      </c>
      <c r="K129">
        <v>128</v>
      </c>
      <c r="L129">
        <v>1</v>
      </c>
      <c r="M129">
        <v>0</v>
      </c>
      <c r="P129">
        <f>VLOOKUP(D129,tab!A:B,2,FALSE)</f>
        <v>53</v>
      </c>
      <c r="R129">
        <f t="shared" si="3"/>
        <v>-780</v>
      </c>
      <c r="S129">
        <v>20</v>
      </c>
      <c r="T129" s="13">
        <f t="shared" si="4"/>
        <v>0</v>
      </c>
    </row>
    <row r="130" spans="1:20" x14ac:dyDescent="0.25">
      <c r="A130" s="9">
        <v>43585</v>
      </c>
      <c r="B130" s="1">
        <v>43615</v>
      </c>
      <c r="C130" t="str">
        <f>INDEX(Balance!A:A,MATCH(D130,Balance!B:B,0))</f>
        <v>Fournisseurs</v>
      </c>
      <c r="D130" t="s">
        <v>261</v>
      </c>
      <c r="E130" t="s">
        <v>683</v>
      </c>
      <c r="F130">
        <v>936</v>
      </c>
      <c r="K130">
        <v>129</v>
      </c>
      <c r="L130">
        <v>1</v>
      </c>
      <c r="M130">
        <v>0</v>
      </c>
      <c r="P130">
        <f>VLOOKUP(D130,tab!A:B,2,FALSE)</f>
        <v>53</v>
      </c>
      <c r="R130">
        <f t="shared" si="3"/>
        <v>-936</v>
      </c>
      <c r="S130">
        <v>20</v>
      </c>
      <c r="T130" s="13">
        <f t="shared" si="4"/>
        <v>0</v>
      </c>
    </row>
    <row r="131" spans="1:20" x14ac:dyDescent="0.25">
      <c r="A131" s="9">
        <v>43585</v>
      </c>
      <c r="B131" s="1">
        <v>43630</v>
      </c>
      <c r="C131" t="str">
        <f>INDEX(Balance!A:A,MATCH(D131,Balance!B:B,0))</f>
        <v>Fournisseurs</v>
      </c>
      <c r="D131" t="s">
        <v>270</v>
      </c>
      <c r="E131" t="s">
        <v>684</v>
      </c>
      <c r="F131">
        <v>491.64</v>
      </c>
      <c r="K131">
        <v>130</v>
      </c>
      <c r="L131">
        <v>1</v>
      </c>
      <c r="M131">
        <v>0</v>
      </c>
      <c r="P131">
        <f>VLOOKUP(D131,tab!A:B,2,FALSE)</f>
        <v>110</v>
      </c>
      <c r="R131">
        <f t="shared" ref="R131:R187" si="6">G131-F131</f>
        <v>-491.64</v>
      </c>
      <c r="S131">
        <v>20</v>
      </c>
      <c r="T131" s="13">
        <f t="shared" ref="T131:T187" si="7">H131</f>
        <v>0</v>
      </c>
    </row>
    <row r="132" spans="1:20" x14ac:dyDescent="0.25">
      <c r="A132" s="9">
        <v>43585</v>
      </c>
      <c r="B132" s="1">
        <v>43615</v>
      </c>
      <c r="C132" t="str">
        <f>INDEX(Balance!A:A,MATCH(D132,Balance!B:B,0))</f>
        <v>Fournisseurs</v>
      </c>
      <c r="D132" t="s">
        <v>259</v>
      </c>
      <c r="E132" t="s">
        <v>685</v>
      </c>
      <c r="F132">
        <v>1044.72</v>
      </c>
      <c r="K132">
        <v>131</v>
      </c>
      <c r="L132">
        <v>1</v>
      </c>
      <c r="M132">
        <v>0</v>
      </c>
      <c r="P132">
        <f>VLOOKUP(D132,tab!A:B,2,FALSE)</f>
        <v>72</v>
      </c>
      <c r="R132">
        <f t="shared" si="6"/>
        <v>-1044.72</v>
      </c>
      <c r="S132">
        <v>20</v>
      </c>
      <c r="T132" s="13">
        <f t="shared" si="7"/>
        <v>0</v>
      </c>
    </row>
    <row r="133" spans="1:20" x14ac:dyDescent="0.25">
      <c r="A133" s="9">
        <v>43585</v>
      </c>
      <c r="B133" s="1">
        <v>43630</v>
      </c>
      <c r="C133" t="str">
        <f>INDEX(Balance!A:A,MATCH(D133,Balance!B:B,0))</f>
        <v>Fournisseurs</v>
      </c>
      <c r="D133" t="s">
        <v>289</v>
      </c>
      <c r="E133" t="s">
        <v>686</v>
      </c>
      <c r="F133">
        <v>88.32</v>
      </c>
      <c r="K133">
        <v>132</v>
      </c>
      <c r="L133">
        <v>1</v>
      </c>
      <c r="M133">
        <v>0</v>
      </c>
      <c r="P133">
        <f>VLOOKUP(D133,tab!A:B,2,FALSE)</f>
        <v>57</v>
      </c>
      <c r="R133">
        <f t="shared" si="6"/>
        <v>-88.32</v>
      </c>
      <c r="S133">
        <v>20</v>
      </c>
      <c r="T133" s="13">
        <f t="shared" si="7"/>
        <v>0</v>
      </c>
    </row>
    <row r="134" spans="1:20" x14ac:dyDescent="0.25">
      <c r="A134" s="9">
        <v>43585</v>
      </c>
      <c r="B134" s="1">
        <v>43630</v>
      </c>
      <c r="C134" t="str">
        <f>INDEX(Balance!A:A,MATCH(D134,Balance!B:B,0))</f>
        <v>Fournisseurs</v>
      </c>
      <c r="D134" t="s">
        <v>281</v>
      </c>
      <c r="E134" t="s">
        <v>687</v>
      </c>
      <c r="F134">
        <v>538.79999999999995</v>
      </c>
      <c r="K134">
        <v>133</v>
      </c>
      <c r="L134">
        <v>1</v>
      </c>
      <c r="M134">
        <v>0</v>
      </c>
      <c r="P134">
        <f>VLOOKUP(D134,tab!A:B,2,FALSE)</f>
        <v>77</v>
      </c>
      <c r="R134">
        <f t="shared" si="6"/>
        <v>-538.79999999999995</v>
      </c>
      <c r="S134">
        <v>20</v>
      </c>
      <c r="T134" s="13">
        <f t="shared" si="7"/>
        <v>0</v>
      </c>
    </row>
    <row r="135" spans="1:20" x14ac:dyDescent="0.25">
      <c r="A135" s="9">
        <v>43585</v>
      </c>
      <c r="B135" s="1">
        <v>43615</v>
      </c>
      <c r="C135" t="str">
        <f>INDEX(Balance!A:A,MATCH(D135,Balance!B:B,0))</f>
        <v>Fournisseurs</v>
      </c>
      <c r="D135" t="s">
        <v>352</v>
      </c>
      <c r="E135" t="s">
        <v>688</v>
      </c>
      <c r="F135">
        <v>1307.82</v>
      </c>
      <c r="K135">
        <v>134</v>
      </c>
      <c r="L135">
        <v>1</v>
      </c>
      <c r="M135">
        <v>0</v>
      </c>
      <c r="P135">
        <f>VLOOKUP(D135,tab!A:B,2,FALSE)</f>
        <v>119</v>
      </c>
      <c r="R135">
        <f t="shared" si="6"/>
        <v>-1307.82</v>
      </c>
      <c r="S135">
        <v>20</v>
      </c>
      <c r="T135" s="13">
        <f t="shared" si="7"/>
        <v>0</v>
      </c>
    </row>
    <row r="136" spans="1:20" x14ac:dyDescent="0.25">
      <c r="A136" s="9">
        <v>43585</v>
      </c>
      <c r="B136" s="1">
        <v>43585</v>
      </c>
      <c r="C136" t="e">
        <f>INDEX(Balance!A:A,MATCH(D136,Balance!B:B,0))</f>
        <v>#N/A</v>
      </c>
      <c r="D136" t="s">
        <v>689</v>
      </c>
      <c r="E136" t="s">
        <v>690</v>
      </c>
      <c r="F136">
        <v>283.12</v>
      </c>
      <c r="K136">
        <v>135</v>
      </c>
      <c r="L136">
        <v>1</v>
      </c>
      <c r="M136">
        <v>0</v>
      </c>
      <c r="P136" t="e">
        <f>VLOOKUP(D136,tab!A:B,2,FALSE)</f>
        <v>#N/A</v>
      </c>
      <c r="R136">
        <f t="shared" si="6"/>
        <v>-283.12</v>
      </c>
      <c r="S136">
        <v>20</v>
      </c>
      <c r="T136" s="13">
        <f t="shared" si="7"/>
        <v>0</v>
      </c>
    </row>
    <row r="137" spans="1:20" x14ac:dyDescent="0.25">
      <c r="A137" s="9">
        <v>43585</v>
      </c>
      <c r="B137" s="1">
        <v>43626</v>
      </c>
      <c r="C137" t="str">
        <f>INDEX(Balance!A:A,MATCH(D137,Balance!B:B,0))</f>
        <v>Fournisseurs</v>
      </c>
      <c r="D137" t="s">
        <v>288</v>
      </c>
      <c r="E137" t="s">
        <v>691</v>
      </c>
      <c r="F137">
        <v>235.66</v>
      </c>
      <c r="K137">
        <v>136</v>
      </c>
      <c r="L137">
        <v>1</v>
      </c>
      <c r="M137">
        <v>0</v>
      </c>
      <c r="P137">
        <f>VLOOKUP(D137,tab!A:B,2,FALSE)</f>
        <v>120</v>
      </c>
      <c r="R137">
        <f t="shared" si="6"/>
        <v>-235.66</v>
      </c>
      <c r="S137">
        <v>20</v>
      </c>
      <c r="T137" s="13">
        <f t="shared" si="7"/>
        <v>0</v>
      </c>
    </row>
    <row r="138" spans="1:20" x14ac:dyDescent="0.25">
      <c r="A138" s="9">
        <v>43580</v>
      </c>
      <c r="B138" s="1">
        <v>43640</v>
      </c>
      <c r="C138" t="e">
        <f>INDEX(Balance!A:A,MATCH(D138,Balance!B:B,0))</f>
        <v>#N/A</v>
      </c>
      <c r="D138" t="s">
        <v>692</v>
      </c>
      <c r="E138" t="s">
        <v>693</v>
      </c>
      <c r="F138">
        <v>723.73</v>
      </c>
      <c r="K138">
        <v>137</v>
      </c>
      <c r="L138">
        <v>1</v>
      </c>
      <c r="M138">
        <v>0</v>
      </c>
      <c r="P138" t="e">
        <f>VLOOKUP(D138,tab!A:B,2,FALSE)</f>
        <v>#N/A</v>
      </c>
      <c r="R138">
        <f t="shared" si="6"/>
        <v>-723.73</v>
      </c>
      <c r="S138">
        <v>20</v>
      </c>
      <c r="T138" s="13">
        <f t="shared" si="7"/>
        <v>0</v>
      </c>
    </row>
    <row r="139" spans="1:20" x14ac:dyDescent="0.25">
      <c r="A139" s="9">
        <v>43579</v>
      </c>
      <c r="B139" s="1">
        <v>43579</v>
      </c>
      <c r="C139" t="str">
        <f>INDEX(Balance!A:A,MATCH(D139,Balance!B:B,0))</f>
        <v>Fournisseurs</v>
      </c>
      <c r="D139" t="s">
        <v>437</v>
      </c>
      <c r="E139" t="s">
        <v>694</v>
      </c>
      <c r="F139">
        <v>252</v>
      </c>
      <c r="K139">
        <v>138</v>
      </c>
      <c r="L139">
        <v>1</v>
      </c>
      <c r="M139">
        <v>0</v>
      </c>
      <c r="P139">
        <f>VLOOKUP(D139,tab!A:B,2,FALSE)</f>
        <v>41</v>
      </c>
      <c r="R139">
        <f t="shared" si="6"/>
        <v>-252</v>
      </c>
      <c r="S139">
        <v>20</v>
      </c>
      <c r="T139" s="13">
        <f t="shared" si="7"/>
        <v>0</v>
      </c>
    </row>
    <row r="140" spans="1:20" x14ac:dyDescent="0.25">
      <c r="A140" s="9">
        <v>43591</v>
      </c>
      <c r="B140" s="1">
        <v>43591</v>
      </c>
      <c r="C140" t="e">
        <f>INDEX(Balance!A:A,MATCH(D140,Balance!B:B,0))</f>
        <v>#N/A</v>
      </c>
      <c r="D140" t="s">
        <v>695</v>
      </c>
      <c r="E140" t="s">
        <v>696</v>
      </c>
      <c r="F140">
        <v>65.7</v>
      </c>
      <c r="K140">
        <v>139</v>
      </c>
      <c r="L140">
        <v>1</v>
      </c>
      <c r="M140">
        <v>0</v>
      </c>
      <c r="P140" t="e">
        <f>VLOOKUP(D140,tab!A:B,2,FALSE)</f>
        <v>#N/A</v>
      </c>
      <c r="R140">
        <f t="shared" si="6"/>
        <v>-65.7</v>
      </c>
      <c r="S140">
        <v>20</v>
      </c>
      <c r="T140" s="13">
        <f t="shared" si="7"/>
        <v>0</v>
      </c>
    </row>
    <row r="141" spans="1:20" x14ac:dyDescent="0.25">
      <c r="A141" s="9">
        <v>43585</v>
      </c>
      <c r="B141" s="1">
        <v>43615</v>
      </c>
      <c r="C141" t="str">
        <f>INDEX(Balance!A:A,MATCH(D141,Balance!B:B,0))</f>
        <v>Fournisseurs</v>
      </c>
      <c r="D141" t="s">
        <v>698</v>
      </c>
      <c r="E141" t="s">
        <v>697</v>
      </c>
      <c r="F141">
        <v>0</v>
      </c>
      <c r="G141">
        <v>1560</v>
      </c>
      <c r="K141">
        <v>140</v>
      </c>
      <c r="L141">
        <v>1</v>
      </c>
      <c r="M141">
        <v>0</v>
      </c>
      <c r="P141">
        <f>VLOOKUP(D141,tab!A:B,2,FALSE)</f>
        <v>89</v>
      </c>
      <c r="R141">
        <f t="shared" si="6"/>
        <v>1560</v>
      </c>
      <c r="S141">
        <v>20</v>
      </c>
      <c r="T141" s="13">
        <f t="shared" si="7"/>
        <v>0</v>
      </c>
    </row>
    <row r="142" spans="1:20" x14ac:dyDescent="0.25">
      <c r="A142" s="9">
        <v>43585</v>
      </c>
      <c r="B142" s="1">
        <v>43615</v>
      </c>
      <c r="C142" t="str">
        <f>INDEX(Balance!A:A,MATCH(D142,Balance!B:B,0))</f>
        <v>Client</v>
      </c>
      <c r="D142" t="s">
        <v>370</v>
      </c>
      <c r="E142" t="s">
        <v>699</v>
      </c>
      <c r="F142">
        <v>0</v>
      </c>
      <c r="G142">
        <v>8808.2999999999993</v>
      </c>
      <c r="K142">
        <v>141</v>
      </c>
      <c r="L142">
        <v>1</v>
      </c>
      <c r="M142">
        <v>0</v>
      </c>
      <c r="P142">
        <f>VLOOKUP(D142,tab!A:B,2,FALSE)</f>
        <v>9</v>
      </c>
      <c r="R142">
        <f t="shared" si="6"/>
        <v>8808.2999999999993</v>
      </c>
      <c r="S142">
        <v>20</v>
      </c>
      <c r="T142" s="13">
        <f t="shared" si="7"/>
        <v>0</v>
      </c>
    </row>
    <row r="143" spans="1:20" x14ac:dyDescent="0.25">
      <c r="A143" s="9">
        <v>43585</v>
      </c>
      <c r="B143" s="1">
        <v>43615</v>
      </c>
      <c r="C143" t="e">
        <f>INDEX(Balance!A:A,MATCH(D143,Balance!B:B,0))</f>
        <v>#N/A</v>
      </c>
      <c r="D143" t="s">
        <v>700</v>
      </c>
      <c r="E143" t="s">
        <v>701</v>
      </c>
      <c r="F143">
        <v>1223.46</v>
      </c>
      <c r="K143">
        <v>142</v>
      </c>
      <c r="L143">
        <v>1</v>
      </c>
      <c r="M143">
        <v>0</v>
      </c>
      <c r="P143" t="e">
        <f>VLOOKUP(D143,tab!A:B,2,FALSE)</f>
        <v>#N/A</v>
      </c>
      <c r="R143">
        <f t="shared" si="6"/>
        <v>-1223.46</v>
      </c>
      <c r="S143">
        <v>20</v>
      </c>
      <c r="T143" s="13">
        <f t="shared" si="7"/>
        <v>0</v>
      </c>
    </row>
    <row r="144" spans="1:20" x14ac:dyDescent="0.25">
      <c r="A144" s="9">
        <v>43585</v>
      </c>
      <c r="B144" s="1">
        <v>43615</v>
      </c>
      <c r="C144" t="e">
        <f>INDEX(Balance!A:A,MATCH(D144,Balance!B:B,0))</f>
        <v>#N/A</v>
      </c>
      <c r="D144" t="s">
        <v>702</v>
      </c>
      <c r="E144" t="s">
        <v>703</v>
      </c>
      <c r="G144">
        <v>380</v>
      </c>
      <c r="K144">
        <v>143</v>
      </c>
      <c r="L144">
        <v>1</v>
      </c>
      <c r="M144">
        <v>0</v>
      </c>
      <c r="P144" t="e">
        <f>VLOOKUP(D144,tab!A:B,2,FALSE)</f>
        <v>#N/A</v>
      </c>
      <c r="R144">
        <f t="shared" si="6"/>
        <v>380</v>
      </c>
      <c r="S144">
        <v>20</v>
      </c>
      <c r="T144" s="13">
        <f t="shared" si="7"/>
        <v>0</v>
      </c>
    </row>
    <row r="145" spans="1:20" x14ac:dyDescent="0.25">
      <c r="A145" s="9">
        <v>43585</v>
      </c>
      <c r="B145" s="1">
        <v>43615</v>
      </c>
      <c r="C145" t="e">
        <f>INDEX(Balance!A:A,MATCH(D145,Balance!B:B,0))</f>
        <v>#N/A</v>
      </c>
      <c r="D145" t="s">
        <v>704</v>
      </c>
      <c r="E145" t="s">
        <v>705</v>
      </c>
      <c r="G145">
        <v>5227.2</v>
      </c>
      <c r="K145">
        <v>144</v>
      </c>
      <c r="L145">
        <v>1</v>
      </c>
      <c r="M145">
        <v>0</v>
      </c>
      <c r="P145" t="e">
        <f>VLOOKUP(D145,tab!A:B,2,FALSE)</f>
        <v>#N/A</v>
      </c>
      <c r="R145">
        <f t="shared" si="6"/>
        <v>5227.2</v>
      </c>
      <c r="S145">
        <v>20</v>
      </c>
      <c r="T145" s="13">
        <f t="shared" si="7"/>
        <v>0</v>
      </c>
    </row>
    <row r="146" spans="1:20" x14ac:dyDescent="0.25">
      <c r="A146" s="9">
        <v>43585</v>
      </c>
      <c r="B146" s="1">
        <v>43615</v>
      </c>
      <c r="C146" t="e">
        <f>INDEX(Balance!A:A,MATCH(D146,Balance!B:B,0))</f>
        <v>#N/A</v>
      </c>
      <c r="D146" t="s">
        <v>706</v>
      </c>
      <c r="E146" t="s">
        <v>707</v>
      </c>
      <c r="G146">
        <v>5325</v>
      </c>
      <c r="K146">
        <v>145</v>
      </c>
      <c r="L146">
        <v>1</v>
      </c>
      <c r="M146">
        <v>0</v>
      </c>
      <c r="P146" t="e">
        <f>VLOOKUP(D146,tab!A:B,2,FALSE)</f>
        <v>#N/A</v>
      </c>
      <c r="R146">
        <f t="shared" si="6"/>
        <v>5325</v>
      </c>
      <c r="S146">
        <v>20</v>
      </c>
      <c r="T146" s="13">
        <f t="shared" si="7"/>
        <v>0</v>
      </c>
    </row>
    <row r="147" spans="1:20" x14ac:dyDescent="0.25">
      <c r="A147" s="9">
        <v>43585</v>
      </c>
      <c r="B147" s="1">
        <v>43615</v>
      </c>
      <c r="C147" t="e">
        <f>INDEX(Balance!A:A,MATCH(D147,Balance!B:B,0))</f>
        <v>#N/A</v>
      </c>
      <c r="D147" t="s">
        <v>708</v>
      </c>
      <c r="E147" t="s">
        <v>709</v>
      </c>
      <c r="G147">
        <v>2112</v>
      </c>
      <c r="K147">
        <v>146</v>
      </c>
      <c r="L147">
        <v>1</v>
      </c>
      <c r="M147">
        <v>0</v>
      </c>
      <c r="P147" t="e">
        <f>VLOOKUP(D147,tab!A:B,2,FALSE)</f>
        <v>#N/A</v>
      </c>
      <c r="R147">
        <f t="shared" si="6"/>
        <v>2112</v>
      </c>
      <c r="S147">
        <v>20</v>
      </c>
      <c r="T147" s="13">
        <f t="shared" si="7"/>
        <v>0</v>
      </c>
    </row>
    <row r="148" spans="1:20" x14ac:dyDescent="0.25">
      <c r="A148" s="9">
        <v>43585</v>
      </c>
      <c r="B148" s="1">
        <v>43615</v>
      </c>
      <c r="C148" t="str">
        <f>INDEX(Balance!A:A,MATCH(D148,Balance!B:B,0))</f>
        <v>Client</v>
      </c>
      <c r="D148" t="s">
        <v>379</v>
      </c>
      <c r="E148" t="s">
        <v>710</v>
      </c>
      <c r="G148">
        <v>38785.919999999998</v>
      </c>
      <c r="K148">
        <v>147</v>
      </c>
      <c r="L148">
        <v>1</v>
      </c>
      <c r="M148">
        <v>0</v>
      </c>
      <c r="P148">
        <f>VLOOKUP(D148,tab!A:B,2,FALSE)</f>
        <v>4</v>
      </c>
      <c r="R148">
        <f t="shared" si="6"/>
        <v>38785.919999999998</v>
      </c>
      <c r="S148">
        <v>20</v>
      </c>
      <c r="T148" s="13">
        <f t="shared" si="7"/>
        <v>0</v>
      </c>
    </row>
    <row r="149" spans="1:20" x14ac:dyDescent="0.25">
      <c r="A149" s="9">
        <v>43585</v>
      </c>
      <c r="B149" s="1">
        <v>43615</v>
      </c>
      <c r="C149" t="str">
        <f>INDEX(Balance!A:A,MATCH(D149,Balance!B:B,0))</f>
        <v>Fournisseurs</v>
      </c>
      <c r="D149" t="s">
        <v>273</v>
      </c>
      <c r="E149" t="s">
        <v>712</v>
      </c>
      <c r="F149">
        <v>42.38</v>
      </c>
      <c r="K149">
        <v>148</v>
      </c>
      <c r="L149">
        <v>1</v>
      </c>
      <c r="M149">
        <v>0</v>
      </c>
      <c r="P149">
        <f>VLOOKUP(D149,tab!A:B,2,FALSE)</f>
        <v>32</v>
      </c>
      <c r="R149">
        <f t="shared" si="6"/>
        <v>-42.38</v>
      </c>
      <c r="S149">
        <v>20</v>
      </c>
      <c r="T149" s="13">
        <f t="shared" si="7"/>
        <v>0</v>
      </c>
    </row>
    <row r="150" spans="1:20" x14ac:dyDescent="0.25">
      <c r="A150" s="9">
        <v>43585</v>
      </c>
      <c r="B150" s="1">
        <v>43631</v>
      </c>
      <c r="C150" t="str">
        <f>INDEX(Balance!A:A,MATCH(D150,Balance!B:B,0))</f>
        <v>Fournisseurs</v>
      </c>
      <c r="D150" t="s">
        <v>268</v>
      </c>
      <c r="E150" t="s">
        <v>713</v>
      </c>
      <c r="F150">
        <v>376.2</v>
      </c>
      <c r="K150">
        <v>149</v>
      </c>
      <c r="L150">
        <v>1</v>
      </c>
      <c r="M150">
        <v>0</v>
      </c>
      <c r="P150">
        <f>VLOOKUP(D150,tab!A:B,2,FALSE)</f>
        <v>106</v>
      </c>
      <c r="R150">
        <f t="shared" si="6"/>
        <v>-376.2</v>
      </c>
      <c r="S150">
        <v>20</v>
      </c>
      <c r="T150" s="13">
        <f t="shared" si="7"/>
        <v>0</v>
      </c>
    </row>
    <row r="151" spans="1:20" x14ac:dyDescent="0.25">
      <c r="A151" s="9">
        <v>43585</v>
      </c>
      <c r="B151" s="1">
        <v>43615</v>
      </c>
      <c r="C151" t="str">
        <f>INDEX(Balance!A:A,MATCH(D151,Balance!B:B,0))</f>
        <v>Fournisseurs</v>
      </c>
      <c r="D151" t="s">
        <v>274</v>
      </c>
      <c r="E151" t="s">
        <v>714</v>
      </c>
      <c r="F151">
        <v>946.12</v>
      </c>
      <c r="K151">
        <v>150</v>
      </c>
      <c r="L151">
        <v>1</v>
      </c>
      <c r="M151">
        <v>0</v>
      </c>
      <c r="P151">
        <f>VLOOKUP(D151,tab!A:B,2,FALSE)</f>
        <v>63</v>
      </c>
      <c r="R151">
        <f t="shared" si="6"/>
        <v>-946.12</v>
      </c>
      <c r="S151">
        <v>20</v>
      </c>
      <c r="T151" s="13">
        <f t="shared" si="7"/>
        <v>0</v>
      </c>
    </row>
    <row r="152" spans="1:20" x14ac:dyDescent="0.25">
      <c r="A152" s="9">
        <v>43592</v>
      </c>
      <c r="B152" s="1">
        <v>43656</v>
      </c>
      <c r="C152" t="str">
        <f>INDEX(Balance!A:A,MATCH(D152,Balance!B:B,0))</f>
        <v>Fournisseurs</v>
      </c>
      <c r="D152" t="s">
        <v>288</v>
      </c>
      <c r="E152" t="s">
        <v>715</v>
      </c>
      <c r="F152">
        <v>240.19</v>
      </c>
      <c r="K152">
        <v>151</v>
      </c>
      <c r="L152">
        <v>1</v>
      </c>
      <c r="M152">
        <v>0</v>
      </c>
      <c r="P152">
        <f>VLOOKUP(D152,tab!A:B,2,FALSE)</f>
        <v>120</v>
      </c>
      <c r="R152">
        <f t="shared" si="6"/>
        <v>-240.19</v>
      </c>
      <c r="S152">
        <v>20</v>
      </c>
      <c r="T152" s="13">
        <f t="shared" si="7"/>
        <v>0</v>
      </c>
    </row>
    <row r="153" spans="1:20" x14ac:dyDescent="0.25">
      <c r="A153" s="9">
        <v>43600</v>
      </c>
      <c r="B153" s="1">
        <v>43661</v>
      </c>
      <c r="C153" t="str">
        <f>INDEX(Balance!A:A,MATCH(D153,Balance!B:B,0))</f>
        <v>Fournisseurs</v>
      </c>
      <c r="D153" t="s">
        <v>262</v>
      </c>
      <c r="E153" t="s">
        <v>795</v>
      </c>
      <c r="F153">
        <v>115.08</v>
      </c>
      <c r="K153">
        <v>152</v>
      </c>
      <c r="L153">
        <v>1</v>
      </c>
      <c r="M153">
        <v>0</v>
      </c>
      <c r="P153">
        <f>VLOOKUP(D153,tab!A:B,2,FALSE)</f>
        <v>65</v>
      </c>
      <c r="R153">
        <f t="shared" si="6"/>
        <v>-115.08</v>
      </c>
      <c r="S153">
        <v>20</v>
      </c>
      <c r="T153" s="13">
        <f t="shared" si="7"/>
        <v>0</v>
      </c>
    </row>
    <row r="154" spans="1:20" x14ac:dyDescent="0.25">
      <c r="A154" s="9">
        <v>43601</v>
      </c>
      <c r="B154" s="1">
        <v>43661</v>
      </c>
      <c r="C154" t="str">
        <f>INDEX(Balance!A:A,MATCH(D154,Balance!B:B,0))</f>
        <v>Fournisseurs</v>
      </c>
      <c r="D154" t="s">
        <v>277</v>
      </c>
      <c r="E154" t="s">
        <v>796</v>
      </c>
      <c r="F154">
        <v>35.659999999999997</v>
      </c>
      <c r="K154">
        <v>153</v>
      </c>
      <c r="L154">
        <v>1</v>
      </c>
      <c r="M154">
        <v>0</v>
      </c>
      <c r="P154">
        <f>VLOOKUP(D154,tab!A:B,2,FALSE)</f>
        <v>62</v>
      </c>
      <c r="R154">
        <f t="shared" si="6"/>
        <v>-35.659999999999997</v>
      </c>
      <c r="S154">
        <v>20</v>
      </c>
      <c r="T154" s="13">
        <f t="shared" si="7"/>
        <v>0</v>
      </c>
    </row>
    <row r="155" spans="1:20" x14ac:dyDescent="0.25">
      <c r="A155" s="9">
        <v>43600</v>
      </c>
      <c r="B155" s="1">
        <v>43646</v>
      </c>
      <c r="C155" t="str">
        <f>INDEX(Balance!A:A,MATCH(D155,Balance!B:B,0))</f>
        <v>Fournisseurs</v>
      </c>
      <c r="D155" t="s">
        <v>797</v>
      </c>
      <c r="E155" t="s">
        <v>798</v>
      </c>
      <c r="F155">
        <v>1149.48</v>
      </c>
      <c r="K155">
        <v>154</v>
      </c>
      <c r="L155">
        <v>1</v>
      </c>
      <c r="M155">
        <v>0</v>
      </c>
      <c r="P155">
        <f>VLOOKUP(D155,tab!A:B,2,FALSE)</f>
        <v>72</v>
      </c>
      <c r="R155">
        <f t="shared" si="6"/>
        <v>-1149.48</v>
      </c>
      <c r="S155">
        <v>20</v>
      </c>
      <c r="T155" s="13">
        <f t="shared" si="7"/>
        <v>0</v>
      </c>
    </row>
    <row r="156" spans="1:20" x14ac:dyDescent="0.25">
      <c r="A156" s="9">
        <v>43585</v>
      </c>
      <c r="B156" s="1">
        <v>43646</v>
      </c>
      <c r="C156" t="e">
        <f>INDEX(Balance!A:A,MATCH(D156,Balance!B:B,0))</f>
        <v>#N/A</v>
      </c>
      <c r="D156" t="s">
        <v>799</v>
      </c>
      <c r="E156" t="s">
        <v>800</v>
      </c>
      <c r="F156">
        <v>15502.44</v>
      </c>
      <c r="K156">
        <v>155</v>
      </c>
      <c r="L156">
        <v>1</v>
      </c>
      <c r="M156">
        <v>0</v>
      </c>
      <c r="P156" t="e">
        <f>VLOOKUP(D156,tab!A:B,2,FALSE)</f>
        <v>#N/A</v>
      </c>
      <c r="R156">
        <f t="shared" si="6"/>
        <v>-15502.44</v>
      </c>
      <c r="S156">
        <v>20</v>
      </c>
      <c r="T156" s="13">
        <f t="shared" si="7"/>
        <v>0</v>
      </c>
    </row>
    <row r="157" spans="1:20" x14ac:dyDescent="0.25">
      <c r="A157" s="9">
        <v>43604</v>
      </c>
      <c r="B157" s="1">
        <v>43646</v>
      </c>
      <c r="C157" t="str">
        <f>INDEX(Balance!A:A,MATCH(D157,Balance!B:B,0))</f>
        <v>Fournisseurs</v>
      </c>
      <c r="D157" t="s">
        <v>285</v>
      </c>
      <c r="E157" t="s">
        <v>801</v>
      </c>
      <c r="F157">
        <v>1813.68</v>
      </c>
      <c r="K157">
        <v>156</v>
      </c>
      <c r="L157">
        <v>1</v>
      </c>
      <c r="M157">
        <v>0</v>
      </c>
      <c r="P157">
        <f>VLOOKUP(D157,tab!A:B,2,FALSE)</f>
        <v>122</v>
      </c>
      <c r="R157">
        <f t="shared" si="6"/>
        <v>-1813.68</v>
      </c>
      <c r="S157">
        <v>20</v>
      </c>
      <c r="T157" s="13">
        <f t="shared" si="7"/>
        <v>0</v>
      </c>
    </row>
    <row r="158" spans="1:20" x14ac:dyDescent="0.25">
      <c r="A158" s="9">
        <v>43600</v>
      </c>
      <c r="B158" s="1">
        <v>43646</v>
      </c>
      <c r="C158" t="e">
        <f>INDEX(Balance!A:A,MATCH(D158,Balance!B:B,0))</f>
        <v>#N/A</v>
      </c>
      <c r="D158" t="s">
        <v>802</v>
      </c>
      <c r="E158" t="s">
        <v>803</v>
      </c>
      <c r="F158">
        <v>2234.1</v>
      </c>
      <c r="K158">
        <v>157</v>
      </c>
      <c r="L158">
        <v>1</v>
      </c>
      <c r="M158">
        <v>0</v>
      </c>
      <c r="P158" t="e">
        <f>VLOOKUP(D158,tab!A:B,2,FALSE)</f>
        <v>#N/A</v>
      </c>
      <c r="R158">
        <f t="shared" si="6"/>
        <v>-2234.1</v>
      </c>
      <c r="S158">
        <v>20</v>
      </c>
      <c r="T158" s="13">
        <f t="shared" si="7"/>
        <v>0</v>
      </c>
    </row>
    <row r="159" spans="1:20" x14ac:dyDescent="0.25">
      <c r="A159" s="9">
        <v>43600</v>
      </c>
      <c r="B159" s="1">
        <v>43646</v>
      </c>
      <c r="C159" t="e">
        <f>INDEX(Balance!A:A,MATCH(D159,Balance!B:B,0))</f>
        <v>#N/A</v>
      </c>
      <c r="D159" t="s">
        <v>804</v>
      </c>
      <c r="E159" t="s">
        <v>805</v>
      </c>
      <c r="F159">
        <v>550.67999999999995</v>
      </c>
      <c r="K159">
        <v>158</v>
      </c>
      <c r="L159">
        <v>1</v>
      </c>
      <c r="M159">
        <v>0</v>
      </c>
      <c r="P159" t="e">
        <f>VLOOKUP(D159,tab!A:B,2,FALSE)</f>
        <v>#N/A</v>
      </c>
      <c r="R159">
        <f t="shared" si="6"/>
        <v>-550.67999999999995</v>
      </c>
      <c r="S159">
        <v>20</v>
      </c>
      <c r="T159" s="13">
        <f t="shared" si="7"/>
        <v>0</v>
      </c>
    </row>
    <row r="160" spans="1:20" x14ac:dyDescent="0.25">
      <c r="A160" s="9">
        <v>43615</v>
      </c>
      <c r="B160" s="1">
        <v>43646</v>
      </c>
      <c r="C160" t="str">
        <f>INDEX(Balance!A:A,MATCH(D160,Balance!B:B,0))</f>
        <v>Client</v>
      </c>
      <c r="D160" t="s">
        <v>366</v>
      </c>
      <c r="E160" t="s">
        <v>826</v>
      </c>
      <c r="G160">
        <v>1344</v>
      </c>
      <c r="K160">
        <v>159</v>
      </c>
      <c r="L160">
        <v>1</v>
      </c>
      <c r="M160">
        <v>0</v>
      </c>
      <c r="P160">
        <f>VLOOKUP(D160,tab!A:B,2,FALSE)</f>
        <v>5</v>
      </c>
      <c r="R160">
        <f t="shared" si="6"/>
        <v>1344</v>
      </c>
      <c r="S160">
        <v>20</v>
      </c>
      <c r="T160" s="13">
        <f t="shared" si="7"/>
        <v>0</v>
      </c>
    </row>
    <row r="161" spans="1:20" x14ac:dyDescent="0.25">
      <c r="A161" s="9">
        <v>43615</v>
      </c>
      <c r="B161" s="1">
        <v>43646</v>
      </c>
      <c r="C161" t="e">
        <f>INDEX(Balance!A:A,MATCH(D161,Balance!B:B,0))</f>
        <v>#N/A</v>
      </c>
      <c r="D161" t="s">
        <v>828</v>
      </c>
      <c r="E161" t="s">
        <v>827</v>
      </c>
      <c r="G161">
        <v>6696</v>
      </c>
      <c r="K161">
        <v>160</v>
      </c>
      <c r="L161">
        <v>1</v>
      </c>
      <c r="M161">
        <v>0</v>
      </c>
      <c r="P161" t="e">
        <f>VLOOKUP(D161,tab!A:B,2,FALSE)</f>
        <v>#N/A</v>
      </c>
      <c r="R161">
        <f t="shared" si="6"/>
        <v>6696</v>
      </c>
      <c r="S161">
        <v>20</v>
      </c>
      <c r="T161" s="13">
        <f t="shared" si="7"/>
        <v>0</v>
      </c>
    </row>
    <row r="162" spans="1:20" x14ac:dyDescent="0.25">
      <c r="A162" s="9">
        <v>43615</v>
      </c>
      <c r="B162" s="1">
        <v>43646</v>
      </c>
      <c r="C162" t="e">
        <f>INDEX(Balance!A:A,MATCH(D162,Balance!B:B,0))</f>
        <v>#N/A</v>
      </c>
      <c r="D162" t="s">
        <v>706</v>
      </c>
      <c r="E162" t="s">
        <v>829</v>
      </c>
      <c r="G162">
        <v>11095.2</v>
      </c>
      <c r="K162">
        <v>161</v>
      </c>
      <c r="L162">
        <v>1</v>
      </c>
      <c r="M162">
        <v>0</v>
      </c>
      <c r="P162" t="e">
        <f>VLOOKUP(D162,tab!A:B,2,FALSE)</f>
        <v>#N/A</v>
      </c>
      <c r="R162">
        <f t="shared" si="6"/>
        <v>11095.2</v>
      </c>
      <c r="S162">
        <v>20</v>
      </c>
      <c r="T162" s="13">
        <f t="shared" si="7"/>
        <v>0</v>
      </c>
    </row>
    <row r="163" spans="1:20" x14ac:dyDescent="0.25">
      <c r="A163" s="9">
        <v>43615</v>
      </c>
      <c r="B163" s="1">
        <v>43646</v>
      </c>
      <c r="C163" t="e">
        <f>INDEX(Balance!A:A,MATCH(D163,Balance!B:B,0))</f>
        <v>#N/A</v>
      </c>
      <c r="D163" t="s">
        <v>704</v>
      </c>
      <c r="E163" t="s">
        <v>830</v>
      </c>
      <c r="G163">
        <v>18295.2</v>
      </c>
      <c r="K163">
        <v>162</v>
      </c>
      <c r="L163">
        <v>1</v>
      </c>
      <c r="M163">
        <v>0</v>
      </c>
      <c r="P163" t="e">
        <f>VLOOKUP(D163,tab!A:B,2,FALSE)</f>
        <v>#N/A</v>
      </c>
      <c r="R163">
        <f t="shared" si="6"/>
        <v>18295.2</v>
      </c>
      <c r="S163">
        <v>20</v>
      </c>
      <c r="T163" s="13">
        <f t="shared" si="7"/>
        <v>0</v>
      </c>
    </row>
    <row r="164" spans="1:20" x14ac:dyDescent="0.25">
      <c r="A164" s="9">
        <v>43615</v>
      </c>
      <c r="B164" s="1">
        <v>43646</v>
      </c>
      <c r="C164" t="e">
        <f>INDEX(Balance!A:A,MATCH(D164,Balance!B:B,0))</f>
        <v>#N/A</v>
      </c>
      <c r="D164" t="s">
        <v>831</v>
      </c>
      <c r="E164" t="s">
        <v>832</v>
      </c>
      <c r="G164">
        <v>6960</v>
      </c>
      <c r="K164">
        <v>163</v>
      </c>
      <c r="L164">
        <v>1</v>
      </c>
      <c r="M164">
        <v>0</v>
      </c>
      <c r="P164" t="e">
        <f>VLOOKUP(D164,tab!A:B,2,FALSE)</f>
        <v>#N/A</v>
      </c>
      <c r="R164">
        <f t="shared" si="6"/>
        <v>6960</v>
      </c>
      <c r="S164">
        <v>20</v>
      </c>
      <c r="T164" s="13">
        <f t="shared" si="7"/>
        <v>0</v>
      </c>
    </row>
    <row r="165" spans="1:20" x14ac:dyDescent="0.25">
      <c r="A165" s="9">
        <v>43615</v>
      </c>
      <c r="B165" s="1">
        <v>43646</v>
      </c>
      <c r="C165" t="e">
        <f>INDEX(Balance!A:A,MATCH(D165,Balance!B:B,0))</f>
        <v>#N/A</v>
      </c>
      <c r="D165" t="s">
        <v>833</v>
      </c>
      <c r="E165" t="s">
        <v>834</v>
      </c>
      <c r="G165">
        <v>5448</v>
      </c>
      <c r="K165">
        <v>164</v>
      </c>
      <c r="L165">
        <v>1</v>
      </c>
      <c r="M165">
        <v>0</v>
      </c>
      <c r="P165" t="e">
        <f>VLOOKUP(D165,tab!A:B,2,FALSE)</f>
        <v>#N/A</v>
      </c>
      <c r="R165">
        <f t="shared" si="6"/>
        <v>5448</v>
      </c>
      <c r="S165">
        <v>20</v>
      </c>
      <c r="T165" s="13">
        <f t="shared" si="7"/>
        <v>0</v>
      </c>
    </row>
    <row r="166" spans="1:20" x14ac:dyDescent="0.25">
      <c r="A166" s="9">
        <v>43615</v>
      </c>
      <c r="B166" s="1">
        <v>43646</v>
      </c>
      <c r="C166" t="e">
        <f>INDEX(Balance!A:A,MATCH(D166,Balance!B:B,0))</f>
        <v>#N/A</v>
      </c>
      <c r="D166" t="s">
        <v>836</v>
      </c>
      <c r="E166" t="s">
        <v>835</v>
      </c>
      <c r="G166">
        <v>348</v>
      </c>
      <c r="K166">
        <v>165</v>
      </c>
      <c r="L166">
        <v>1</v>
      </c>
      <c r="M166">
        <v>0</v>
      </c>
      <c r="P166" t="e">
        <f>VLOOKUP(D166,tab!A:B,2,FALSE)</f>
        <v>#N/A</v>
      </c>
      <c r="R166">
        <f t="shared" si="6"/>
        <v>348</v>
      </c>
      <c r="S166">
        <v>20</v>
      </c>
      <c r="T166" s="13">
        <f t="shared" si="7"/>
        <v>0</v>
      </c>
    </row>
    <row r="167" spans="1:20" x14ac:dyDescent="0.25">
      <c r="A167" s="9">
        <v>43615</v>
      </c>
      <c r="B167" s="1">
        <v>43646</v>
      </c>
      <c r="C167" t="str">
        <f>INDEX(Balance!A:A,MATCH(D167,Balance!B:B,0))</f>
        <v>Fournisseurs</v>
      </c>
      <c r="D167" t="s">
        <v>298</v>
      </c>
      <c r="E167" t="s">
        <v>837</v>
      </c>
      <c r="F167">
        <v>189.1</v>
      </c>
      <c r="K167">
        <v>166</v>
      </c>
      <c r="L167">
        <v>1</v>
      </c>
      <c r="M167">
        <v>0</v>
      </c>
      <c r="P167">
        <f>VLOOKUP(D167,tab!A:B,2,FALSE)</f>
        <v>81</v>
      </c>
      <c r="R167">
        <f t="shared" si="6"/>
        <v>-189.1</v>
      </c>
      <c r="S167">
        <v>20</v>
      </c>
      <c r="T167" s="13">
        <f t="shared" si="7"/>
        <v>0</v>
      </c>
    </row>
    <row r="168" spans="1:20" x14ac:dyDescent="0.25">
      <c r="A168" s="9">
        <v>43615</v>
      </c>
      <c r="B168" s="1">
        <v>43646</v>
      </c>
      <c r="C168" t="str">
        <f>INDEX(Balance!A:A,MATCH(D168,Balance!B:B,0))</f>
        <v>Fournisseurs</v>
      </c>
      <c r="D168" t="s">
        <v>281</v>
      </c>
      <c r="E168" t="s">
        <v>838</v>
      </c>
      <c r="F168">
        <v>847.2</v>
      </c>
      <c r="K168">
        <v>167</v>
      </c>
      <c r="L168">
        <v>1</v>
      </c>
      <c r="M168">
        <v>0</v>
      </c>
      <c r="P168">
        <f>VLOOKUP(D168,tab!A:B,2,FALSE)</f>
        <v>77</v>
      </c>
      <c r="R168">
        <f t="shared" si="6"/>
        <v>-847.2</v>
      </c>
      <c r="S168">
        <v>20</v>
      </c>
      <c r="T168" s="13">
        <f t="shared" si="7"/>
        <v>0</v>
      </c>
    </row>
    <row r="169" spans="1:20" x14ac:dyDescent="0.25">
      <c r="A169" s="9">
        <v>43615</v>
      </c>
      <c r="B169" s="1">
        <v>43646</v>
      </c>
      <c r="C169" t="str">
        <f>INDEX(Balance!A:A,MATCH(D169,Balance!B:B,0))</f>
        <v>Fournisseurs</v>
      </c>
      <c r="D169" t="s">
        <v>357</v>
      </c>
      <c r="E169" t="s">
        <v>839</v>
      </c>
      <c r="F169">
        <v>206.94</v>
      </c>
      <c r="K169">
        <v>168</v>
      </c>
      <c r="L169">
        <v>1</v>
      </c>
      <c r="M169">
        <v>0</v>
      </c>
      <c r="P169">
        <f>VLOOKUP(D169,tab!A:B,2,FALSE)</f>
        <v>50</v>
      </c>
      <c r="R169">
        <f t="shared" si="6"/>
        <v>-206.94</v>
      </c>
      <c r="S169">
        <v>20</v>
      </c>
      <c r="T169" s="13">
        <f t="shared" si="7"/>
        <v>0</v>
      </c>
    </row>
    <row r="170" spans="1:20" x14ac:dyDescent="0.25">
      <c r="A170" s="9">
        <v>43615</v>
      </c>
      <c r="B170" s="1">
        <v>43646</v>
      </c>
      <c r="C170" t="str">
        <f>INDEX(Balance!A:A,MATCH(D170,Balance!B:B,0))</f>
        <v>Fournisseurs</v>
      </c>
      <c r="D170" t="s">
        <v>259</v>
      </c>
      <c r="E170" t="s">
        <v>840</v>
      </c>
      <c r="F170">
        <v>1073.9000000000001</v>
      </c>
      <c r="K170">
        <v>169</v>
      </c>
      <c r="L170">
        <v>1</v>
      </c>
      <c r="M170">
        <v>0</v>
      </c>
      <c r="P170">
        <f>VLOOKUP(D170,tab!A:B,2,FALSE)</f>
        <v>72</v>
      </c>
      <c r="R170">
        <f t="shared" si="6"/>
        <v>-1073.9000000000001</v>
      </c>
      <c r="S170">
        <v>20</v>
      </c>
      <c r="T170" s="13">
        <f t="shared" si="7"/>
        <v>0</v>
      </c>
    </row>
    <row r="171" spans="1:20" x14ac:dyDescent="0.25">
      <c r="A171" s="9">
        <v>43615</v>
      </c>
      <c r="B171" s="1">
        <v>43646</v>
      </c>
      <c r="C171" t="str">
        <f>INDEX(Balance!A:A,MATCH(D171,Balance!B:B,0))</f>
        <v>Fournisseurs</v>
      </c>
      <c r="D171" t="s">
        <v>586</v>
      </c>
      <c r="E171" t="s">
        <v>841</v>
      </c>
      <c r="F171">
        <v>2122.98</v>
      </c>
      <c r="K171">
        <v>170</v>
      </c>
      <c r="L171">
        <v>1</v>
      </c>
      <c r="M171">
        <v>0</v>
      </c>
      <c r="P171">
        <f>VLOOKUP(D171,tab!A:B,2,FALSE)</f>
        <v>92</v>
      </c>
      <c r="R171">
        <f t="shared" si="6"/>
        <v>-2122.98</v>
      </c>
      <c r="S171">
        <v>20</v>
      </c>
      <c r="T171" s="13">
        <f t="shared" si="7"/>
        <v>0</v>
      </c>
    </row>
    <row r="172" spans="1:20" x14ac:dyDescent="0.25">
      <c r="A172" s="9">
        <v>43615</v>
      </c>
      <c r="B172" s="1">
        <v>43646</v>
      </c>
      <c r="C172" t="e">
        <f>INDEX(Balance!A:A,MATCH(D172,Balance!B:B,0))</f>
        <v>#N/A</v>
      </c>
      <c r="D172" t="s">
        <v>842</v>
      </c>
      <c r="E172" t="s">
        <v>843</v>
      </c>
      <c r="F172">
        <v>3528</v>
      </c>
      <c r="K172">
        <v>171</v>
      </c>
      <c r="L172">
        <v>1</v>
      </c>
      <c r="M172">
        <v>0</v>
      </c>
      <c r="P172" t="e">
        <f>VLOOKUP(D172,tab!A:B,2,FALSE)</f>
        <v>#N/A</v>
      </c>
      <c r="R172">
        <f t="shared" si="6"/>
        <v>-3528</v>
      </c>
      <c r="S172">
        <v>20</v>
      </c>
      <c r="T172" s="13">
        <f t="shared" si="7"/>
        <v>0</v>
      </c>
    </row>
    <row r="173" spans="1:20" x14ac:dyDescent="0.25">
      <c r="A173" s="9">
        <v>43615</v>
      </c>
      <c r="B173" s="1">
        <v>43646</v>
      </c>
      <c r="C173" t="e">
        <f>INDEX(Balance!A:A,MATCH(D173,Balance!B:B,0))</f>
        <v>#N/A</v>
      </c>
      <c r="D173" t="s">
        <v>844</v>
      </c>
      <c r="E173" t="s">
        <v>845</v>
      </c>
      <c r="F173">
        <v>300</v>
      </c>
      <c r="K173">
        <v>172</v>
      </c>
      <c r="L173">
        <v>1</v>
      </c>
      <c r="M173">
        <v>0</v>
      </c>
      <c r="P173" t="e">
        <f>VLOOKUP(D173,tab!A:B,2,FALSE)</f>
        <v>#N/A</v>
      </c>
      <c r="R173">
        <f t="shared" si="6"/>
        <v>-300</v>
      </c>
      <c r="S173">
        <v>20</v>
      </c>
      <c r="T173" s="13">
        <f t="shared" si="7"/>
        <v>0</v>
      </c>
    </row>
    <row r="174" spans="1:20" x14ac:dyDescent="0.25">
      <c r="A174" s="9">
        <v>43615</v>
      </c>
      <c r="B174" s="1">
        <v>43646</v>
      </c>
      <c r="C174" t="str">
        <f>INDEX(Balance!A:A,MATCH(D174,Balance!B:B,0))</f>
        <v>Fournisseurs</v>
      </c>
      <c r="D174" t="s">
        <v>270</v>
      </c>
      <c r="E174" t="s">
        <v>846</v>
      </c>
      <c r="F174">
        <v>3253.81</v>
      </c>
      <c r="K174">
        <v>173</v>
      </c>
      <c r="L174">
        <v>1</v>
      </c>
      <c r="M174">
        <v>0</v>
      </c>
      <c r="P174">
        <f>VLOOKUP(D174,tab!A:B,2,FALSE)</f>
        <v>110</v>
      </c>
      <c r="R174">
        <f t="shared" si="6"/>
        <v>-3253.81</v>
      </c>
      <c r="S174">
        <v>20</v>
      </c>
      <c r="T174" s="13">
        <f t="shared" si="7"/>
        <v>0</v>
      </c>
    </row>
    <row r="175" spans="1:20" x14ac:dyDescent="0.25">
      <c r="A175" s="9">
        <v>43615</v>
      </c>
      <c r="B175" s="1">
        <v>43646</v>
      </c>
      <c r="C175" t="str">
        <f>INDEX(Balance!A:A,MATCH(D175,Balance!B:B,0))</f>
        <v>Fournisseurs</v>
      </c>
      <c r="D175" t="s">
        <v>285</v>
      </c>
      <c r="E175" t="s">
        <v>847</v>
      </c>
      <c r="F175">
        <v>1813.68</v>
      </c>
      <c r="K175">
        <v>174</v>
      </c>
      <c r="L175">
        <v>1</v>
      </c>
      <c r="M175">
        <v>0</v>
      </c>
      <c r="P175">
        <f>VLOOKUP(D175,tab!A:B,2,FALSE)</f>
        <v>122</v>
      </c>
      <c r="R175">
        <f t="shared" si="6"/>
        <v>-1813.68</v>
      </c>
      <c r="S175">
        <v>20</v>
      </c>
      <c r="T175" s="13">
        <f t="shared" si="7"/>
        <v>0</v>
      </c>
    </row>
    <row r="176" spans="1:20" x14ac:dyDescent="0.25">
      <c r="A176" s="9">
        <v>43615</v>
      </c>
      <c r="B176" s="1">
        <v>43646</v>
      </c>
      <c r="C176" t="str">
        <f>INDEX(Balance!A:A,MATCH(D176,Balance!B:B,0))</f>
        <v>Fournisseurs</v>
      </c>
      <c r="D176" t="s">
        <v>262</v>
      </c>
      <c r="E176" t="s">
        <v>848</v>
      </c>
      <c r="F176">
        <v>279.48</v>
      </c>
      <c r="K176">
        <v>175</v>
      </c>
      <c r="L176">
        <v>1</v>
      </c>
      <c r="M176">
        <v>0</v>
      </c>
      <c r="P176">
        <f>VLOOKUP(D176,tab!A:B,2,FALSE)</f>
        <v>65</v>
      </c>
      <c r="R176">
        <f t="shared" si="6"/>
        <v>-279.48</v>
      </c>
      <c r="S176">
        <v>20</v>
      </c>
      <c r="T176" s="13">
        <f t="shared" si="7"/>
        <v>0</v>
      </c>
    </row>
    <row r="177" spans="1:20" x14ac:dyDescent="0.25">
      <c r="A177" s="9">
        <v>43615</v>
      </c>
      <c r="B177" s="1">
        <v>43646</v>
      </c>
      <c r="C177" t="str">
        <f>INDEX(Balance!A:A,MATCH(D177,Balance!B:B,0))</f>
        <v>Fournisseurs</v>
      </c>
      <c r="D177" t="s">
        <v>262</v>
      </c>
      <c r="E177" t="s">
        <v>849</v>
      </c>
      <c r="F177">
        <v>65.760000000000005</v>
      </c>
      <c r="K177">
        <v>176</v>
      </c>
      <c r="L177">
        <v>1</v>
      </c>
      <c r="M177">
        <v>0</v>
      </c>
      <c r="P177">
        <f>VLOOKUP(D177,tab!A:B,2,FALSE)</f>
        <v>65</v>
      </c>
      <c r="R177">
        <f t="shared" si="6"/>
        <v>-65.760000000000005</v>
      </c>
      <c r="S177">
        <v>20</v>
      </c>
      <c r="T177" s="13">
        <f t="shared" si="7"/>
        <v>0</v>
      </c>
    </row>
    <row r="178" spans="1:20" x14ac:dyDescent="0.25">
      <c r="A178" s="9">
        <v>43615</v>
      </c>
      <c r="B178" s="1">
        <v>43676</v>
      </c>
      <c r="C178" t="str">
        <f>INDEX(Balance!A:A,MATCH(D178,Balance!B:B,0))</f>
        <v>Fournisseurs</v>
      </c>
      <c r="D178" t="s">
        <v>277</v>
      </c>
      <c r="E178" t="s">
        <v>850</v>
      </c>
      <c r="F178">
        <v>49.46</v>
      </c>
      <c r="K178">
        <v>177</v>
      </c>
      <c r="L178">
        <v>1</v>
      </c>
      <c r="M178">
        <v>0</v>
      </c>
      <c r="P178">
        <f>VLOOKUP(D178,tab!A:B,2,FALSE)</f>
        <v>62</v>
      </c>
      <c r="R178">
        <f t="shared" si="6"/>
        <v>-49.46</v>
      </c>
      <c r="S178">
        <v>20</v>
      </c>
      <c r="T178" s="13">
        <f t="shared" si="7"/>
        <v>0</v>
      </c>
    </row>
    <row r="179" spans="1:20" x14ac:dyDescent="0.25">
      <c r="A179" s="9">
        <v>43615</v>
      </c>
      <c r="B179" s="1">
        <v>43661</v>
      </c>
      <c r="C179" t="str">
        <f>INDEX(Balance!A:A,MATCH(D179,Balance!B:B,0))</f>
        <v>Fournisseurs</v>
      </c>
      <c r="D179" t="s">
        <v>268</v>
      </c>
      <c r="E179" t="s">
        <v>851</v>
      </c>
      <c r="F179">
        <v>132</v>
      </c>
      <c r="K179">
        <v>178</v>
      </c>
      <c r="L179">
        <v>1</v>
      </c>
      <c r="M179">
        <v>0</v>
      </c>
      <c r="P179">
        <f>VLOOKUP(D179,tab!A:B,2,FALSE)</f>
        <v>106</v>
      </c>
      <c r="R179">
        <f t="shared" si="6"/>
        <v>-132</v>
      </c>
      <c r="S179">
        <v>20</v>
      </c>
      <c r="T179" s="13">
        <f t="shared" si="7"/>
        <v>0</v>
      </c>
    </row>
    <row r="180" spans="1:20" x14ac:dyDescent="0.25">
      <c r="A180" s="9">
        <v>43615</v>
      </c>
      <c r="B180" s="1">
        <v>43654</v>
      </c>
      <c r="C180" t="str">
        <f>INDEX(Balance!A:A,MATCH(D180,Balance!B:B,0))</f>
        <v>Fournisseurs</v>
      </c>
      <c r="D180" t="s">
        <v>613</v>
      </c>
      <c r="E180" t="s">
        <v>852</v>
      </c>
      <c r="F180">
        <v>202.18</v>
      </c>
      <c r="K180">
        <v>179</v>
      </c>
      <c r="L180">
        <v>1</v>
      </c>
      <c r="M180">
        <v>0</v>
      </c>
      <c r="P180">
        <f>VLOOKUP(D180,tab!A:B,2,FALSE)</f>
        <v>62</v>
      </c>
      <c r="R180">
        <f t="shared" si="6"/>
        <v>-202.18</v>
      </c>
      <c r="S180">
        <v>20</v>
      </c>
      <c r="T180" s="13">
        <f t="shared" si="7"/>
        <v>0</v>
      </c>
    </row>
    <row r="181" spans="1:20" x14ac:dyDescent="0.25">
      <c r="A181" s="9">
        <v>43646</v>
      </c>
      <c r="B181" s="1">
        <v>43646</v>
      </c>
      <c r="C181" t="e">
        <f>INDEX(Balance!A:A,MATCH(D181,Balance!B:B,0))</f>
        <v>#N/A</v>
      </c>
      <c r="D181" t="s">
        <v>853</v>
      </c>
      <c r="E181" t="s">
        <v>854</v>
      </c>
      <c r="F181">
        <v>63.84</v>
      </c>
      <c r="K181">
        <v>180</v>
      </c>
      <c r="L181">
        <v>1</v>
      </c>
      <c r="M181">
        <v>0</v>
      </c>
      <c r="P181" t="e">
        <f>VLOOKUP(D181,tab!A:B,2,FALSE)</f>
        <v>#N/A</v>
      </c>
      <c r="R181">
        <f t="shared" si="6"/>
        <v>-63.84</v>
      </c>
      <c r="S181">
        <v>20</v>
      </c>
      <c r="T181" s="13">
        <f t="shared" si="7"/>
        <v>0</v>
      </c>
    </row>
    <row r="182" spans="1:20" x14ac:dyDescent="0.25">
      <c r="A182" s="9">
        <v>43615</v>
      </c>
      <c r="B182" s="1">
        <v>43646</v>
      </c>
      <c r="C182" t="str">
        <f>INDEX(Balance!A:A,MATCH(D182,Balance!B:B,0))</f>
        <v>Fournisseurs</v>
      </c>
      <c r="D182" t="s">
        <v>291</v>
      </c>
      <c r="E182" t="s">
        <v>855</v>
      </c>
      <c r="F182">
        <v>216</v>
      </c>
      <c r="K182">
        <v>181</v>
      </c>
      <c r="L182">
        <v>1</v>
      </c>
      <c r="M182">
        <v>0</v>
      </c>
      <c r="P182">
        <f>VLOOKUP(D182,tab!A:B,2,FALSE)</f>
        <v>71</v>
      </c>
      <c r="R182">
        <f t="shared" si="6"/>
        <v>-216</v>
      </c>
      <c r="S182">
        <v>20</v>
      </c>
      <c r="T182" s="13">
        <f t="shared" si="7"/>
        <v>0</v>
      </c>
    </row>
    <row r="183" spans="1:20" x14ac:dyDescent="0.25">
      <c r="A183" s="9">
        <v>43615</v>
      </c>
      <c r="B183" s="1">
        <v>43646</v>
      </c>
      <c r="C183" t="e">
        <f>INDEX(Balance!A:A,MATCH(D183,Balance!B:B,0))</f>
        <v>#N/A</v>
      </c>
      <c r="D183" t="s">
        <v>856</v>
      </c>
      <c r="E183" t="s">
        <v>857</v>
      </c>
      <c r="F183">
        <v>10</v>
      </c>
      <c r="K183">
        <v>182</v>
      </c>
      <c r="L183">
        <v>1</v>
      </c>
      <c r="M183">
        <v>0</v>
      </c>
      <c r="P183" t="e">
        <f>VLOOKUP(D183,tab!A:B,2,FALSE)</f>
        <v>#N/A</v>
      </c>
      <c r="R183">
        <f t="shared" si="6"/>
        <v>-10</v>
      </c>
      <c r="S183">
        <v>20</v>
      </c>
      <c r="T183" s="13">
        <f t="shared" si="7"/>
        <v>0</v>
      </c>
    </row>
    <row r="184" spans="1:20" x14ac:dyDescent="0.25">
      <c r="C184" t="e">
        <f>INDEX(Balance!A:A,MATCH(D184,Balance!B:B,0))</f>
        <v>#N/A</v>
      </c>
      <c r="K184">
        <v>183</v>
      </c>
      <c r="L184">
        <v>1</v>
      </c>
      <c r="M184">
        <v>0</v>
      </c>
      <c r="P184" t="e">
        <f>VLOOKUP(D184,tab!A:B,2,FALSE)</f>
        <v>#N/A</v>
      </c>
      <c r="R184">
        <f t="shared" si="6"/>
        <v>0</v>
      </c>
      <c r="S184">
        <v>20</v>
      </c>
      <c r="T184" s="13">
        <f t="shared" si="7"/>
        <v>0</v>
      </c>
    </row>
    <row r="185" spans="1:20" x14ac:dyDescent="0.25">
      <c r="C185" t="e">
        <f>INDEX(Balance!A:A,MATCH(D185,Balance!B:B,0))</f>
        <v>#N/A</v>
      </c>
      <c r="K185">
        <v>184</v>
      </c>
      <c r="L185">
        <v>1</v>
      </c>
      <c r="M185">
        <v>0</v>
      </c>
      <c r="P185" t="e">
        <f>VLOOKUP(D185,tab!A:B,2,FALSE)</f>
        <v>#N/A</v>
      </c>
      <c r="R185">
        <f t="shared" si="6"/>
        <v>0</v>
      </c>
      <c r="S185">
        <v>20</v>
      </c>
      <c r="T185" s="13">
        <f t="shared" si="7"/>
        <v>0</v>
      </c>
    </row>
    <row r="186" spans="1:20" x14ac:dyDescent="0.25">
      <c r="C186" t="e">
        <f>INDEX(Balance!A:A,MATCH(D186,Balance!B:B,0))</f>
        <v>#N/A</v>
      </c>
      <c r="K186">
        <v>185</v>
      </c>
      <c r="L186">
        <v>1</v>
      </c>
      <c r="M186">
        <v>0</v>
      </c>
      <c r="P186" t="e">
        <f>VLOOKUP(D186,tab!A:B,2,FALSE)</f>
        <v>#N/A</v>
      </c>
      <c r="R186">
        <f t="shared" si="6"/>
        <v>0</v>
      </c>
      <c r="S186">
        <v>20</v>
      </c>
      <c r="T186" s="13">
        <f t="shared" si="7"/>
        <v>0</v>
      </c>
    </row>
    <row r="187" spans="1:20" x14ac:dyDescent="0.25">
      <c r="K187">
        <v>186</v>
      </c>
      <c r="L187">
        <v>1</v>
      </c>
      <c r="M187">
        <v>0</v>
      </c>
      <c r="P187" t="e">
        <f>VLOOKUP(D187,tab!A:B,2,FALSE)</f>
        <v>#N/A</v>
      </c>
      <c r="R187">
        <f t="shared" si="6"/>
        <v>0</v>
      </c>
      <c r="S187">
        <v>20</v>
      </c>
      <c r="T187" s="13">
        <f t="shared" si="7"/>
        <v>0</v>
      </c>
    </row>
  </sheetData>
  <autoFilter ref="A1:G166" xr:uid="{00000000-0009-0000-0000-000002000000}">
    <sortState xmlns:xlrd2="http://schemas.microsoft.com/office/spreadsheetml/2017/richdata2" ref="A2:G125">
      <sortCondition ref="A1:A120"/>
    </sortState>
  </autoFilter>
  <dataValidations disablePrompts="1" count="1">
    <dataValidation allowBlank="1" sqref="D10 D2:D4" xr:uid="{00000000-0002-0000-0200-000000000000}"/>
  </dataValidations>
  <pageMargins left="0.7" right="0.7" top="0.75" bottom="0.75" header="0.3" footer="0.3"/>
  <pageSetup paperSize="9" orientation="portrait" horizontalDpi="0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162BF8-B41D-4970-AA06-7D84F62B254D}">
  <dimension ref="A1:B132"/>
  <sheetViews>
    <sheetView workbookViewId="0">
      <selection activeCell="E28" sqref="E28"/>
    </sheetView>
  </sheetViews>
  <sheetFormatPr baseColWidth="10" defaultRowHeight="15" x14ac:dyDescent="0.25"/>
  <cols>
    <col min="1" max="1" width="29" bestFit="1" customWidth="1"/>
  </cols>
  <sheetData>
    <row r="1" spans="1:2" x14ac:dyDescent="0.25">
      <c r="A1" t="s">
        <v>427</v>
      </c>
      <c r="B1">
        <v>2</v>
      </c>
    </row>
    <row r="2" spans="1:2" x14ac:dyDescent="0.25">
      <c r="A2" t="s">
        <v>534</v>
      </c>
      <c r="B2">
        <v>3</v>
      </c>
    </row>
    <row r="3" spans="1:2" x14ac:dyDescent="0.25">
      <c r="A3" t="s">
        <v>379</v>
      </c>
      <c r="B3">
        <v>4</v>
      </c>
    </row>
    <row r="4" spans="1:2" x14ac:dyDescent="0.25">
      <c r="A4" t="s">
        <v>366</v>
      </c>
      <c r="B4">
        <v>5</v>
      </c>
    </row>
    <row r="5" spans="1:2" x14ac:dyDescent="0.25">
      <c r="A5" t="s">
        <v>378</v>
      </c>
      <c r="B5">
        <v>6</v>
      </c>
    </row>
    <row r="6" spans="1:2" x14ac:dyDescent="0.25">
      <c r="A6" t="s">
        <v>430</v>
      </c>
      <c r="B6">
        <v>7</v>
      </c>
    </row>
    <row r="7" spans="1:2" x14ac:dyDescent="0.25">
      <c r="A7" t="s">
        <v>431</v>
      </c>
      <c r="B7">
        <v>8</v>
      </c>
    </row>
    <row r="8" spans="1:2" x14ac:dyDescent="0.25">
      <c r="A8" t="s">
        <v>370</v>
      </c>
      <c r="B8">
        <v>9</v>
      </c>
    </row>
    <row r="9" spans="1:2" x14ac:dyDescent="0.25">
      <c r="A9" t="s">
        <v>429</v>
      </c>
      <c r="B9">
        <v>10</v>
      </c>
    </row>
    <row r="10" spans="1:2" x14ac:dyDescent="0.25">
      <c r="A10" t="s">
        <v>278</v>
      </c>
      <c r="B10">
        <v>11</v>
      </c>
    </row>
    <row r="11" spans="1:2" x14ac:dyDescent="0.25">
      <c r="A11" t="s">
        <v>267</v>
      </c>
      <c r="B11">
        <v>12</v>
      </c>
    </row>
    <row r="12" spans="1:2" x14ac:dyDescent="0.25">
      <c r="A12" t="s">
        <v>253</v>
      </c>
      <c r="B12">
        <v>13</v>
      </c>
    </row>
    <row r="13" spans="1:2" x14ac:dyDescent="0.25">
      <c r="A13" t="s">
        <v>269</v>
      </c>
      <c r="B13">
        <v>14</v>
      </c>
    </row>
    <row r="14" spans="1:2" x14ac:dyDescent="0.25">
      <c r="A14" t="s">
        <v>271</v>
      </c>
      <c r="B14">
        <v>15</v>
      </c>
    </row>
    <row r="15" spans="1:2" x14ac:dyDescent="0.25">
      <c r="A15" t="s">
        <v>266</v>
      </c>
      <c r="B15">
        <v>16</v>
      </c>
    </row>
    <row r="16" spans="1:2" x14ac:dyDescent="0.25">
      <c r="A16" t="s">
        <v>315</v>
      </c>
      <c r="B16">
        <v>17</v>
      </c>
    </row>
    <row r="17" spans="1:2" x14ac:dyDescent="0.25">
      <c r="A17" t="s">
        <v>257</v>
      </c>
      <c r="B17">
        <v>18</v>
      </c>
    </row>
    <row r="18" spans="1:2" x14ac:dyDescent="0.25">
      <c r="A18" t="s">
        <v>258</v>
      </c>
      <c r="B18">
        <v>19</v>
      </c>
    </row>
    <row r="19" spans="1:2" x14ac:dyDescent="0.25">
      <c r="A19" t="s">
        <v>255</v>
      </c>
      <c r="B19">
        <v>20</v>
      </c>
    </row>
    <row r="20" spans="1:2" x14ac:dyDescent="0.25">
      <c r="A20" t="s">
        <v>372</v>
      </c>
      <c r="B20">
        <v>21</v>
      </c>
    </row>
    <row r="21" spans="1:2" x14ac:dyDescent="0.25">
      <c r="A21" t="s">
        <v>381</v>
      </c>
      <c r="B21">
        <v>22</v>
      </c>
    </row>
    <row r="22" spans="1:2" x14ac:dyDescent="0.25">
      <c r="A22" t="s">
        <v>382</v>
      </c>
      <c r="B22">
        <v>23</v>
      </c>
    </row>
    <row r="23" spans="1:2" x14ac:dyDescent="0.25">
      <c r="A23" t="s">
        <v>263</v>
      </c>
      <c r="B23">
        <v>24</v>
      </c>
    </row>
    <row r="24" spans="1:2" x14ac:dyDescent="0.25">
      <c r="A24" t="s">
        <v>316</v>
      </c>
      <c r="B24">
        <v>25</v>
      </c>
    </row>
    <row r="25" spans="1:2" x14ac:dyDescent="0.25">
      <c r="A25" t="s">
        <v>264</v>
      </c>
      <c r="B25">
        <v>26</v>
      </c>
    </row>
    <row r="26" spans="1:2" x14ac:dyDescent="0.25">
      <c r="A26" t="s">
        <v>254</v>
      </c>
      <c r="B26">
        <v>27</v>
      </c>
    </row>
    <row r="27" spans="1:2" x14ac:dyDescent="0.25">
      <c r="A27" t="s">
        <v>256</v>
      </c>
      <c r="B27">
        <v>28</v>
      </c>
    </row>
    <row r="28" spans="1:2" x14ac:dyDescent="0.25">
      <c r="A28" t="s">
        <v>272</v>
      </c>
      <c r="B28">
        <v>29</v>
      </c>
    </row>
    <row r="29" spans="1:2" x14ac:dyDescent="0.25">
      <c r="A29" t="s">
        <v>335</v>
      </c>
      <c r="B29">
        <v>30</v>
      </c>
    </row>
    <row r="30" spans="1:2" x14ac:dyDescent="0.25">
      <c r="A30" t="s">
        <v>346</v>
      </c>
      <c r="B30">
        <v>31</v>
      </c>
    </row>
    <row r="31" spans="1:2" x14ac:dyDescent="0.25">
      <c r="A31" t="s">
        <v>273</v>
      </c>
      <c r="B31">
        <v>32</v>
      </c>
    </row>
    <row r="32" spans="1:2" x14ac:dyDescent="0.25">
      <c r="A32" t="s">
        <v>286</v>
      </c>
      <c r="B32">
        <v>33</v>
      </c>
    </row>
    <row r="33" spans="1:2" x14ac:dyDescent="0.25">
      <c r="A33" t="s">
        <v>292</v>
      </c>
      <c r="B33">
        <v>34</v>
      </c>
    </row>
    <row r="34" spans="1:2" x14ac:dyDescent="0.25">
      <c r="A34" t="s">
        <v>330</v>
      </c>
      <c r="B34">
        <v>35</v>
      </c>
    </row>
    <row r="35" spans="1:2" x14ac:dyDescent="0.25">
      <c r="A35" t="s">
        <v>336</v>
      </c>
      <c r="B35">
        <v>36</v>
      </c>
    </row>
    <row r="36" spans="1:2" x14ac:dyDescent="0.25">
      <c r="A36" t="s">
        <v>361</v>
      </c>
      <c r="B36">
        <v>37</v>
      </c>
    </row>
    <row r="37" spans="1:2" x14ac:dyDescent="0.25">
      <c r="A37" t="s">
        <v>260</v>
      </c>
      <c r="B37">
        <v>38</v>
      </c>
    </row>
    <row r="38" spans="1:2" x14ac:dyDescent="0.25">
      <c r="A38" t="s">
        <v>323</v>
      </c>
      <c r="B38">
        <v>39</v>
      </c>
    </row>
    <row r="39" spans="1:2" x14ac:dyDescent="0.25">
      <c r="A39" t="s">
        <v>342</v>
      </c>
      <c r="B39">
        <v>40</v>
      </c>
    </row>
    <row r="40" spans="1:2" x14ac:dyDescent="0.25">
      <c r="A40" t="s">
        <v>437</v>
      </c>
      <c r="B40">
        <v>41</v>
      </c>
    </row>
    <row r="41" spans="1:2" x14ac:dyDescent="0.25">
      <c r="A41" t="s">
        <v>340</v>
      </c>
      <c r="B41">
        <v>42</v>
      </c>
    </row>
    <row r="42" spans="1:2" x14ac:dyDescent="0.25">
      <c r="A42" t="s">
        <v>280</v>
      </c>
      <c r="B42">
        <v>43</v>
      </c>
    </row>
    <row r="43" spans="1:2" x14ac:dyDescent="0.25">
      <c r="A43" t="s">
        <v>290</v>
      </c>
      <c r="B43">
        <v>44</v>
      </c>
    </row>
    <row r="44" spans="1:2" x14ac:dyDescent="0.25">
      <c r="A44" t="s">
        <v>353</v>
      </c>
      <c r="B44">
        <v>45</v>
      </c>
    </row>
    <row r="45" spans="1:2" x14ac:dyDescent="0.25">
      <c r="A45" t="s">
        <v>428</v>
      </c>
      <c r="B45">
        <v>46</v>
      </c>
    </row>
    <row r="46" spans="1:2" x14ac:dyDescent="0.25">
      <c r="A46" t="s">
        <v>356</v>
      </c>
      <c r="B46">
        <v>47</v>
      </c>
    </row>
    <row r="47" spans="1:2" x14ac:dyDescent="0.25">
      <c r="A47" t="s">
        <v>297</v>
      </c>
      <c r="B47">
        <v>48</v>
      </c>
    </row>
    <row r="48" spans="1:2" x14ac:dyDescent="0.25">
      <c r="A48" t="s">
        <v>350</v>
      </c>
      <c r="B48">
        <v>49</v>
      </c>
    </row>
    <row r="49" spans="1:2" x14ac:dyDescent="0.25">
      <c r="A49" t="s">
        <v>357</v>
      </c>
      <c r="B49">
        <v>50</v>
      </c>
    </row>
    <row r="50" spans="1:2" x14ac:dyDescent="0.25">
      <c r="A50" t="s">
        <v>299</v>
      </c>
      <c r="B50">
        <v>51</v>
      </c>
    </row>
    <row r="51" spans="1:2" x14ac:dyDescent="0.25">
      <c r="A51" t="s">
        <v>375</v>
      </c>
      <c r="B51">
        <v>52</v>
      </c>
    </row>
    <row r="52" spans="1:2" x14ac:dyDescent="0.25">
      <c r="A52" t="s">
        <v>261</v>
      </c>
      <c r="B52">
        <v>53</v>
      </c>
    </row>
    <row r="53" spans="1:2" x14ac:dyDescent="0.25">
      <c r="A53" t="s">
        <v>279</v>
      </c>
      <c r="B53">
        <v>54</v>
      </c>
    </row>
    <row r="54" spans="1:2" x14ac:dyDescent="0.25">
      <c r="A54" t="s">
        <v>341</v>
      </c>
      <c r="B54">
        <v>55</v>
      </c>
    </row>
    <row r="55" spans="1:2" x14ac:dyDescent="0.25">
      <c r="A55" t="s">
        <v>365</v>
      </c>
      <c r="B55">
        <v>56</v>
      </c>
    </row>
    <row r="56" spans="1:2" x14ac:dyDescent="0.25">
      <c r="A56" t="s">
        <v>289</v>
      </c>
      <c r="B56">
        <v>57</v>
      </c>
    </row>
    <row r="57" spans="1:2" x14ac:dyDescent="0.25">
      <c r="A57" t="s">
        <v>345</v>
      </c>
      <c r="B57">
        <v>58</v>
      </c>
    </row>
    <row r="58" spans="1:2" x14ac:dyDescent="0.25">
      <c r="A58" t="s">
        <v>349</v>
      </c>
      <c r="B58">
        <v>59</v>
      </c>
    </row>
    <row r="59" spans="1:2" x14ac:dyDescent="0.25">
      <c r="A59" t="s">
        <v>344</v>
      </c>
      <c r="B59">
        <v>60</v>
      </c>
    </row>
    <row r="60" spans="1:2" x14ac:dyDescent="0.25">
      <c r="A60" t="s">
        <v>359</v>
      </c>
      <c r="B60">
        <v>61</v>
      </c>
    </row>
    <row r="61" spans="1:2" x14ac:dyDescent="0.25">
      <c r="A61" t="s">
        <v>277</v>
      </c>
      <c r="B61">
        <v>62</v>
      </c>
    </row>
    <row r="62" spans="1:2" x14ac:dyDescent="0.25">
      <c r="A62" t="s">
        <v>274</v>
      </c>
      <c r="B62">
        <v>63</v>
      </c>
    </row>
    <row r="63" spans="1:2" x14ac:dyDescent="0.25">
      <c r="A63" t="s">
        <v>362</v>
      </c>
      <c r="B63">
        <v>64</v>
      </c>
    </row>
    <row r="64" spans="1:2" x14ac:dyDescent="0.25">
      <c r="A64" t="s">
        <v>262</v>
      </c>
      <c r="B64">
        <v>65</v>
      </c>
    </row>
    <row r="65" spans="1:2" x14ac:dyDescent="0.25">
      <c r="A65" t="s">
        <v>358</v>
      </c>
      <c r="B65">
        <v>66</v>
      </c>
    </row>
    <row r="66" spans="1:2" x14ac:dyDescent="0.25">
      <c r="A66" t="s">
        <v>327</v>
      </c>
      <c r="B66">
        <v>67</v>
      </c>
    </row>
    <row r="67" spans="1:2" x14ac:dyDescent="0.25">
      <c r="A67" t="s">
        <v>326</v>
      </c>
      <c r="B67">
        <v>68</v>
      </c>
    </row>
    <row r="68" spans="1:2" x14ac:dyDescent="0.25">
      <c r="A68" t="s">
        <v>376</v>
      </c>
      <c r="B68">
        <v>69</v>
      </c>
    </row>
    <row r="69" spans="1:2" x14ac:dyDescent="0.25">
      <c r="A69" t="s">
        <v>265</v>
      </c>
      <c r="B69">
        <v>70</v>
      </c>
    </row>
    <row r="70" spans="1:2" x14ac:dyDescent="0.25">
      <c r="A70" t="s">
        <v>291</v>
      </c>
      <c r="B70">
        <v>71</v>
      </c>
    </row>
    <row r="71" spans="1:2" x14ac:dyDescent="0.25">
      <c r="A71" t="s">
        <v>259</v>
      </c>
      <c r="B71">
        <v>72</v>
      </c>
    </row>
    <row r="72" spans="1:2" x14ac:dyDescent="0.25">
      <c r="A72" t="s">
        <v>360</v>
      </c>
      <c r="B72">
        <v>73</v>
      </c>
    </row>
    <row r="73" spans="1:2" x14ac:dyDescent="0.25">
      <c r="A73" t="s">
        <v>318</v>
      </c>
      <c r="B73">
        <v>74</v>
      </c>
    </row>
    <row r="74" spans="1:2" x14ac:dyDescent="0.25">
      <c r="A74" t="s">
        <v>325</v>
      </c>
      <c r="B74">
        <v>75</v>
      </c>
    </row>
    <row r="75" spans="1:2" x14ac:dyDescent="0.25">
      <c r="A75" t="s">
        <v>384</v>
      </c>
      <c r="B75">
        <v>76</v>
      </c>
    </row>
    <row r="76" spans="1:2" x14ac:dyDescent="0.25">
      <c r="A76" t="s">
        <v>281</v>
      </c>
      <c r="B76">
        <v>77</v>
      </c>
    </row>
    <row r="77" spans="1:2" x14ac:dyDescent="0.25">
      <c r="A77" t="s">
        <v>296</v>
      </c>
      <c r="B77">
        <v>78</v>
      </c>
    </row>
    <row r="78" spans="1:2" x14ac:dyDescent="0.25">
      <c r="A78" t="s">
        <v>364</v>
      </c>
      <c r="B78">
        <v>79</v>
      </c>
    </row>
    <row r="79" spans="1:2" x14ac:dyDescent="0.25">
      <c r="A79" t="s">
        <v>324</v>
      </c>
      <c r="B79">
        <v>80</v>
      </c>
    </row>
    <row r="80" spans="1:2" x14ac:dyDescent="0.25">
      <c r="A80" t="s">
        <v>298</v>
      </c>
      <c r="B80">
        <v>81</v>
      </c>
    </row>
    <row r="81" spans="1:2" x14ac:dyDescent="0.25">
      <c r="A81" t="s">
        <v>282</v>
      </c>
      <c r="B81">
        <v>82</v>
      </c>
    </row>
    <row r="82" spans="1:2" x14ac:dyDescent="0.25">
      <c r="A82" t="s">
        <v>294</v>
      </c>
      <c r="B82">
        <v>83</v>
      </c>
    </row>
    <row r="83" spans="1:2" x14ac:dyDescent="0.25">
      <c r="A83" t="s">
        <v>322</v>
      </c>
      <c r="B83">
        <v>84</v>
      </c>
    </row>
    <row r="84" spans="1:2" x14ac:dyDescent="0.25">
      <c r="A84" t="s">
        <v>329</v>
      </c>
      <c r="B84">
        <v>85</v>
      </c>
    </row>
    <row r="85" spans="1:2" x14ac:dyDescent="0.25">
      <c r="A85" t="s">
        <v>351</v>
      </c>
      <c r="B85">
        <v>86</v>
      </c>
    </row>
    <row r="86" spans="1:2" x14ac:dyDescent="0.25">
      <c r="A86" t="s">
        <v>348</v>
      </c>
      <c r="B86">
        <v>87</v>
      </c>
    </row>
    <row r="87" spans="1:2" x14ac:dyDescent="0.25">
      <c r="A87" t="s">
        <v>343</v>
      </c>
      <c r="B87">
        <v>88</v>
      </c>
    </row>
    <row r="88" spans="1:2" x14ac:dyDescent="0.25">
      <c r="A88" t="s">
        <v>434</v>
      </c>
      <c r="B88">
        <v>89</v>
      </c>
    </row>
    <row r="89" spans="1:2" x14ac:dyDescent="0.25">
      <c r="A89" t="s">
        <v>320</v>
      </c>
      <c r="B89">
        <v>90</v>
      </c>
    </row>
    <row r="90" spans="1:2" x14ac:dyDescent="0.25">
      <c r="A90" t="s">
        <v>303</v>
      </c>
      <c r="B90">
        <v>91</v>
      </c>
    </row>
    <row r="91" spans="1:2" x14ac:dyDescent="0.25">
      <c r="A91" t="s">
        <v>275</v>
      </c>
      <c r="B91">
        <v>92</v>
      </c>
    </row>
    <row r="92" spans="1:2" x14ac:dyDescent="0.25">
      <c r="A92" t="s">
        <v>337</v>
      </c>
      <c r="B92">
        <v>93</v>
      </c>
    </row>
    <row r="93" spans="1:2" x14ac:dyDescent="0.25">
      <c r="A93" t="s">
        <v>332</v>
      </c>
      <c r="B93">
        <v>94</v>
      </c>
    </row>
    <row r="94" spans="1:2" x14ac:dyDescent="0.25">
      <c r="A94" t="s">
        <v>338</v>
      </c>
      <c r="B94">
        <v>95</v>
      </c>
    </row>
    <row r="95" spans="1:2" x14ac:dyDescent="0.25">
      <c r="A95" t="s">
        <v>333</v>
      </c>
      <c r="B95">
        <v>96</v>
      </c>
    </row>
    <row r="96" spans="1:2" x14ac:dyDescent="0.25">
      <c r="A96" t="s">
        <v>317</v>
      </c>
      <c r="B96">
        <v>97</v>
      </c>
    </row>
    <row r="97" spans="1:2" x14ac:dyDescent="0.25">
      <c r="A97" t="s">
        <v>674</v>
      </c>
      <c r="B97">
        <v>98</v>
      </c>
    </row>
    <row r="98" spans="1:2" x14ac:dyDescent="0.25">
      <c r="A98" t="s">
        <v>347</v>
      </c>
      <c r="B98">
        <v>99</v>
      </c>
    </row>
    <row r="99" spans="1:2" x14ac:dyDescent="0.25">
      <c r="A99" t="s">
        <v>377</v>
      </c>
      <c r="B99">
        <v>100</v>
      </c>
    </row>
    <row r="100" spans="1:2" x14ac:dyDescent="0.25">
      <c r="A100" t="s">
        <v>355</v>
      </c>
      <c r="B100">
        <v>101</v>
      </c>
    </row>
    <row r="101" spans="1:2" x14ac:dyDescent="0.25">
      <c r="A101" t="s">
        <v>334</v>
      </c>
      <c r="B101">
        <v>102</v>
      </c>
    </row>
    <row r="102" spans="1:2" x14ac:dyDescent="0.25">
      <c r="A102" t="s">
        <v>680</v>
      </c>
      <c r="B102">
        <v>103</v>
      </c>
    </row>
    <row r="103" spans="1:2" x14ac:dyDescent="0.25">
      <c r="A103" t="s">
        <v>319</v>
      </c>
      <c r="B103">
        <v>104</v>
      </c>
    </row>
    <row r="104" spans="1:2" x14ac:dyDescent="0.25">
      <c r="A104" t="s">
        <v>363</v>
      </c>
      <c r="B104">
        <v>105</v>
      </c>
    </row>
    <row r="105" spans="1:2" x14ac:dyDescent="0.25">
      <c r="A105" t="s">
        <v>268</v>
      </c>
      <c r="B105">
        <v>106</v>
      </c>
    </row>
    <row r="106" spans="1:2" x14ac:dyDescent="0.25">
      <c r="A106" t="s">
        <v>300</v>
      </c>
      <c r="B106">
        <v>107</v>
      </c>
    </row>
    <row r="107" spans="1:2" x14ac:dyDescent="0.25">
      <c r="A107" t="s">
        <v>383</v>
      </c>
      <c r="B107">
        <v>108</v>
      </c>
    </row>
    <row r="108" spans="1:2" x14ac:dyDescent="0.25">
      <c r="A108" t="s">
        <v>424</v>
      </c>
      <c r="B108">
        <v>109</v>
      </c>
    </row>
    <row r="109" spans="1:2" x14ac:dyDescent="0.25">
      <c r="A109" t="s">
        <v>270</v>
      </c>
      <c r="B109">
        <v>110</v>
      </c>
    </row>
    <row r="110" spans="1:2" x14ac:dyDescent="0.25">
      <c r="A110" t="s">
        <v>328</v>
      </c>
      <c r="B110">
        <v>111</v>
      </c>
    </row>
    <row r="111" spans="1:2" x14ac:dyDescent="0.25">
      <c r="A111" t="s">
        <v>339</v>
      </c>
      <c r="B111">
        <v>112</v>
      </c>
    </row>
    <row r="112" spans="1:2" x14ac:dyDescent="0.25">
      <c r="A112" t="s">
        <v>321</v>
      </c>
      <c r="B112">
        <v>113</v>
      </c>
    </row>
    <row r="113" spans="1:2" x14ac:dyDescent="0.25">
      <c r="A113" t="s">
        <v>276</v>
      </c>
      <c r="B113">
        <v>114</v>
      </c>
    </row>
    <row r="114" spans="1:2" x14ac:dyDescent="0.25">
      <c r="A114" t="s">
        <v>331</v>
      </c>
      <c r="B114">
        <v>115</v>
      </c>
    </row>
    <row r="115" spans="1:2" x14ac:dyDescent="0.25">
      <c r="A115" t="s">
        <v>284</v>
      </c>
      <c r="B115">
        <v>116</v>
      </c>
    </row>
    <row r="116" spans="1:2" x14ac:dyDescent="0.25">
      <c r="A116" t="s">
        <v>295</v>
      </c>
      <c r="B116">
        <v>117</v>
      </c>
    </row>
    <row r="117" spans="1:2" x14ac:dyDescent="0.25">
      <c r="A117" t="s">
        <v>293</v>
      </c>
      <c r="B117">
        <v>118</v>
      </c>
    </row>
    <row r="118" spans="1:2" x14ac:dyDescent="0.25">
      <c r="A118" t="s">
        <v>352</v>
      </c>
      <c r="B118">
        <v>119</v>
      </c>
    </row>
    <row r="119" spans="1:2" x14ac:dyDescent="0.25">
      <c r="A119" t="s">
        <v>288</v>
      </c>
      <c r="B119">
        <v>120</v>
      </c>
    </row>
    <row r="120" spans="1:2" x14ac:dyDescent="0.25">
      <c r="A120" t="s">
        <v>354</v>
      </c>
      <c r="B120">
        <v>121</v>
      </c>
    </row>
    <row r="121" spans="1:2" x14ac:dyDescent="0.25">
      <c r="A121" t="s">
        <v>285</v>
      </c>
      <c r="B121">
        <v>122</v>
      </c>
    </row>
    <row r="122" spans="1:2" x14ac:dyDescent="0.25">
      <c r="A122" t="s">
        <v>301</v>
      </c>
      <c r="B122">
        <v>123</v>
      </c>
    </row>
    <row r="123" spans="1:2" x14ac:dyDescent="0.25">
      <c r="A123" t="s">
        <v>283</v>
      </c>
      <c r="B123">
        <v>124</v>
      </c>
    </row>
    <row r="124" spans="1:2" x14ac:dyDescent="0.25">
      <c r="A124" t="s">
        <v>302</v>
      </c>
      <c r="B124">
        <v>125</v>
      </c>
    </row>
    <row r="125" spans="1:2" x14ac:dyDescent="0.25">
      <c r="A125" t="s">
        <v>540</v>
      </c>
      <c r="B125">
        <v>126</v>
      </c>
    </row>
    <row r="126" spans="1:2" x14ac:dyDescent="0.25">
      <c r="A126" t="s">
        <v>314</v>
      </c>
      <c r="B126">
        <v>127</v>
      </c>
    </row>
    <row r="127" spans="1:2" x14ac:dyDescent="0.25">
      <c r="A127" t="s">
        <v>311</v>
      </c>
      <c r="B127">
        <v>128</v>
      </c>
    </row>
    <row r="128" spans="1:2" x14ac:dyDescent="0.25">
      <c r="A128" t="s">
        <v>312</v>
      </c>
      <c r="B128">
        <v>129</v>
      </c>
    </row>
    <row r="129" spans="1:2" x14ac:dyDescent="0.25">
      <c r="A129" t="s">
        <v>309</v>
      </c>
      <c r="B129">
        <v>130</v>
      </c>
    </row>
    <row r="130" spans="1:2" x14ac:dyDescent="0.25">
      <c r="A130" t="s">
        <v>310</v>
      </c>
      <c r="B130">
        <v>131</v>
      </c>
    </row>
    <row r="131" spans="1:2" x14ac:dyDescent="0.25">
      <c r="A131" t="s">
        <v>287</v>
      </c>
      <c r="B131">
        <v>132</v>
      </c>
    </row>
    <row r="132" spans="1:2" x14ac:dyDescent="0.25">
      <c r="A132" t="s">
        <v>313</v>
      </c>
      <c r="B132">
        <v>133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4"/>
  <dimension ref="A1:I133"/>
  <sheetViews>
    <sheetView workbookViewId="0">
      <pane ySplit="1" topLeftCell="A2" activePane="bottomLeft" state="frozen"/>
      <selection pane="bottomLeft" activeCell="B16" sqref="B16"/>
    </sheetView>
  </sheetViews>
  <sheetFormatPr baseColWidth="10" defaultRowHeight="15" x14ac:dyDescent="0.25"/>
  <cols>
    <col min="1" max="1" width="12.28515625" bestFit="1" customWidth="1"/>
    <col min="2" max="2" width="29" bestFit="1" customWidth="1"/>
    <col min="3" max="3" width="13.42578125" style="5" bestFit="1" customWidth="1"/>
    <col min="4" max="4" width="13.7109375" style="5" bestFit="1" customWidth="1"/>
    <col min="5" max="5" width="20.28515625" style="5" bestFit="1" customWidth="1"/>
    <col min="6" max="6" width="13.5703125" style="5" bestFit="1" customWidth="1"/>
    <col min="7" max="7" width="20.7109375" style="5" bestFit="1" customWidth="1"/>
    <col min="8" max="8" width="13.85546875" style="5" bestFit="1" customWidth="1"/>
    <col min="9" max="9" width="18" style="7" customWidth="1"/>
  </cols>
  <sheetData>
    <row r="1" spans="1:9" x14ac:dyDescent="0.25">
      <c r="A1" t="s">
        <v>425</v>
      </c>
      <c r="B1" t="s">
        <v>2</v>
      </c>
      <c r="C1" s="4" t="s">
        <v>493</v>
      </c>
      <c r="D1" s="4" t="s">
        <v>492</v>
      </c>
      <c r="E1" s="4" t="s">
        <v>498</v>
      </c>
      <c r="F1" s="4" t="s">
        <v>495</v>
      </c>
      <c r="G1" s="4" t="s">
        <v>499</v>
      </c>
      <c r="H1" s="4" t="s">
        <v>494</v>
      </c>
      <c r="I1" s="4" t="s">
        <v>496</v>
      </c>
    </row>
    <row r="2" spans="1:9" x14ac:dyDescent="0.25">
      <c r="A2" t="s">
        <v>426</v>
      </c>
      <c r="B2" t="s">
        <v>427</v>
      </c>
      <c r="C2" s="5">
        <f>SUMIF(Banque!$F:$F,"="&amp;$B2,Banque!I:I)*-1</f>
        <v>0</v>
      </c>
      <c r="D2" s="5">
        <f>SUMIF(Banque!$F:$F,"="&amp;$B2,Banque!J:J)</f>
        <v>720</v>
      </c>
      <c r="E2" s="5">
        <f>SUMIFS(Banque!I:I,Banque!$F:$F,"="&amp;$B2,Banque!$D:$D,"=1")*-1</f>
        <v>0</v>
      </c>
      <c r="F2" s="5">
        <f>SUMIF(Compta!$D:$D,"="&amp;$B2,Compta!F:F)*-1</f>
        <v>0</v>
      </c>
      <c r="G2" s="5">
        <f>SUMIFS(Banque!J:J,Banque!$F:$F,"="&amp;$B2,Banque!$D:$D,"=1")</f>
        <v>0</v>
      </c>
      <c r="H2" s="5">
        <f>SUMIF(Compta!$D:$D,"="&amp;$B2,Compta!G:G)</f>
        <v>720</v>
      </c>
      <c r="I2" s="8">
        <f t="shared" ref="I2:I33" si="0">SUM(E2:H2)-SUM(C2:D2)</f>
        <v>0</v>
      </c>
    </row>
    <row r="3" spans="1:9" x14ac:dyDescent="0.25">
      <c r="A3" t="s">
        <v>426</v>
      </c>
      <c r="B3" t="s">
        <v>534</v>
      </c>
      <c r="C3" s="5">
        <f>SUMIF(Banque!$F:$F,"="&amp;$B3,Banque!I:I)*-1</f>
        <v>0</v>
      </c>
      <c r="D3" s="5">
        <f>SUMIF(Banque!$F:$F,"="&amp;$B3,Banque!J:J)</f>
        <v>17467.080000000002</v>
      </c>
      <c r="E3" s="5">
        <f>SUMIFS(Banque!I:I,Banque!$F:$F,"="&amp;$B3,Banque!$D:$D,"=1")*-1</f>
        <v>0</v>
      </c>
      <c r="F3" s="5">
        <f>SUMIF(Compta!$D:$D,"="&amp;$B3,Compta!F:F)*-1</f>
        <v>0</v>
      </c>
      <c r="G3" s="5">
        <f>SUMIFS(Banque!J:J,Banque!$F:$F,"="&amp;$B3,Banque!$D:$D,"=1")</f>
        <v>0</v>
      </c>
      <c r="H3" s="5">
        <f>SUMIF(Compta!$D:$D,"="&amp;$B3,Compta!G:G)</f>
        <v>17918.04</v>
      </c>
      <c r="I3" s="8">
        <f t="shared" si="0"/>
        <v>450.95999999999913</v>
      </c>
    </row>
    <row r="4" spans="1:9" x14ac:dyDescent="0.25">
      <c r="A4" t="s">
        <v>426</v>
      </c>
      <c r="B4" t="s">
        <v>379</v>
      </c>
      <c r="C4" s="5">
        <f>SUMIF(Banque!$F:$F,"="&amp;$B4,Banque!I:I)*-1</f>
        <v>0</v>
      </c>
      <c r="D4" s="5">
        <f>SUMIF(Banque!$F:$F,"="&amp;$B4,Banque!J:J)</f>
        <v>77652.820000000007</v>
      </c>
      <c r="E4" s="5">
        <f>SUMIFS(Banque!I:I,Banque!$F:$F,"="&amp;$B4,Banque!$D:$D,"=1")*-1</f>
        <v>0</v>
      </c>
      <c r="F4" s="5">
        <f>SUMIF(Compta!$D:$D,"="&amp;$B4,Compta!F:F)*-1</f>
        <v>27522.94000000001</v>
      </c>
      <c r="G4" s="5">
        <f>SUMIFS(Banque!J:J,Banque!$F:$F,"="&amp;$B4,Banque!$D:$D,"=1")</f>
        <v>0</v>
      </c>
      <c r="H4" s="5">
        <f>SUMIF(Compta!$D:$D,"="&amp;$B4,Compta!G:G)</f>
        <v>88915.799999999988</v>
      </c>
      <c r="I4" s="8">
        <f t="shared" si="0"/>
        <v>38785.919999999984</v>
      </c>
    </row>
    <row r="5" spans="1:9" x14ac:dyDescent="0.25">
      <c r="A5" t="s">
        <v>426</v>
      </c>
      <c r="B5" t="s">
        <v>366</v>
      </c>
      <c r="C5" s="5">
        <f>SUMIF(Banque!$F:$F,"="&amp;$B5,Banque!I:I)*-1</f>
        <v>0</v>
      </c>
      <c r="D5" s="5">
        <f>SUMIF(Banque!$F:$F,"="&amp;$B5,Banque!J:J)</f>
        <v>0</v>
      </c>
      <c r="E5" s="5">
        <f>SUMIFS(Banque!I:I,Banque!$F:$F,"="&amp;$B5,Banque!$D:$D,"=1")*-1</f>
        <v>0</v>
      </c>
      <c r="F5" s="5">
        <f>SUMIF(Compta!$D:$D,"="&amp;$B5,Compta!F:F)*-1</f>
        <v>0</v>
      </c>
      <c r="G5" s="5">
        <f>SUMIFS(Banque!J:J,Banque!$F:$F,"="&amp;$B5,Banque!$D:$D,"=1")</f>
        <v>0</v>
      </c>
      <c r="H5" s="5">
        <f>SUMIF(Compta!$D:$D,"="&amp;$B5,Compta!G:G)</f>
        <v>2844</v>
      </c>
      <c r="I5" s="8">
        <f t="shared" si="0"/>
        <v>2844</v>
      </c>
    </row>
    <row r="6" spans="1:9" x14ac:dyDescent="0.25">
      <c r="A6" t="s">
        <v>426</v>
      </c>
      <c r="B6" t="s">
        <v>378</v>
      </c>
      <c r="C6" s="5">
        <f>SUMIF(Banque!$F:$F,"="&amp;$B6,Banque!I:I)*-1</f>
        <v>0</v>
      </c>
      <c r="D6" s="5">
        <f>SUMIF(Banque!$F:$F,"="&amp;$B6,Banque!J:J)</f>
        <v>15785.51</v>
      </c>
      <c r="E6" s="5">
        <f>SUMIFS(Banque!I:I,Banque!$F:$F,"="&amp;$B6,Banque!$D:$D,"=1")*-1</f>
        <v>0</v>
      </c>
      <c r="F6" s="5">
        <f>SUMIF(Compta!$D:$D,"="&amp;$B6,Compta!F:F)*-1</f>
        <v>0</v>
      </c>
      <c r="G6" s="5">
        <f>SUMIFS(Banque!J:J,Banque!$F:$F,"="&amp;$B6,Banque!$D:$D,"=1")</f>
        <v>0</v>
      </c>
      <c r="H6" s="5">
        <f>SUMIF(Compta!$D:$D,"="&amp;$B6,Compta!G:G)</f>
        <v>15785.51</v>
      </c>
      <c r="I6" s="8">
        <f t="shared" si="0"/>
        <v>0</v>
      </c>
    </row>
    <row r="7" spans="1:9" x14ac:dyDescent="0.25">
      <c r="A7" t="s">
        <v>426</v>
      </c>
      <c r="B7" t="s">
        <v>430</v>
      </c>
      <c r="C7" s="5">
        <f>SUMIF(Banque!$F:$F,"="&amp;$B7,Banque!I:I)*-1</f>
        <v>0</v>
      </c>
      <c r="D7" s="5">
        <f>SUMIF(Banque!$F:$F,"="&amp;$B7,Banque!J:J)</f>
        <v>0</v>
      </c>
      <c r="E7" s="5">
        <f>SUMIFS(Banque!I:I,Banque!$F:$F,"="&amp;$B7,Banque!$D:$D,"=1")*-1</f>
        <v>0</v>
      </c>
      <c r="F7" s="5">
        <f>SUMIF(Compta!$D:$D,"="&amp;$B7,Compta!F:F)*-1</f>
        <v>0</v>
      </c>
      <c r="G7" s="5">
        <f>SUMIFS(Banque!J:J,Banque!$F:$F,"="&amp;$B7,Banque!$D:$D,"=1")</f>
        <v>0</v>
      </c>
      <c r="H7" s="5">
        <f>SUMIF(Compta!$D:$D,"="&amp;$B7,Compta!G:G)</f>
        <v>0</v>
      </c>
      <c r="I7" s="8">
        <f t="shared" si="0"/>
        <v>0</v>
      </c>
    </row>
    <row r="8" spans="1:9" x14ac:dyDescent="0.25">
      <c r="A8" t="s">
        <v>426</v>
      </c>
      <c r="B8" t="s">
        <v>431</v>
      </c>
      <c r="C8" s="5">
        <f>SUMIF(Banque!$F:$F,"="&amp;$B8,Banque!I:I)*-1</f>
        <v>0</v>
      </c>
      <c r="D8" s="5">
        <f>SUMIF(Banque!$F:$F,"="&amp;$B8,Banque!J:J)</f>
        <v>2400</v>
      </c>
      <c r="E8" s="5">
        <f>SUMIFS(Banque!I:I,Banque!$F:$F,"="&amp;$B8,Banque!$D:$D,"=1")*-1</f>
        <v>0</v>
      </c>
      <c r="F8" s="5">
        <f>SUMIF(Compta!$D:$D,"="&amp;$B8,Compta!F:F)*-1</f>
        <v>0</v>
      </c>
      <c r="G8" s="5">
        <f>SUMIFS(Banque!J:J,Banque!$F:$F,"="&amp;$B8,Banque!$D:$D,"=1")</f>
        <v>0</v>
      </c>
      <c r="H8" s="5">
        <f>SUMIF(Compta!$D:$D,"="&amp;$B8,Compta!G:G)</f>
        <v>5280</v>
      </c>
      <c r="I8" s="8">
        <f t="shared" si="0"/>
        <v>2880</v>
      </c>
    </row>
    <row r="9" spans="1:9" x14ac:dyDescent="0.25">
      <c r="A9" t="s">
        <v>426</v>
      </c>
      <c r="B9" t="s">
        <v>370</v>
      </c>
      <c r="C9" s="5">
        <f>SUMIF(Banque!$F:$F,"="&amp;$B9,Banque!I:I)*-1</f>
        <v>0</v>
      </c>
      <c r="D9" s="5">
        <f>SUMIF(Banque!$F:$F,"="&amp;$B9,Banque!J:J)</f>
        <v>49642.7</v>
      </c>
      <c r="E9" s="5">
        <f>SUMIFS(Banque!I:I,Banque!$F:$F,"="&amp;$B9,Banque!$D:$D,"=1")*-1</f>
        <v>0</v>
      </c>
      <c r="F9" s="5">
        <f>SUMIF(Compta!$D:$D,"="&amp;$B9,Compta!F:F)*-1</f>
        <v>0</v>
      </c>
      <c r="G9" s="5">
        <f>SUMIFS(Banque!J:J,Banque!$F:$F,"="&amp;$B9,Banque!$D:$D,"=1")</f>
        <v>0</v>
      </c>
      <c r="H9" s="5">
        <f>SUMIF(Compta!$D:$D,"="&amp;$B9,Compta!G:G)</f>
        <v>59152.3</v>
      </c>
      <c r="I9" s="8">
        <f t="shared" si="0"/>
        <v>9509.6000000000058</v>
      </c>
    </row>
    <row r="10" spans="1:9" x14ac:dyDescent="0.25">
      <c r="A10" t="s">
        <v>426</v>
      </c>
      <c r="B10" t="s">
        <v>429</v>
      </c>
      <c r="C10" s="5">
        <f>SUMIF(Banque!$F:$F,"="&amp;$B10,Banque!I:I)*-1</f>
        <v>0</v>
      </c>
      <c r="D10" s="5">
        <f>SUMIF(Banque!$F:$F,"="&amp;$B10,Banque!J:J)</f>
        <v>0</v>
      </c>
      <c r="E10" s="5">
        <f>SUMIFS(Banque!I:I,Banque!$F:$F,"="&amp;$B10,Banque!$D:$D,"=1")*-1</f>
        <v>0</v>
      </c>
      <c r="F10" s="5">
        <f>SUMIF(Compta!$D:$D,"="&amp;$B10,Compta!F:F)*-1</f>
        <v>0</v>
      </c>
      <c r="G10" s="5">
        <f>SUMIFS(Banque!J:J,Banque!$F:$F,"="&amp;$B10,Banque!$D:$D,"=1")</f>
        <v>0</v>
      </c>
      <c r="H10" s="5">
        <f>SUMIF(Compta!$D:$D,"="&amp;$B10,Compta!G:G)</f>
        <v>880.2</v>
      </c>
      <c r="I10" s="8">
        <f t="shared" si="0"/>
        <v>880.2</v>
      </c>
    </row>
    <row r="11" spans="1:9" x14ac:dyDescent="0.25">
      <c r="A11" t="s">
        <v>368</v>
      </c>
      <c r="B11" t="s">
        <v>278</v>
      </c>
      <c r="C11" s="5">
        <f>SUMIF(Banque!$F:$F,"="&amp;$B11,Banque!I:I)*-1</f>
        <v>-135</v>
      </c>
      <c r="D11" s="5">
        <f>SUMIF(Banque!$F:$F,"="&amp;$B11,Banque!J:J)</f>
        <v>0</v>
      </c>
      <c r="E11" s="5">
        <f>SUMIFS(Banque!I:I,Banque!$F:$F,"="&amp;$B11,Banque!$D:$D,"=1")*-1</f>
        <v>-135</v>
      </c>
      <c r="F11" s="5">
        <f>SUMIF(Compta!$D:$D,"="&amp;$B11,Compta!F:F)*-1</f>
        <v>0</v>
      </c>
      <c r="G11" s="5">
        <f>SUMIFS(Banque!J:J,Banque!$F:$F,"="&amp;$B11,Banque!$D:$D,"=1")</f>
        <v>0</v>
      </c>
      <c r="H11" s="5">
        <f>SUMIF(Compta!$D:$D,"="&amp;$B11,Compta!G:G)</f>
        <v>0</v>
      </c>
      <c r="I11" s="8">
        <f t="shared" si="0"/>
        <v>0</v>
      </c>
    </row>
    <row r="12" spans="1:9" x14ac:dyDescent="0.25">
      <c r="A12" t="s">
        <v>368</v>
      </c>
      <c r="B12" t="s">
        <v>267</v>
      </c>
      <c r="C12" s="5">
        <f>SUMIF(Banque!$F:$F,"="&amp;$B12,Banque!I:I)*-1</f>
        <v>-648</v>
      </c>
      <c r="D12" s="5">
        <f>SUMIF(Banque!$F:$F,"="&amp;$B12,Banque!J:J)</f>
        <v>0</v>
      </c>
      <c r="E12" s="5">
        <f>SUMIFS(Banque!I:I,Banque!$F:$F,"="&amp;$B12,Banque!$D:$D,"=1")*-1</f>
        <v>-648</v>
      </c>
      <c r="F12" s="5">
        <f>SUMIF(Compta!$D:$D,"="&amp;$B12,Compta!F:F)*-1</f>
        <v>0</v>
      </c>
      <c r="G12" s="5">
        <f>SUMIFS(Banque!J:J,Banque!$F:$F,"="&amp;$B12,Banque!$D:$D,"=1")</f>
        <v>0</v>
      </c>
      <c r="H12" s="5">
        <f>SUMIF(Compta!$D:$D,"="&amp;$B12,Compta!G:G)</f>
        <v>0</v>
      </c>
      <c r="I12" s="8">
        <f t="shared" si="0"/>
        <v>0</v>
      </c>
    </row>
    <row r="13" spans="1:9" x14ac:dyDescent="0.25">
      <c r="A13" t="s">
        <v>368</v>
      </c>
      <c r="B13" t="s">
        <v>253</v>
      </c>
      <c r="C13" s="5">
        <f>SUMIF(Banque!$F:$F,"="&amp;$B13,Banque!I:I)*-1</f>
        <v>-2259.8200000000002</v>
      </c>
      <c r="D13" s="5">
        <f>SUMIF(Banque!$F:$F,"="&amp;$B13,Banque!J:J)</f>
        <v>0</v>
      </c>
      <c r="E13" s="5">
        <f>SUMIFS(Banque!I:I,Banque!$F:$F,"="&amp;$B13,Banque!$D:$D,"=1")*-1</f>
        <v>-2259.8200000000002</v>
      </c>
      <c r="F13" s="5">
        <f>SUMIF(Compta!$D:$D,"="&amp;$B13,Compta!F:F)*-1</f>
        <v>0</v>
      </c>
      <c r="G13" s="5">
        <f>SUMIFS(Banque!J:J,Banque!$F:$F,"="&amp;$B13,Banque!$D:$D,"=1")</f>
        <v>0</v>
      </c>
      <c r="H13" s="5">
        <f>SUMIF(Compta!$D:$D,"="&amp;$B13,Compta!G:G)</f>
        <v>0</v>
      </c>
      <c r="I13" s="8">
        <f t="shared" si="0"/>
        <v>0</v>
      </c>
    </row>
    <row r="14" spans="1:9" x14ac:dyDescent="0.25">
      <c r="A14" t="s">
        <v>368</v>
      </c>
      <c r="B14" t="s">
        <v>269</v>
      </c>
      <c r="C14" s="5">
        <f>SUMIF(Banque!$F:$F,"="&amp;$B14,Banque!I:I)*-1</f>
        <v>-21281.65</v>
      </c>
      <c r="D14" s="5">
        <f>SUMIF(Banque!$F:$F,"="&amp;$B14,Banque!J:J)</f>
        <v>0</v>
      </c>
      <c r="E14" s="5">
        <f>SUMIFS(Banque!I:I,Banque!$F:$F,"="&amp;$B14,Banque!$D:$D,"=1")*-1</f>
        <v>-21281.65</v>
      </c>
      <c r="F14" s="5">
        <f>SUMIF(Compta!$D:$D,"="&amp;$B14,Compta!F:F)*-1</f>
        <v>0</v>
      </c>
      <c r="G14" s="5">
        <f>SUMIFS(Banque!J:J,Banque!$F:$F,"="&amp;$B14,Banque!$D:$D,"=1")</f>
        <v>0</v>
      </c>
      <c r="H14" s="5">
        <f>SUMIF(Compta!$D:$D,"="&amp;$B14,Compta!G:G)</f>
        <v>0</v>
      </c>
      <c r="I14" s="8">
        <f t="shared" si="0"/>
        <v>0</v>
      </c>
    </row>
    <row r="15" spans="1:9" x14ac:dyDescent="0.25">
      <c r="A15" t="s">
        <v>368</v>
      </c>
      <c r="B15" t="s">
        <v>271</v>
      </c>
      <c r="C15" s="5">
        <f>SUMIF(Banque!$F:$F,"="&amp;$B15,Banque!I:I)*-1</f>
        <v>-61.1</v>
      </c>
      <c r="D15" s="5">
        <f>SUMIF(Banque!$F:$F,"="&amp;$B15,Banque!J:J)</f>
        <v>0</v>
      </c>
      <c r="E15" s="5">
        <f>SUMIFS(Banque!I:I,Banque!$F:$F,"="&amp;$B15,Banque!$D:$D,"=1")*-1</f>
        <v>-61.1</v>
      </c>
      <c r="F15" s="5">
        <f>SUMIF(Compta!$D:$D,"="&amp;$B15,Compta!F:F)*-1</f>
        <v>0</v>
      </c>
      <c r="G15" s="5">
        <f>SUMIFS(Banque!J:J,Banque!$F:$F,"="&amp;$B15,Banque!$D:$D,"=1")</f>
        <v>0</v>
      </c>
      <c r="H15" s="5">
        <f>SUMIF(Compta!$D:$D,"="&amp;$B15,Compta!G:G)</f>
        <v>0</v>
      </c>
      <c r="I15" s="8">
        <f t="shared" si="0"/>
        <v>0</v>
      </c>
    </row>
    <row r="16" spans="1:9" x14ac:dyDescent="0.25">
      <c r="A16" t="s">
        <v>368</v>
      </c>
      <c r="B16" t="s">
        <v>266</v>
      </c>
      <c r="C16" s="5">
        <f>SUMIF(Banque!$F:$F,"="&amp;$B16,Banque!I:I)*-1</f>
        <v>-3.53</v>
      </c>
      <c r="D16" s="5">
        <f>SUMIF(Banque!$F:$F,"="&amp;$B16,Banque!J:J)</f>
        <v>283.12</v>
      </c>
      <c r="E16" s="5">
        <f>SUMIFS(Banque!I:I,Banque!$F:$F,"="&amp;$B16,Banque!$D:$D,"=1")*-1</f>
        <v>-3.53</v>
      </c>
      <c r="F16" s="5">
        <f>SUMIF(Compta!$D:$D,"="&amp;$B16,Compta!F:F)*-1</f>
        <v>0</v>
      </c>
      <c r="G16" s="5">
        <f>SUMIFS(Banque!J:J,Banque!$F:$F,"="&amp;$B16,Banque!$D:$D,"=1")</f>
        <v>283.12</v>
      </c>
      <c r="H16" s="5">
        <f>SUMIF(Compta!$D:$D,"="&amp;$B16,Compta!G:G)</f>
        <v>0</v>
      </c>
      <c r="I16" s="8">
        <f t="shared" si="0"/>
        <v>0</v>
      </c>
    </row>
    <row r="17" spans="1:9" x14ac:dyDescent="0.25">
      <c r="A17" t="s">
        <v>368</v>
      </c>
      <c r="B17" t="s">
        <v>315</v>
      </c>
      <c r="C17" s="5">
        <f>SUMIF(Banque!$F:$F,"="&amp;$B17,Banque!I:I)*-1</f>
        <v>0</v>
      </c>
      <c r="D17" s="5">
        <f>SUMIF(Banque!$F:$F,"="&amp;$B17,Banque!J:J)</f>
        <v>0</v>
      </c>
      <c r="E17" s="5">
        <f>SUMIFS(Banque!I:I,Banque!$F:$F,"="&amp;$B17,Banque!$D:$D,"=1")*-1</f>
        <v>0</v>
      </c>
      <c r="F17" s="5">
        <f>SUMIF(Compta!$D:$D,"="&amp;$B17,Compta!F:F)*-1</f>
        <v>0</v>
      </c>
      <c r="G17" s="5">
        <f>SUMIFS(Banque!J:J,Banque!$F:$F,"="&amp;$B17,Banque!$D:$D,"=1")</f>
        <v>0</v>
      </c>
      <c r="H17" s="5">
        <f>SUMIF(Compta!$D:$D,"="&amp;$B17,Compta!G:G)</f>
        <v>0</v>
      </c>
      <c r="I17" s="8">
        <f t="shared" si="0"/>
        <v>0</v>
      </c>
    </row>
    <row r="18" spans="1:9" x14ac:dyDescent="0.25">
      <c r="A18" t="s">
        <v>368</v>
      </c>
      <c r="B18" t="s">
        <v>257</v>
      </c>
      <c r="C18" s="5">
        <f>SUMIF(Banque!$F:$F,"="&amp;$B18,Banque!I:I)*-1</f>
        <v>-1149.07</v>
      </c>
      <c r="D18" s="5">
        <f>SUMIF(Banque!$F:$F,"="&amp;$B18,Banque!J:J)</f>
        <v>0</v>
      </c>
      <c r="E18" s="5">
        <f>SUMIFS(Banque!I:I,Banque!$F:$F,"="&amp;$B18,Banque!$D:$D,"=1")*-1</f>
        <v>-1149.07</v>
      </c>
      <c r="F18" s="5">
        <f>SUMIF(Compta!$D:$D,"="&amp;$B18,Compta!F:F)*-1</f>
        <v>0</v>
      </c>
      <c r="G18" s="5">
        <f>SUMIFS(Banque!J:J,Banque!$F:$F,"="&amp;$B18,Banque!$D:$D,"=1")</f>
        <v>0</v>
      </c>
      <c r="H18" s="5">
        <f>SUMIF(Compta!$D:$D,"="&amp;$B18,Compta!G:G)</f>
        <v>0</v>
      </c>
      <c r="I18" s="8">
        <f t="shared" si="0"/>
        <v>0</v>
      </c>
    </row>
    <row r="19" spans="1:9" x14ac:dyDescent="0.25">
      <c r="A19" t="s">
        <v>368</v>
      </c>
      <c r="B19" t="s">
        <v>258</v>
      </c>
      <c r="C19" s="5">
        <f>SUMIF(Banque!$F:$F,"="&amp;$B19,Banque!I:I)*-1</f>
        <v>0</v>
      </c>
      <c r="D19" s="5">
        <f>SUMIF(Banque!$F:$F,"="&amp;$B19,Banque!J:J)</f>
        <v>0</v>
      </c>
      <c r="E19" s="5">
        <f>SUMIFS(Banque!I:I,Banque!$F:$F,"="&amp;$B19,Banque!$D:$D,"=1")*-1</f>
        <v>0</v>
      </c>
      <c r="F19" s="5">
        <f>SUMIF(Compta!$D:$D,"="&amp;$B19,Compta!F:F)*-1</f>
        <v>0</v>
      </c>
      <c r="G19" s="5">
        <f>SUMIFS(Banque!J:J,Banque!$F:$F,"="&amp;$B19,Banque!$D:$D,"=1")</f>
        <v>0</v>
      </c>
      <c r="H19" s="5">
        <f>SUMIF(Compta!$D:$D,"="&amp;$B19,Compta!G:G)</f>
        <v>0</v>
      </c>
      <c r="I19" s="8">
        <f t="shared" si="0"/>
        <v>0</v>
      </c>
    </row>
    <row r="20" spans="1:9" x14ac:dyDescent="0.25">
      <c r="A20" t="s">
        <v>368</v>
      </c>
      <c r="B20" t="s">
        <v>255</v>
      </c>
      <c r="C20" s="5">
        <f>SUMIF(Banque!$F:$F,"="&amp;$B20,Banque!I:I)*-1</f>
        <v>-5200</v>
      </c>
      <c r="D20" s="5">
        <f>SUMIF(Banque!$F:$F,"="&amp;$B20,Banque!J:J)</f>
        <v>0</v>
      </c>
      <c r="E20" s="5">
        <f>SUMIFS(Banque!I:I,Banque!$F:$F,"="&amp;$B20,Banque!$D:$D,"=1")*-1</f>
        <v>-3900</v>
      </c>
      <c r="F20" s="5">
        <f>SUMIF(Compta!$D:$D,"="&amp;$B20,Compta!F:F)*-1</f>
        <v>-1300</v>
      </c>
      <c r="G20" s="5">
        <f>SUMIFS(Banque!J:J,Banque!$F:$F,"="&amp;$B20,Banque!$D:$D,"=1")</f>
        <v>0</v>
      </c>
      <c r="H20" s="5">
        <f>SUMIF(Compta!$D:$D,"="&amp;$B20,Compta!G:G)</f>
        <v>0</v>
      </c>
      <c r="I20" s="8">
        <f t="shared" si="0"/>
        <v>0</v>
      </c>
    </row>
    <row r="21" spans="1:9" x14ac:dyDescent="0.25">
      <c r="A21" t="s">
        <v>368</v>
      </c>
      <c r="B21" t="s">
        <v>372</v>
      </c>
      <c r="C21" s="5">
        <f>SUMIF(Banque!$F:$F,"="&amp;$B21,Banque!I:I)*-1</f>
        <v>-25.4</v>
      </c>
      <c r="D21" s="5">
        <f>SUMIF(Banque!$F:$F,"="&amp;$B21,Banque!J:J)</f>
        <v>0</v>
      </c>
      <c r="E21" s="5">
        <f>SUMIFS(Banque!I:I,Banque!$F:$F,"="&amp;$B21,Banque!$D:$D,"=1")*-1</f>
        <v>-25.4</v>
      </c>
      <c r="F21" s="5">
        <f>SUMIF(Compta!$D:$D,"="&amp;$B21,Compta!F:F)*-1</f>
        <v>0</v>
      </c>
      <c r="G21" s="5">
        <f>SUMIFS(Banque!J:J,Banque!$F:$F,"="&amp;$B21,Banque!$D:$D,"=1")</f>
        <v>0</v>
      </c>
      <c r="H21" s="5">
        <f>SUMIF(Compta!$D:$D,"="&amp;$B21,Compta!G:G)</f>
        <v>0</v>
      </c>
      <c r="I21" s="8">
        <f t="shared" si="0"/>
        <v>0</v>
      </c>
    </row>
    <row r="22" spans="1:9" x14ac:dyDescent="0.25">
      <c r="A22" t="s">
        <v>368</v>
      </c>
      <c r="B22" t="s">
        <v>381</v>
      </c>
      <c r="C22" s="5">
        <f>SUMIF(Banque!$F:$F,"="&amp;$B22,Banque!I:I)*-1</f>
        <v>-948.6</v>
      </c>
      <c r="D22" s="5">
        <f>SUMIF(Banque!$F:$F,"="&amp;$B22,Banque!J:J)</f>
        <v>0</v>
      </c>
      <c r="E22" s="5">
        <f>SUMIFS(Banque!I:I,Banque!$F:$F,"="&amp;$B22,Banque!$D:$D,"=1")*-1</f>
        <v>-948.6</v>
      </c>
      <c r="F22" s="5">
        <f>SUMIF(Compta!$D:$D,"="&amp;$B22,Compta!F:F)*-1</f>
        <v>0</v>
      </c>
      <c r="G22" s="5">
        <f>SUMIFS(Banque!J:J,Banque!$F:$F,"="&amp;$B22,Banque!$D:$D,"=1")</f>
        <v>0</v>
      </c>
      <c r="H22" s="5">
        <f>SUMIF(Compta!$D:$D,"="&amp;$B22,Compta!G:G)</f>
        <v>0</v>
      </c>
      <c r="I22" s="8">
        <f t="shared" si="0"/>
        <v>0</v>
      </c>
    </row>
    <row r="23" spans="1:9" x14ac:dyDescent="0.25">
      <c r="A23" t="s">
        <v>368</v>
      </c>
      <c r="B23" t="s">
        <v>382</v>
      </c>
      <c r="C23" s="5">
        <f>SUMIF(Banque!$F:$F,"="&amp;$B23,Banque!I:I)*-1</f>
        <v>-1040</v>
      </c>
      <c r="D23" s="5">
        <f>SUMIF(Banque!$F:$F,"="&amp;$B23,Banque!J:J)</f>
        <v>0</v>
      </c>
      <c r="E23" s="5">
        <f>SUMIFS(Banque!I:I,Banque!$F:$F,"="&amp;$B23,Banque!$D:$D,"=1")*-1</f>
        <v>-1040</v>
      </c>
      <c r="F23" s="5">
        <f>SUMIF(Compta!$D:$D,"="&amp;$B23,Compta!F:F)*-1</f>
        <v>0</v>
      </c>
      <c r="G23" s="5">
        <f>SUMIFS(Banque!J:J,Banque!$F:$F,"="&amp;$B23,Banque!$D:$D,"=1")</f>
        <v>0</v>
      </c>
      <c r="H23" s="5">
        <f>SUMIF(Compta!$D:$D,"="&amp;$B23,Compta!G:G)</f>
        <v>0</v>
      </c>
      <c r="I23" s="8">
        <f t="shared" si="0"/>
        <v>0</v>
      </c>
    </row>
    <row r="24" spans="1:9" x14ac:dyDescent="0.25">
      <c r="A24" t="s">
        <v>368</v>
      </c>
      <c r="B24" t="s">
        <v>263</v>
      </c>
      <c r="C24" s="5">
        <f>SUMIF(Banque!$F:$F,"="&amp;$B24,Banque!I:I)*-1</f>
        <v>-1520</v>
      </c>
      <c r="D24" s="5">
        <f>SUMIF(Banque!$F:$F,"="&amp;$B24,Banque!J:J)</f>
        <v>0</v>
      </c>
      <c r="E24" s="5">
        <f>SUMIFS(Banque!I:I,Banque!$F:$F,"="&amp;$B24,Banque!$D:$D,"=1")*-1</f>
        <v>-1520</v>
      </c>
      <c r="F24" s="5">
        <f>SUMIF(Compta!$D:$D,"="&amp;$B24,Compta!F:F)*-1</f>
        <v>0</v>
      </c>
      <c r="G24" s="5">
        <f>SUMIFS(Banque!J:J,Banque!$F:$F,"="&amp;$B24,Banque!$D:$D,"=1")</f>
        <v>0</v>
      </c>
      <c r="H24" s="5">
        <f>SUMIF(Compta!$D:$D,"="&amp;$B24,Compta!G:G)</f>
        <v>0</v>
      </c>
      <c r="I24" s="8">
        <f t="shared" si="0"/>
        <v>0</v>
      </c>
    </row>
    <row r="25" spans="1:9" x14ac:dyDescent="0.25">
      <c r="A25" t="s">
        <v>368</v>
      </c>
      <c r="B25" t="s">
        <v>316</v>
      </c>
      <c r="C25" s="5">
        <f>SUMIF(Banque!$F:$F,"="&amp;$B25,Banque!I:I)*-1</f>
        <v>0</v>
      </c>
      <c r="D25" s="5">
        <f>SUMIF(Banque!$F:$F,"="&amp;$B25,Banque!J:J)</f>
        <v>0</v>
      </c>
      <c r="E25" s="5">
        <f>SUMIFS(Banque!I:I,Banque!$F:$F,"="&amp;$B25,Banque!$D:$D,"=1")*-1</f>
        <v>0</v>
      </c>
      <c r="F25" s="5">
        <f>SUMIF(Compta!$D:$D,"="&amp;$B25,Compta!F:F)*-1</f>
        <v>0</v>
      </c>
      <c r="G25" s="5">
        <f>SUMIFS(Banque!J:J,Banque!$F:$F,"="&amp;$B25,Banque!$D:$D,"=1")</f>
        <v>0</v>
      </c>
      <c r="H25" s="5">
        <f>SUMIF(Compta!$D:$D,"="&amp;$B25,Compta!G:G)</f>
        <v>0</v>
      </c>
      <c r="I25" s="8">
        <f t="shared" si="0"/>
        <v>0</v>
      </c>
    </row>
    <row r="26" spans="1:9" x14ac:dyDescent="0.25">
      <c r="A26" t="s">
        <v>368</v>
      </c>
      <c r="B26" t="s">
        <v>264</v>
      </c>
      <c r="C26" s="5">
        <f>SUMIF(Banque!$F:$F,"="&amp;$B26,Banque!I:I)*-1</f>
        <v>0</v>
      </c>
      <c r="D26" s="5">
        <f>SUMIF(Banque!$F:$F,"="&amp;$B26,Banque!J:J)</f>
        <v>0</v>
      </c>
      <c r="E26" s="5">
        <f>SUMIFS(Banque!I:I,Banque!$F:$F,"="&amp;$B26,Banque!$D:$D,"=1")*-1</f>
        <v>0</v>
      </c>
      <c r="F26" s="5">
        <f>SUMIF(Compta!$D:$D,"="&amp;$B26,Compta!F:F)*-1</f>
        <v>0</v>
      </c>
      <c r="G26" s="5">
        <f>SUMIFS(Banque!J:J,Banque!$F:$F,"="&amp;$B26,Banque!$D:$D,"=1")</f>
        <v>0</v>
      </c>
      <c r="H26" s="5">
        <f>SUMIF(Compta!$D:$D,"="&amp;$B26,Compta!G:G)</f>
        <v>0</v>
      </c>
      <c r="I26" s="8">
        <f t="shared" si="0"/>
        <v>0</v>
      </c>
    </row>
    <row r="27" spans="1:9" x14ac:dyDescent="0.25">
      <c r="A27" t="s">
        <v>368</v>
      </c>
      <c r="B27" t="s">
        <v>254</v>
      </c>
      <c r="C27" s="5">
        <f>SUMIF(Banque!$F:$F,"="&amp;$B27,Banque!I:I)*-1</f>
        <v>-1058.9000000000001</v>
      </c>
      <c r="D27" s="5">
        <f>SUMIF(Banque!$F:$F,"="&amp;$B27,Banque!J:J)</f>
        <v>0</v>
      </c>
      <c r="E27" s="5">
        <f>SUMIFS(Banque!I:I,Banque!$F:$F,"="&amp;$B27,Banque!$D:$D,"=1")*-1</f>
        <v>-1058.9000000000001</v>
      </c>
      <c r="F27" s="5">
        <f>SUMIF(Compta!$D:$D,"="&amp;$B27,Compta!F:F)*-1</f>
        <v>0</v>
      </c>
      <c r="G27" s="5">
        <f>SUMIFS(Banque!J:J,Banque!$F:$F,"="&amp;$B27,Banque!$D:$D,"=1")</f>
        <v>0</v>
      </c>
      <c r="H27" s="5">
        <f>SUMIF(Compta!$D:$D,"="&amp;$B27,Compta!G:G)</f>
        <v>0</v>
      </c>
      <c r="I27" s="8">
        <f t="shared" si="0"/>
        <v>0</v>
      </c>
    </row>
    <row r="28" spans="1:9" x14ac:dyDescent="0.25">
      <c r="A28" t="s">
        <v>368</v>
      </c>
      <c r="B28" t="s">
        <v>256</v>
      </c>
      <c r="C28" s="5">
        <f>SUMIF(Banque!$F:$F,"="&amp;$B28,Banque!I:I)*-1</f>
        <v>-28513.279999999999</v>
      </c>
      <c r="D28" s="5">
        <f>SUMIF(Banque!$F:$F,"="&amp;$B28,Banque!J:J)</f>
        <v>0</v>
      </c>
      <c r="E28" s="5">
        <f>SUMIFS(Banque!I:I,Banque!$F:$F,"="&amp;$B28,Banque!$D:$D,"=1")*-1</f>
        <v>-28513.279999999999</v>
      </c>
      <c r="F28" s="5">
        <f>SUMIF(Compta!$D:$D,"="&amp;$B28,Compta!F:F)*-1</f>
        <v>0</v>
      </c>
      <c r="G28" s="5">
        <f>SUMIFS(Banque!J:J,Banque!$F:$F,"="&amp;$B28,Banque!$D:$D,"=1")</f>
        <v>0</v>
      </c>
      <c r="H28" s="5">
        <f>SUMIF(Compta!$D:$D,"="&amp;$B28,Compta!G:G)</f>
        <v>0</v>
      </c>
      <c r="I28" s="8">
        <f t="shared" si="0"/>
        <v>0</v>
      </c>
    </row>
    <row r="29" spans="1:9" x14ac:dyDescent="0.25">
      <c r="A29" t="s">
        <v>368</v>
      </c>
      <c r="B29" t="s">
        <v>272</v>
      </c>
      <c r="C29" s="5">
        <f>SUMIF(Banque!$F:$F,"="&amp;$B29,Banque!I:I)*-1</f>
        <v>-14100</v>
      </c>
      <c r="D29" s="5">
        <f>SUMIF(Banque!$F:$F,"="&amp;$B29,Banque!J:J)</f>
        <v>0</v>
      </c>
      <c r="E29" s="5">
        <f>SUMIFS(Banque!I:I,Banque!$F:$F,"="&amp;$B29,Banque!$D:$D,"=1")*-1</f>
        <v>-14100</v>
      </c>
      <c r="F29" s="5">
        <f>SUMIF(Compta!$D:$D,"="&amp;$B29,Compta!F:F)*-1</f>
        <v>0</v>
      </c>
      <c r="G29" s="5">
        <f>SUMIFS(Banque!J:J,Banque!$F:$F,"="&amp;$B29,Banque!$D:$D,"=1")</f>
        <v>0</v>
      </c>
      <c r="H29" s="5">
        <f>SUMIF(Compta!$D:$D,"="&amp;$B29,Compta!G:G)</f>
        <v>0</v>
      </c>
      <c r="I29" s="8">
        <f t="shared" si="0"/>
        <v>0</v>
      </c>
    </row>
    <row r="30" spans="1:9" x14ac:dyDescent="0.25">
      <c r="A30" t="s">
        <v>369</v>
      </c>
      <c r="B30" t="s">
        <v>335</v>
      </c>
      <c r="C30" s="5">
        <f>SUMIF(Banque!$F:$F,"="&amp;$B30,Banque!I:I)*-1</f>
        <v>0</v>
      </c>
      <c r="D30" s="5">
        <f>SUMIF(Banque!$F:$F,"="&amp;$B30,Banque!J:J)</f>
        <v>0</v>
      </c>
      <c r="E30" s="5">
        <f>SUMIFS(Banque!I:I,Banque!$F:$F,"="&amp;$B30,Banque!$D:$D,"=1")*-1</f>
        <v>0</v>
      </c>
      <c r="F30" s="5">
        <f>SUMIF(Compta!$D:$D,"="&amp;$B30,Compta!F:F)*-1</f>
        <v>0</v>
      </c>
      <c r="G30" s="5">
        <f>SUMIFS(Banque!J:J,Banque!$F:$F,"="&amp;$B30,Banque!$D:$D,"=1")</f>
        <v>0</v>
      </c>
      <c r="H30" s="5">
        <f>SUMIF(Compta!$D:$D,"="&amp;$B30,Compta!G:G)</f>
        <v>0</v>
      </c>
      <c r="I30" s="8">
        <f t="shared" si="0"/>
        <v>0</v>
      </c>
    </row>
    <row r="31" spans="1:9" x14ac:dyDescent="0.25">
      <c r="A31" t="s">
        <v>369</v>
      </c>
      <c r="B31" t="s">
        <v>346</v>
      </c>
      <c r="C31" s="5">
        <f>SUMIF(Banque!$F:$F,"="&amp;$B31,Banque!I:I)*-1</f>
        <v>0</v>
      </c>
      <c r="D31" s="5">
        <f>SUMIF(Banque!$F:$F,"="&amp;$B31,Banque!J:J)</f>
        <v>0</v>
      </c>
      <c r="E31" s="5">
        <f>SUMIFS(Banque!I:I,Banque!$F:$F,"="&amp;$B31,Banque!$D:$D,"=1")*-1</f>
        <v>0</v>
      </c>
      <c r="F31" s="5">
        <f>SUMIF(Compta!$D:$D,"="&amp;$B31,Compta!F:F)*-1</f>
        <v>0</v>
      </c>
      <c r="G31" s="5">
        <f>SUMIFS(Banque!J:J,Banque!$F:$F,"="&amp;$B31,Banque!$D:$D,"=1")</f>
        <v>0</v>
      </c>
      <c r="H31" s="5">
        <f>SUMIF(Compta!$D:$D,"="&amp;$B31,Compta!G:G)</f>
        <v>0</v>
      </c>
      <c r="I31" s="8">
        <f t="shared" si="0"/>
        <v>0</v>
      </c>
    </row>
    <row r="32" spans="1:9" x14ac:dyDescent="0.25">
      <c r="A32" t="s">
        <v>369</v>
      </c>
      <c r="B32" t="s">
        <v>273</v>
      </c>
      <c r="C32" s="5">
        <f>SUMIF(Banque!$F:$F,"="&amp;$B32,Banque!I:I)*-1</f>
        <v>-597.65000000000009</v>
      </c>
      <c r="D32" s="5">
        <f>SUMIF(Banque!$F:$F,"="&amp;$B32,Banque!J:J)</f>
        <v>0</v>
      </c>
      <c r="E32" s="5">
        <f>SUMIFS(Banque!I:I,Banque!$F:$F,"="&amp;$B32,Banque!$D:$D,"=1")*-1</f>
        <v>-311.74</v>
      </c>
      <c r="F32" s="5">
        <f>SUMIF(Compta!$D:$D,"="&amp;$B32,Compta!F:F)*-1</f>
        <v>-370.67</v>
      </c>
      <c r="G32" s="5">
        <f>SUMIFS(Banque!J:J,Banque!$F:$F,"="&amp;$B32,Banque!$D:$D,"=1")</f>
        <v>0</v>
      </c>
      <c r="H32" s="5">
        <f>SUMIF(Compta!$D:$D,"="&amp;$B32,Compta!G:G)</f>
        <v>0</v>
      </c>
      <c r="I32" s="8">
        <f t="shared" si="0"/>
        <v>-84.759999999999991</v>
      </c>
    </row>
    <row r="33" spans="1:9" x14ac:dyDescent="0.25">
      <c r="A33" t="s">
        <v>369</v>
      </c>
      <c r="B33" t="s">
        <v>286</v>
      </c>
      <c r="C33" s="5">
        <f>SUMIF(Banque!$F:$F,"="&amp;$B33,Banque!I:I)*-1</f>
        <v>-602.4</v>
      </c>
      <c r="D33" s="5">
        <f>SUMIF(Banque!$F:$F,"="&amp;$B33,Banque!J:J)</f>
        <v>0</v>
      </c>
      <c r="E33" s="5">
        <f>SUMIFS(Banque!I:I,Banque!$F:$F,"="&amp;$B33,Banque!$D:$D,"=1")*-1</f>
        <v>0</v>
      </c>
      <c r="F33" s="5">
        <f>SUMIF(Compta!$D:$D,"="&amp;$B33,Compta!F:F)*-1</f>
        <v>-602.4</v>
      </c>
      <c r="G33" s="5">
        <f>SUMIFS(Banque!J:J,Banque!$F:$F,"="&amp;$B33,Banque!$D:$D,"=1")</f>
        <v>0</v>
      </c>
      <c r="H33" s="5">
        <f>SUMIF(Compta!$D:$D,"="&amp;$B33,Compta!G:G)</f>
        <v>0</v>
      </c>
      <c r="I33" s="8">
        <f t="shared" si="0"/>
        <v>0</v>
      </c>
    </row>
    <row r="34" spans="1:9" x14ac:dyDescent="0.25">
      <c r="A34" t="s">
        <v>369</v>
      </c>
      <c r="B34" t="s">
        <v>292</v>
      </c>
      <c r="C34" s="5">
        <f>SUMIF(Banque!$F:$F,"="&amp;$B34,Banque!I:I)*-1</f>
        <v>-78.16</v>
      </c>
      <c r="D34" s="5">
        <f>SUMIF(Banque!$F:$F,"="&amp;$B34,Banque!J:J)</f>
        <v>0</v>
      </c>
      <c r="E34" s="5">
        <f>SUMIFS(Banque!I:I,Banque!$F:$F,"="&amp;$B34,Banque!$D:$D,"=1")*-1</f>
        <v>0</v>
      </c>
      <c r="F34" s="5">
        <f>SUMIF(Compta!$D:$D,"="&amp;$B34,Compta!F:F)*-1</f>
        <v>-78.16</v>
      </c>
      <c r="G34" s="5">
        <f>SUMIFS(Banque!J:J,Banque!$F:$F,"="&amp;$B34,Banque!$D:$D,"=1")</f>
        <v>0</v>
      </c>
      <c r="H34" s="5">
        <f>SUMIF(Compta!$D:$D,"="&amp;$B34,Compta!G:G)</f>
        <v>0</v>
      </c>
      <c r="I34" s="8">
        <f t="shared" ref="I34:I65" si="1">SUM(E34:H34)-SUM(C34:D34)</f>
        <v>0</v>
      </c>
    </row>
    <row r="35" spans="1:9" x14ac:dyDescent="0.25">
      <c r="A35" t="s">
        <v>369</v>
      </c>
      <c r="B35" t="s">
        <v>330</v>
      </c>
      <c r="C35" s="5">
        <f>SUMIF(Banque!$F:$F,"="&amp;$B35,Banque!I:I)*-1</f>
        <v>0</v>
      </c>
      <c r="D35" s="5">
        <f>SUMIF(Banque!$F:$F,"="&amp;$B35,Banque!J:J)</f>
        <v>0</v>
      </c>
      <c r="E35" s="5">
        <f>SUMIFS(Banque!I:I,Banque!$F:$F,"="&amp;$B35,Banque!$D:$D,"=1")*-1</f>
        <v>0</v>
      </c>
      <c r="F35" s="5">
        <f>SUMIF(Compta!$D:$D,"="&amp;$B35,Compta!F:F)*-1</f>
        <v>0</v>
      </c>
      <c r="G35" s="5">
        <f>SUMIFS(Banque!J:J,Banque!$F:$F,"="&amp;$B35,Banque!$D:$D,"=1")</f>
        <v>0</v>
      </c>
      <c r="H35" s="5">
        <f>SUMIF(Compta!$D:$D,"="&amp;$B35,Compta!G:G)</f>
        <v>0</v>
      </c>
      <c r="I35" s="8">
        <f t="shared" si="1"/>
        <v>0</v>
      </c>
    </row>
    <row r="36" spans="1:9" x14ac:dyDescent="0.25">
      <c r="A36" t="s">
        <v>369</v>
      </c>
      <c r="B36" t="s">
        <v>336</v>
      </c>
      <c r="C36" s="5">
        <f>SUMIF(Banque!$F:$F,"="&amp;$B36,Banque!I:I)*-1</f>
        <v>0</v>
      </c>
      <c r="D36" s="5">
        <f>SUMIF(Banque!$F:$F,"="&amp;$B36,Banque!J:J)</f>
        <v>0</v>
      </c>
      <c r="E36" s="5">
        <f>SUMIFS(Banque!I:I,Banque!$F:$F,"="&amp;$B36,Banque!$D:$D,"=1")*-1</f>
        <v>0</v>
      </c>
      <c r="F36" s="5">
        <f>SUMIF(Compta!$D:$D,"="&amp;$B36,Compta!F:F)*-1</f>
        <v>0</v>
      </c>
      <c r="G36" s="5">
        <f>SUMIFS(Banque!J:J,Banque!$F:$F,"="&amp;$B36,Banque!$D:$D,"=1")</f>
        <v>0</v>
      </c>
      <c r="H36" s="5">
        <f>SUMIF(Compta!$D:$D,"="&amp;$B36,Compta!G:G)</f>
        <v>0</v>
      </c>
      <c r="I36" s="8">
        <f t="shared" si="1"/>
        <v>0</v>
      </c>
    </row>
    <row r="37" spans="1:9" x14ac:dyDescent="0.25">
      <c r="A37" t="s">
        <v>369</v>
      </c>
      <c r="B37" t="s">
        <v>361</v>
      </c>
      <c r="C37" s="5">
        <f>SUMIF(Banque!$F:$F,"="&amp;$B37,Banque!I:I)*-1</f>
        <v>0</v>
      </c>
      <c r="D37" s="5">
        <f>SUMIF(Banque!$F:$F,"="&amp;$B37,Banque!J:J)</f>
        <v>0</v>
      </c>
      <c r="E37" s="5">
        <f>SUMIFS(Banque!I:I,Banque!$F:$F,"="&amp;$B37,Banque!$D:$D,"=1")*-1</f>
        <v>0</v>
      </c>
      <c r="F37" s="5">
        <f>SUMIF(Compta!$D:$D,"="&amp;$B37,Compta!F:F)*-1</f>
        <v>0</v>
      </c>
      <c r="G37" s="5">
        <f>SUMIFS(Banque!J:J,Banque!$F:$F,"="&amp;$B37,Banque!$D:$D,"=1")</f>
        <v>0</v>
      </c>
      <c r="H37" s="5">
        <f>SUMIF(Compta!$D:$D,"="&amp;$B37,Compta!G:G)</f>
        <v>0</v>
      </c>
      <c r="I37" s="8">
        <f t="shared" si="1"/>
        <v>0</v>
      </c>
    </row>
    <row r="38" spans="1:9" x14ac:dyDescent="0.25">
      <c r="A38" t="s">
        <v>369</v>
      </c>
      <c r="B38" t="s">
        <v>260</v>
      </c>
      <c r="C38" s="5">
        <f>SUMIF(Banque!$F:$F,"="&amp;$B38,Banque!I:I)*-1</f>
        <v>-430.32</v>
      </c>
      <c r="D38" s="5">
        <f>SUMIF(Banque!$F:$F,"="&amp;$B38,Banque!J:J)</f>
        <v>0</v>
      </c>
      <c r="E38" s="5">
        <f>SUMIFS(Banque!I:I,Banque!$F:$F,"="&amp;$B38,Banque!$D:$D,"=1")*-1</f>
        <v>-430.32</v>
      </c>
      <c r="F38" s="5">
        <f>SUMIF(Compta!$D:$D,"="&amp;$B38,Compta!F:F)*-1</f>
        <v>0</v>
      </c>
      <c r="G38" s="5">
        <f>SUMIFS(Banque!J:J,Banque!$F:$F,"="&amp;$B38,Banque!$D:$D,"=1")</f>
        <v>0</v>
      </c>
      <c r="H38" s="5">
        <f>SUMIF(Compta!$D:$D,"="&amp;$B38,Compta!G:G)</f>
        <v>0</v>
      </c>
      <c r="I38" s="8">
        <f t="shared" si="1"/>
        <v>0</v>
      </c>
    </row>
    <row r="39" spans="1:9" x14ac:dyDescent="0.25">
      <c r="A39" t="s">
        <v>369</v>
      </c>
      <c r="B39" t="s">
        <v>323</v>
      </c>
      <c r="C39" s="5">
        <f>SUMIF(Banque!$F:$F,"="&amp;$B39,Banque!I:I)*-1</f>
        <v>0</v>
      </c>
      <c r="D39" s="5">
        <f>SUMIF(Banque!$F:$F,"="&amp;$B39,Banque!J:J)</f>
        <v>0</v>
      </c>
      <c r="E39" s="5">
        <f>SUMIFS(Banque!I:I,Banque!$F:$F,"="&amp;$B39,Banque!$D:$D,"=1")*-1</f>
        <v>0</v>
      </c>
      <c r="F39" s="5">
        <f>SUMIF(Compta!$D:$D,"="&amp;$B39,Compta!F:F)*-1</f>
        <v>0</v>
      </c>
      <c r="G39" s="5">
        <f>SUMIFS(Banque!J:J,Banque!$F:$F,"="&amp;$B39,Banque!$D:$D,"=1")</f>
        <v>0</v>
      </c>
      <c r="H39" s="5">
        <f>SUMIF(Compta!$D:$D,"="&amp;$B39,Compta!G:G)</f>
        <v>0</v>
      </c>
      <c r="I39" s="8">
        <f t="shared" si="1"/>
        <v>0</v>
      </c>
    </row>
    <row r="40" spans="1:9" x14ac:dyDescent="0.25">
      <c r="A40" t="s">
        <v>369</v>
      </c>
      <c r="B40" t="s">
        <v>342</v>
      </c>
      <c r="C40" s="5">
        <f>SUMIF(Banque!$F:$F,"="&amp;$B40,Banque!I:I)*-1</f>
        <v>0</v>
      </c>
      <c r="D40" s="5">
        <f>SUMIF(Banque!$F:$F,"="&amp;$B40,Banque!J:J)</f>
        <v>0</v>
      </c>
      <c r="E40" s="5">
        <f>SUMIFS(Banque!I:I,Banque!$F:$F,"="&amp;$B40,Banque!$D:$D,"=1")*-1</f>
        <v>0</v>
      </c>
      <c r="F40" s="5">
        <f>SUMIF(Compta!$D:$D,"="&amp;$B40,Compta!F:F)*-1</f>
        <v>0</v>
      </c>
      <c r="G40" s="5">
        <f>SUMIFS(Banque!J:J,Banque!$F:$F,"="&amp;$B40,Banque!$D:$D,"=1")</f>
        <v>0</v>
      </c>
      <c r="H40" s="5">
        <f>SUMIF(Compta!$D:$D,"="&amp;$B40,Compta!G:G)</f>
        <v>0</v>
      </c>
      <c r="I40" s="8">
        <f t="shared" si="1"/>
        <v>0</v>
      </c>
    </row>
    <row r="41" spans="1:9" x14ac:dyDescent="0.25">
      <c r="A41" t="s">
        <v>369</v>
      </c>
      <c r="B41" t="s">
        <v>437</v>
      </c>
      <c r="C41" s="5">
        <f>SUMIF(Banque!$F:$F,"="&amp;$B41,Banque!I:I)*-1</f>
        <v>-495.42</v>
      </c>
      <c r="D41" s="5">
        <f>SUMIF(Banque!$F:$F,"="&amp;$B41,Banque!J:J)</f>
        <v>0</v>
      </c>
      <c r="E41" s="5">
        <f>SUMIFS(Banque!I:I,Banque!$F:$F,"="&amp;$B41,Banque!$D:$D,"=1")*-1</f>
        <v>-495.42</v>
      </c>
      <c r="F41" s="5">
        <f>SUMIF(Compta!$D:$D,"="&amp;$B41,Compta!F:F)*-1</f>
        <v>-252</v>
      </c>
      <c r="G41" s="5">
        <f>SUMIFS(Banque!J:J,Banque!$F:$F,"="&amp;$B41,Banque!$D:$D,"=1")</f>
        <v>0</v>
      </c>
      <c r="H41" s="5">
        <f>SUMIF(Compta!$D:$D,"="&amp;$B41,Compta!G:G)</f>
        <v>0</v>
      </c>
      <c r="I41" s="8">
        <f t="shared" si="1"/>
        <v>-252.00000000000006</v>
      </c>
    </row>
    <row r="42" spans="1:9" x14ac:dyDescent="0.25">
      <c r="A42" t="s">
        <v>369</v>
      </c>
      <c r="B42" t="s">
        <v>340</v>
      </c>
      <c r="C42" s="5">
        <f>SUMIF(Banque!$F:$F,"="&amp;$B42,Banque!I:I)*-1</f>
        <v>0</v>
      </c>
      <c r="D42" s="5">
        <f>SUMIF(Banque!$F:$F,"="&amp;$B42,Banque!J:J)</f>
        <v>0</v>
      </c>
      <c r="E42" s="5">
        <f>SUMIFS(Banque!I:I,Banque!$F:$F,"="&amp;$B42,Banque!$D:$D,"=1")*-1</f>
        <v>0</v>
      </c>
      <c r="F42" s="5">
        <f>SUMIF(Compta!$D:$D,"="&amp;$B42,Compta!F:F)*-1</f>
        <v>0</v>
      </c>
      <c r="G42" s="5">
        <f>SUMIFS(Banque!J:J,Banque!$F:$F,"="&amp;$B42,Banque!$D:$D,"=1")</f>
        <v>0</v>
      </c>
      <c r="H42" s="5">
        <f>SUMIF(Compta!$D:$D,"="&amp;$B42,Compta!G:G)</f>
        <v>0</v>
      </c>
      <c r="I42" s="8">
        <f t="shared" si="1"/>
        <v>0</v>
      </c>
    </row>
    <row r="43" spans="1:9" x14ac:dyDescent="0.25">
      <c r="A43" t="s">
        <v>369</v>
      </c>
      <c r="B43" t="s">
        <v>280</v>
      </c>
      <c r="C43" s="5">
        <f>SUMIF(Banque!$F:$F,"="&amp;$B43,Banque!I:I)*-1</f>
        <v>-961.2</v>
      </c>
      <c r="D43" s="5">
        <f>SUMIF(Banque!$F:$F,"="&amp;$B43,Banque!J:J)</f>
        <v>0</v>
      </c>
      <c r="E43" s="5">
        <f>SUMIFS(Banque!I:I,Banque!$F:$F,"="&amp;$B43,Banque!$D:$D,"=1")*-1</f>
        <v>0</v>
      </c>
      <c r="F43" s="5">
        <f>SUMIF(Compta!$D:$D,"="&amp;$B43,Compta!F:F)*-1</f>
        <v>-961.2</v>
      </c>
      <c r="G43" s="5">
        <f>SUMIFS(Banque!J:J,Banque!$F:$F,"="&amp;$B43,Banque!$D:$D,"=1")</f>
        <v>0</v>
      </c>
      <c r="H43" s="5">
        <f>SUMIF(Compta!$D:$D,"="&amp;$B43,Compta!G:G)</f>
        <v>0</v>
      </c>
      <c r="I43" s="8">
        <f t="shared" si="1"/>
        <v>0</v>
      </c>
    </row>
    <row r="44" spans="1:9" x14ac:dyDescent="0.25">
      <c r="A44" t="s">
        <v>369</v>
      </c>
      <c r="B44" t="s">
        <v>290</v>
      </c>
      <c r="C44" s="5">
        <f>SUMIF(Banque!$F:$F,"="&amp;$B44,Banque!I:I)*-1</f>
        <v>0</v>
      </c>
      <c r="D44" s="5">
        <f>SUMIF(Banque!$F:$F,"="&amp;$B44,Banque!J:J)</f>
        <v>0</v>
      </c>
      <c r="E44" s="5">
        <f>SUMIFS(Banque!I:I,Banque!$F:$F,"="&amp;$B44,Banque!$D:$D,"=1")*-1</f>
        <v>0</v>
      </c>
      <c r="F44" s="5">
        <f>SUMIF(Compta!$D:$D,"="&amp;$B44,Compta!F:F)*-1</f>
        <v>0</v>
      </c>
      <c r="G44" s="5">
        <f>SUMIFS(Banque!J:J,Banque!$F:$F,"="&amp;$B44,Banque!$D:$D,"=1")</f>
        <v>0</v>
      </c>
      <c r="H44" s="5">
        <f>SUMIF(Compta!$D:$D,"="&amp;$B44,Compta!G:G)</f>
        <v>0</v>
      </c>
      <c r="I44" s="8">
        <f t="shared" si="1"/>
        <v>0</v>
      </c>
    </row>
    <row r="45" spans="1:9" x14ac:dyDescent="0.25">
      <c r="A45" t="s">
        <v>369</v>
      </c>
      <c r="B45" t="s">
        <v>353</v>
      </c>
      <c r="C45" s="5">
        <f>SUMIF(Banque!$F:$F,"="&amp;$B45,Banque!I:I)*-1</f>
        <v>0</v>
      </c>
      <c r="D45" s="5">
        <f>SUMIF(Banque!$F:$F,"="&amp;$B45,Banque!J:J)</f>
        <v>0</v>
      </c>
      <c r="E45" s="5">
        <f>SUMIFS(Banque!I:I,Banque!$F:$F,"="&amp;$B45,Banque!$D:$D,"=1")*-1</f>
        <v>0</v>
      </c>
      <c r="F45" s="5">
        <f>SUMIF(Compta!$D:$D,"="&amp;$B45,Compta!F:F)*-1</f>
        <v>0</v>
      </c>
      <c r="G45" s="5">
        <f>SUMIFS(Banque!J:J,Banque!$F:$F,"="&amp;$B45,Banque!$D:$D,"=1")</f>
        <v>0</v>
      </c>
      <c r="H45" s="5">
        <f>SUMIF(Compta!$D:$D,"="&amp;$B45,Compta!G:G)</f>
        <v>0</v>
      </c>
      <c r="I45" s="8">
        <f t="shared" si="1"/>
        <v>0</v>
      </c>
    </row>
    <row r="46" spans="1:9" x14ac:dyDescent="0.25">
      <c r="A46" t="s">
        <v>369</v>
      </c>
      <c r="B46" t="s">
        <v>428</v>
      </c>
      <c r="C46" s="5">
        <f>SUMIF(Banque!$F:$F,"="&amp;$B46,Banque!I:I)*-1</f>
        <v>0</v>
      </c>
      <c r="D46" s="5">
        <f>SUMIF(Banque!$F:$F,"="&amp;$B46,Banque!J:J)</f>
        <v>0</v>
      </c>
      <c r="E46" s="5">
        <f>SUMIFS(Banque!I:I,Banque!$F:$F,"="&amp;$B46,Banque!$D:$D,"=1")*-1</f>
        <v>0</v>
      </c>
      <c r="F46" s="5">
        <f>SUMIF(Compta!$D:$D,"="&amp;$B46,Compta!F:F)*-1</f>
        <v>0</v>
      </c>
      <c r="G46" s="5">
        <f>SUMIFS(Banque!J:J,Banque!$F:$F,"="&amp;$B46,Banque!$D:$D,"=1")</f>
        <v>0</v>
      </c>
      <c r="H46" s="5">
        <f>SUMIF(Compta!$D:$D,"="&amp;$B46,Compta!G:G)</f>
        <v>0</v>
      </c>
      <c r="I46" s="8">
        <f t="shared" si="1"/>
        <v>0</v>
      </c>
    </row>
    <row r="47" spans="1:9" x14ac:dyDescent="0.25">
      <c r="A47" t="s">
        <v>369</v>
      </c>
      <c r="B47" t="s">
        <v>356</v>
      </c>
      <c r="C47" s="5">
        <f>SUMIF(Banque!$F:$F,"="&amp;$B47,Banque!I:I)*-1</f>
        <v>0</v>
      </c>
      <c r="D47" s="5">
        <f>SUMIF(Banque!$F:$F,"="&amp;$B47,Banque!J:J)</f>
        <v>0</v>
      </c>
      <c r="E47" s="5">
        <f>SUMIFS(Banque!I:I,Banque!$F:$F,"="&amp;$B47,Banque!$D:$D,"=1")*-1</f>
        <v>0</v>
      </c>
      <c r="F47" s="5">
        <f>SUMIF(Compta!$D:$D,"="&amp;$B47,Compta!F:F)*-1</f>
        <v>0</v>
      </c>
      <c r="G47" s="5">
        <f>SUMIFS(Banque!J:J,Banque!$F:$F,"="&amp;$B47,Banque!$D:$D,"=1")</f>
        <v>0</v>
      </c>
      <c r="H47" s="5">
        <f>SUMIF(Compta!$D:$D,"="&amp;$B47,Compta!G:G)</f>
        <v>0</v>
      </c>
      <c r="I47" s="8">
        <f t="shared" si="1"/>
        <v>0</v>
      </c>
    </row>
    <row r="48" spans="1:9" x14ac:dyDescent="0.25">
      <c r="A48" t="s">
        <v>369</v>
      </c>
      <c r="B48" t="s">
        <v>297</v>
      </c>
      <c r="C48" s="5">
        <f>SUMIF(Banque!$F:$F,"="&amp;$B48,Banque!I:I)*-1</f>
        <v>-37</v>
      </c>
      <c r="D48" s="5">
        <f>SUMIF(Banque!$F:$F,"="&amp;$B48,Banque!J:J)</f>
        <v>0</v>
      </c>
      <c r="E48" s="5">
        <f>SUMIFS(Banque!I:I,Banque!$F:$F,"="&amp;$B48,Banque!$D:$D,"=1")*-1</f>
        <v>0</v>
      </c>
      <c r="F48" s="5">
        <f>SUMIF(Compta!$D:$D,"="&amp;$B48,Compta!F:F)*-1</f>
        <v>-37</v>
      </c>
      <c r="G48" s="5">
        <f>SUMIFS(Banque!J:J,Banque!$F:$F,"="&amp;$B48,Banque!$D:$D,"=1")</f>
        <v>0</v>
      </c>
      <c r="H48" s="5">
        <f>SUMIF(Compta!$D:$D,"="&amp;$B48,Compta!G:G)</f>
        <v>0</v>
      </c>
      <c r="I48" s="8">
        <f t="shared" si="1"/>
        <v>0</v>
      </c>
    </row>
    <row r="49" spans="1:9" x14ac:dyDescent="0.25">
      <c r="A49" t="s">
        <v>369</v>
      </c>
      <c r="B49" t="s">
        <v>350</v>
      </c>
      <c r="C49" s="5">
        <f>SUMIF(Banque!$F:$F,"="&amp;$B49,Banque!I:I)*-1</f>
        <v>0</v>
      </c>
      <c r="D49" s="5">
        <f>SUMIF(Banque!$F:$F,"="&amp;$B49,Banque!J:J)</f>
        <v>0</v>
      </c>
      <c r="E49" s="5">
        <f>SUMIFS(Banque!I:I,Banque!$F:$F,"="&amp;$B49,Banque!$D:$D,"=1")*-1</f>
        <v>0</v>
      </c>
      <c r="F49" s="5">
        <f>SUMIF(Compta!$D:$D,"="&amp;$B49,Compta!F:F)*-1</f>
        <v>0</v>
      </c>
      <c r="G49" s="5">
        <f>SUMIFS(Banque!J:J,Banque!$F:$F,"="&amp;$B49,Banque!$D:$D,"=1")</f>
        <v>0</v>
      </c>
      <c r="H49" s="5">
        <f>SUMIF(Compta!$D:$D,"="&amp;$B49,Compta!G:G)</f>
        <v>0</v>
      </c>
      <c r="I49" s="8">
        <f t="shared" si="1"/>
        <v>0</v>
      </c>
    </row>
    <row r="50" spans="1:9" x14ac:dyDescent="0.25">
      <c r="A50" t="s">
        <v>369</v>
      </c>
      <c r="B50" t="s">
        <v>357</v>
      </c>
      <c r="C50" s="5">
        <f>SUMIF(Banque!$F:$F,"="&amp;$B50,Banque!I:I)*-1</f>
        <v>-409.85</v>
      </c>
      <c r="D50" s="5">
        <f>SUMIF(Banque!$F:$F,"="&amp;$B50,Banque!J:J)</f>
        <v>0</v>
      </c>
      <c r="E50" s="5">
        <f>SUMIFS(Banque!I:I,Banque!$F:$F,"="&amp;$B50,Banque!$D:$D,"=1")*-1</f>
        <v>-409.85</v>
      </c>
      <c r="F50" s="5">
        <f>SUMIF(Compta!$D:$D,"="&amp;$B50,Compta!F:F)*-1</f>
        <v>-206.94</v>
      </c>
      <c r="G50" s="5">
        <f>SUMIFS(Banque!J:J,Banque!$F:$F,"="&amp;$B50,Banque!$D:$D,"=1")</f>
        <v>0</v>
      </c>
      <c r="H50" s="5">
        <f>SUMIF(Compta!$D:$D,"="&amp;$B50,Compta!G:G)</f>
        <v>0</v>
      </c>
      <c r="I50" s="8">
        <f t="shared" si="1"/>
        <v>-206.93999999999994</v>
      </c>
    </row>
    <row r="51" spans="1:9" x14ac:dyDescent="0.25">
      <c r="A51" t="s">
        <v>369</v>
      </c>
      <c r="B51" t="s">
        <v>299</v>
      </c>
      <c r="C51" s="5">
        <f>SUMIF(Banque!$F:$F,"="&amp;$B51,Banque!I:I)*-1</f>
        <v>-348</v>
      </c>
      <c r="D51" s="5">
        <f>SUMIF(Banque!$F:$F,"="&amp;$B51,Banque!J:J)</f>
        <v>0</v>
      </c>
      <c r="E51" s="5">
        <f>SUMIFS(Banque!I:I,Banque!$F:$F,"="&amp;$B51,Banque!$D:$D,"=1")*-1</f>
        <v>0</v>
      </c>
      <c r="F51" s="5">
        <f>SUMIF(Compta!$D:$D,"="&amp;$B51,Compta!F:F)*-1</f>
        <v>-348</v>
      </c>
      <c r="G51" s="5">
        <f>SUMIFS(Banque!J:J,Banque!$F:$F,"="&amp;$B51,Banque!$D:$D,"=1")</f>
        <v>0</v>
      </c>
      <c r="H51" s="5">
        <f>SUMIF(Compta!$D:$D,"="&amp;$B51,Compta!G:G)</f>
        <v>0</v>
      </c>
      <c r="I51" s="8">
        <f t="shared" si="1"/>
        <v>0</v>
      </c>
    </row>
    <row r="52" spans="1:9" x14ac:dyDescent="0.25">
      <c r="A52" t="s">
        <v>369</v>
      </c>
      <c r="B52" t="s">
        <v>375</v>
      </c>
      <c r="C52" s="5">
        <f>SUMIF(Banque!$F:$F,"="&amp;$B52,Banque!I:I)*-1</f>
        <v>-1674.3300000000002</v>
      </c>
      <c r="D52" s="5">
        <f>SUMIF(Banque!$F:$F,"="&amp;$B52,Banque!J:J)</f>
        <v>0</v>
      </c>
      <c r="E52" s="5">
        <f>SUMIFS(Banque!I:I,Banque!$F:$F,"="&amp;$B52,Banque!$D:$D,"=1")*-1</f>
        <v>-1168.9000000000001</v>
      </c>
      <c r="F52" s="5">
        <f>SUMIF(Compta!$D:$D,"="&amp;$B52,Compta!F:F)*-1</f>
        <v>-505.43</v>
      </c>
      <c r="G52" s="5">
        <f>SUMIFS(Banque!J:J,Banque!$F:$F,"="&amp;$B52,Banque!$D:$D,"=1")</f>
        <v>0</v>
      </c>
      <c r="H52" s="5">
        <f>SUMIF(Compta!$D:$D,"="&amp;$B52,Compta!G:G)</f>
        <v>0</v>
      </c>
      <c r="I52" s="8">
        <f t="shared" si="1"/>
        <v>0</v>
      </c>
    </row>
    <row r="53" spans="1:9" x14ac:dyDescent="0.25">
      <c r="A53" t="s">
        <v>369</v>
      </c>
      <c r="B53" t="s">
        <v>261</v>
      </c>
      <c r="C53" s="5">
        <f>SUMIF(Banque!$F:$F,"="&amp;$B53,Banque!I:I)*-1</f>
        <v>-3086.4</v>
      </c>
      <c r="D53" s="5">
        <f>SUMIF(Banque!$F:$F,"="&amp;$B53,Banque!J:J)</f>
        <v>0</v>
      </c>
      <c r="E53" s="5">
        <f>SUMIFS(Banque!I:I,Banque!$F:$F,"="&amp;$B53,Banque!$D:$D,"=1")*-1</f>
        <v>0</v>
      </c>
      <c r="F53" s="5">
        <f>SUMIF(Compta!$D:$D,"="&amp;$B53,Compta!F:F)*-1</f>
        <v>-9734.4</v>
      </c>
      <c r="G53" s="5">
        <f>SUMIFS(Banque!J:J,Banque!$F:$F,"="&amp;$B53,Banque!$D:$D,"=1")</f>
        <v>0</v>
      </c>
      <c r="H53" s="5">
        <f>SUMIF(Compta!$D:$D,"="&amp;$B53,Compta!G:G)</f>
        <v>0</v>
      </c>
      <c r="I53" s="8">
        <f t="shared" si="1"/>
        <v>-6648</v>
      </c>
    </row>
    <row r="54" spans="1:9" x14ac:dyDescent="0.25">
      <c r="A54" t="s">
        <v>369</v>
      </c>
      <c r="B54" t="s">
        <v>279</v>
      </c>
      <c r="C54" s="5">
        <f>SUMIF(Banque!$F:$F,"="&amp;$B54,Banque!I:I)*-1</f>
        <v>-1330.73</v>
      </c>
      <c r="D54" s="5">
        <f>SUMIF(Banque!$F:$F,"="&amp;$B54,Banque!J:J)</f>
        <v>0</v>
      </c>
      <c r="E54" s="5">
        <f>SUMIFS(Banque!I:I,Banque!$F:$F,"="&amp;$B54,Banque!$D:$D,"=1")*-1</f>
        <v>0</v>
      </c>
      <c r="F54" s="5">
        <f>SUMIF(Compta!$D:$D,"="&amp;$B54,Compta!F:F)*-1</f>
        <v>-1330.73</v>
      </c>
      <c r="G54" s="5">
        <f>SUMIFS(Banque!J:J,Banque!$F:$F,"="&amp;$B54,Banque!$D:$D,"=1")</f>
        <v>0</v>
      </c>
      <c r="H54" s="5">
        <f>SUMIF(Compta!$D:$D,"="&amp;$B54,Compta!G:G)</f>
        <v>0</v>
      </c>
      <c r="I54" s="8">
        <f t="shared" si="1"/>
        <v>0</v>
      </c>
    </row>
    <row r="55" spans="1:9" x14ac:dyDescent="0.25">
      <c r="A55" t="s">
        <v>369</v>
      </c>
      <c r="B55" t="s">
        <v>341</v>
      </c>
      <c r="C55" s="5">
        <f>SUMIF(Banque!$F:$F,"="&amp;$B55,Banque!I:I)*-1</f>
        <v>0</v>
      </c>
      <c r="D55" s="5">
        <f>SUMIF(Banque!$F:$F,"="&amp;$B55,Banque!J:J)</f>
        <v>0</v>
      </c>
      <c r="E55" s="5">
        <f>SUMIFS(Banque!I:I,Banque!$F:$F,"="&amp;$B55,Banque!$D:$D,"=1")*-1</f>
        <v>0</v>
      </c>
      <c r="F55" s="5">
        <f>SUMIF(Compta!$D:$D,"="&amp;$B55,Compta!F:F)*-1</f>
        <v>0</v>
      </c>
      <c r="G55" s="5">
        <f>SUMIFS(Banque!J:J,Banque!$F:$F,"="&amp;$B55,Banque!$D:$D,"=1")</f>
        <v>0</v>
      </c>
      <c r="H55" s="5">
        <f>SUMIF(Compta!$D:$D,"="&amp;$B55,Compta!G:G)</f>
        <v>0</v>
      </c>
      <c r="I55" s="8">
        <f t="shared" si="1"/>
        <v>0</v>
      </c>
    </row>
    <row r="56" spans="1:9" x14ac:dyDescent="0.25">
      <c r="A56" t="s">
        <v>369</v>
      </c>
      <c r="B56" t="s">
        <v>365</v>
      </c>
      <c r="C56" s="5">
        <f>SUMIF(Banque!$F:$F,"="&amp;$B56,Banque!I:I)*-1</f>
        <v>0</v>
      </c>
      <c r="D56" s="5">
        <f>SUMIF(Banque!$F:$F,"="&amp;$B56,Banque!J:J)</f>
        <v>0</v>
      </c>
      <c r="E56" s="5">
        <f>SUMIFS(Banque!I:I,Banque!$F:$F,"="&amp;$B56,Banque!$D:$D,"=1")*-1</f>
        <v>0</v>
      </c>
      <c r="F56" s="5">
        <f>SUMIF(Compta!$D:$D,"="&amp;$B56,Compta!F:F)*-1</f>
        <v>0</v>
      </c>
      <c r="G56" s="5">
        <f>SUMIFS(Banque!J:J,Banque!$F:$F,"="&amp;$B56,Banque!$D:$D,"=1")</f>
        <v>0</v>
      </c>
      <c r="H56" s="5">
        <f>SUMIF(Compta!$D:$D,"="&amp;$B56,Compta!G:G)</f>
        <v>0</v>
      </c>
      <c r="I56" s="8">
        <f t="shared" si="1"/>
        <v>0</v>
      </c>
    </row>
    <row r="57" spans="1:9" x14ac:dyDescent="0.25">
      <c r="A57" t="s">
        <v>369</v>
      </c>
      <c r="B57" t="s">
        <v>289</v>
      </c>
      <c r="C57" s="5">
        <f>SUMIF(Banque!$F:$F,"="&amp;$B57,Banque!I:I)*-1</f>
        <v>-3894.0600000000004</v>
      </c>
      <c r="D57" s="5">
        <f>SUMIF(Banque!$F:$F,"="&amp;$B57,Banque!J:J)</f>
        <v>0</v>
      </c>
      <c r="E57" s="5">
        <f>SUMIFS(Banque!I:I,Banque!$F:$F,"="&amp;$B57,Banque!$D:$D,"=1")*-1</f>
        <v>0</v>
      </c>
      <c r="F57" s="5">
        <f>SUMIF(Compta!$D:$D,"="&amp;$B57,Compta!F:F)*-1</f>
        <v>-4081.5000000000005</v>
      </c>
      <c r="G57" s="5">
        <f>SUMIFS(Banque!J:J,Banque!$F:$F,"="&amp;$B57,Banque!$D:$D,"=1")</f>
        <v>0</v>
      </c>
      <c r="H57" s="5">
        <f>SUMIF(Compta!$D:$D,"="&amp;$B57,Compta!G:G)</f>
        <v>0</v>
      </c>
      <c r="I57" s="8">
        <f t="shared" si="1"/>
        <v>-187.44000000000005</v>
      </c>
    </row>
    <row r="58" spans="1:9" x14ac:dyDescent="0.25">
      <c r="A58" t="s">
        <v>369</v>
      </c>
      <c r="B58" t="s">
        <v>345</v>
      </c>
      <c r="C58" s="5">
        <f>SUMIF(Banque!$F:$F,"="&amp;$B58,Banque!I:I)*-1</f>
        <v>0</v>
      </c>
      <c r="D58" s="5">
        <f>SUMIF(Banque!$F:$F,"="&amp;$B58,Banque!J:J)</f>
        <v>0</v>
      </c>
      <c r="E58" s="5">
        <f>SUMIFS(Banque!I:I,Banque!$F:$F,"="&amp;$B58,Banque!$D:$D,"=1")*-1</f>
        <v>0</v>
      </c>
      <c r="F58" s="5">
        <f>SUMIF(Compta!$D:$D,"="&amp;$B58,Compta!F:F)*-1</f>
        <v>0</v>
      </c>
      <c r="G58" s="5">
        <f>SUMIFS(Banque!J:J,Banque!$F:$F,"="&amp;$B58,Banque!$D:$D,"=1")</f>
        <v>0</v>
      </c>
      <c r="H58" s="5">
        <f>SUMIF(Compta!$D:$D,"="&amp;$B58,Compta!G:G)</f>
        <v>0</v>
      </c>
      <c r="I58" s="8">
        <f t="shared" si="1"/>
        <v>0</v>
      </c>
    </row>
    <row r="59" spans="1:9" x14ac:dyDescent="0.25">
      <c r="A59" t="s">
        <v>369</v>
      </c>
      <c r="B59" t="s">
        <v>349</v>
      </c>
      <c r="C59" s="5">
        <f>SUMIF(Banque!$F:$F,"="&amp;$B59,Banque!I:I)*-1</f>
        <v>0</v>
      </c>
      <c r="D59" s="5">
        <f>SUMIF(Banque!$F:$F,"="&amp;$B59,Banque!J:J)</f>
        <v>0</v>
      </c>
      <c r="E59" s="5">
        <f>SUMIFS(Banque!I:I,Banque!$F:$F,"="&amp;$B59,Banque!$D:$D,"=1")*-1</f>
        <v>0</v>
      </c>
      <c r="F59" s="5">
        <f>SUMIF(Compta!$D:$D,"="&amp;$B59,Compta!F:F)*-1</f>
        <v>0</v>
      </c>
      <c r="G59" s="5">
        <f>SUMIFS(Banque!J:J,Banque!$F:$F,"="&amp;$B59,Banque!$D:$D,"=1")</f>
        <v>0</v>
      </c>
      <c r="H59" s="5">
        <f>SUMIF(Compta!$D:$D,"="&amp;$B59,Compta!G:G)</f>
        <v>0</v>
      </c>
      <c r="I59" s="8">
        <f t="shared" si="1"/>
        <v>0</v>
      </c>
    </row>
    <row r="60" spans="1:9" x14ac:dyDescent="0.25">
      <c r="A60" t="s">
        <v>369</v>
      </c>
      <c r="B60" t="s">
        <v>344</v>
      </c>
      <c r="C60" s="5">
        <f>SUMIF(Banque!$F:$F,"="&amp;$B60,Banque!I:I)*-1</f>
        <v>0</v>
      </c>
      <c r="D60" s="5">
        <f>SUMIF(Banque!$F:$F,"="&amp;$B60,Banque!J:J)</f>
        <v>0</v>
      </c>
      <c r="E60" s="5">
        <f>SUMIFS(Banque!I:I,Banque!$F:$F,"="&amp;$B60,Banque!$D:$D,"=1")*-1</f>
        <v>0</v>
      </c>
      <c r="F60" s="5">
        <f>SUMIF(Compta!$D:$D,"="&amp;$B60,Compta!F:F)*-1</f>
        <v>0</v>
      </c>
      <c r="G60" s="5">
        <f>SUMIFS(Banque!J:J,Banque!$F:$F,"="&amp;$B60,Banque!$D:$D,"=1")</f>
        <v>0</v>
      </c>
      <c r="H60" s="5">
        <f>SUMIF(Compta!$D:$D,"="&amp;$B60,Compta!G:G)</f>
        <v>0</v>
      </c>
      <c r="I60" s="8">
        <f t="shared" si="1"/>
        <v>0</v>
      </c>
    </row>
    <row r="61" spans="1:9" x14ac:dyDescent="0.25">
      <c r="A61" t="s">
        <v>369</v>
      </c>
      <c r="B61" t="s">
        <v>359</v>
      </c>
      <c r="C61" s="5">
        <f>SUMIF(Banque!$F:$F,"="&amp;$B61,Banque!I:I)*-1</f>
        <v>0</v>
      </c>
      <c r="D61" s="5">
        <f>SUMIF(Banque!$F:$F,"="&amp;$B61,Banque!J:J)</f>
        <v>0</v>
      </c>
      <c r="E61" s="5">
        <f>SUMIFS(Banque!I:I,Banque!$F:$F,"="&amp;$B61,Banque!$D:$D,"=1")*-1</f>
        <v>0</v>
      </c>
      <c r="F61" s="5">
        <f>SUMIF(Compta!$D:$D,"="&amp;$B61,Compta!F:F)*-1</f>
        <v>0</v>
      </c>
      <c r="G61" s="5">
        <f>SUMIFS(Banque!J:J,Banque!$F:$F,"="&amp;$B61,Banque!$D:$D,"=1")</f>
        <v>0</v>
      </c>
      <c r="H61" s="5">
        <f>SUMIF(Compta!$D:$D,"="&amp;$B61,Compta!G:G)</f>
        <v>0</v>
      </c>
      <c r="I61" s="8">
        <f t="shared" si="1"/>
        <v>0</v>
      </c>
    </row>
    <row r="62" spans="1:9" x14ac:dyDescent="0.25">
      <c r="A62" t="s">
        <v>369</v>
      </c>
      <c r="B62" t="s">
        <v>277</v>
      </c>
      <c r="C62" s="5">
        <f>SUMIF(Banque!$F:$F,"="&amp;$B62,Banque!I:I)*-1</f>
        <v>-1497.4799999999998</v>
      </c>
      <c r="D62" s="5">
        <f>SUMIF(Banque!$F:$F,"="&amp;$B62,Banque!J:J)</f>
        <v>0</v>
      </c>
      <c r="E62" s="5">
        <f>SUMIFS(Banque!I:I,Banque!$F:$F,"="&amp;$B62,Banque!$D:$D,"=1")*-1</f>
        <v>0</v>
      </c>
      <c r="F62" s="5">
        <f>SUMIF(Compta!$D:$D,"="&amp;$B62,Compta!F:F)*-1</f>
        <v>-2180.7199999999998</v>
      </c>
      <c r="G62" s="5">
        <f>SUMIFS(Banque!J:J,Banque!$F:$F,"="&amp;$B62,Banque!$D:$D,"=1")</f>
        <v>0</v>
      </c>
      <c r="H62" s="5">
        <f>SUMIF(Compta!$D:$D,"="&amp;$B62,Compta!G:G)</f>
        <v>0</v>
      </c>
      <c r="I62" s="8">
        <f t="shared" si="1"/>
        <v>-683.24</v>
      </c>
    </row>
    <row r="63" spans="1:9" x14ac:dyDescent="0.25">
      <c r="A63" t="s">
        <v>369</v>
      </c>
      <c r="B63" t="s">
        <v>274</v>
      </c>
      <c r="C63" s="5">
        <f>SUMIF(Banque!$F:$F,"="&amp;$B63,Banque!I:I)*-1</f>
        <v>-1208.98</v>
      </c>
      <c r="D63" s="5">
        <f>SUMIF(Banque!$F:$F,"="&amp;$B63,Banque!J:J)</f>
        <v>0</v>
      </c>
      <c r="E63" s="5">
        <f>SUMIFS(Banque!I:I,Banque!$F:$F,"="&amp;$B63,Banque!$D:$D,"=1")*-1</f>
        <v>0</v>
      </c>
      <c r="F63" s="5">
        <f>SUMIF(Compta!$D:$D,"="&amp;$B63,Compta!F:F)*-1</f>
        <v>-2774.5</v>
      </c>
      <c r="G63" s="5">
        <f>SUMIFS(Banque!J:J,Banque!$F:$F,"="&amp;$B63,Banque!$D:$D,"=1")</f>
        <v>0</v>
      </c>
      <c r="H63" s="5">
        <f>SUMIF(Compta!$D:$D,"="&amp;$B63,Compta!G:G)</f>
        <v>0</v>
      </c>
      <c r="I63" s="8">
        <f t="shared" si="1"/>
        <v>-1565.52</v>
      </c>
    </row>
    <row r="64" spans="1:9" x14ac:dyDescent="0.25">
      <c r="A64" t="s">
        <v>369</v>
      </c>
      <c r="B64" t="s">
        <v>362</v>
      </c>
      <c r="C64" s="5">
        <f>SUMIF(Banque!$F:$F,"="&amp;$B64,Banque!I:I)*-1</f>
        <v>0</v>
      </c>
      <c r="D64" s="5">
        <f>SUMIF(Banque!$F:$F,"="&amp;$B64,Banque!J:J)</f>
        <v>0</v>
      </c>
      <c r="E64" s="5">
        <f>SUMIFS(Banque!I:I,Banque!$F:$F,"="&amp;$B64,Banque!$D:$D,"=1")*-1</f>
        <v>0</v>
      </c>
      <c r="F64" s="5">
        <f>SUMIF(Compta!$D:$D,"="&amp;$B64,Compta!F:F)*-1</f>
        <v>0</v>
      </c>
      <c r="G64" s="5">
        <f>SUMIFS(Banque!J:J,Banque!$F:$F,"="&amp;$B64,Banque!$D:$D,"=1")</f>
        <v>0</v>
      </c>
      <c r="H64" s="5">
        <f>SUMIF(Compta!$D:$D,"="&amp;$B64,Compta!G:G)</f>
        <v>0</v>
      </c>
      <c r="I64" s="8">
        <f t="shared" si="1"/>
        <v>0</v>
      </c>
    </row>
    <row r="65" spans="1:9" x14ac:dyDescent="0.25">
      <c r="A65" t="s">
        <v>369</v>
      </c>
      <c r="B65" t="s">
        <v>262</v>
      </c>
      <c r="C65" s="5">
        <f>SUMIF(Banque!$F:$F,"="&amp;$B65,Banque!I:I)*-1</f>
        <v>-4751.16</v>
      </c>
      <c r="D65" s="5">
        <f>SUMIF(Banque!$F:$F,"="&amp;$B65,Banque!J:J)</f>
        <v>0</v>
      </c>
      <c r="E65" s="5">
        <f>SUMIFS(Banque!I:I,Banque!$F:$F,"="&amp;$B65,Banque!$D:$D,"=1")*-1</f>
        <v>-501.42</v>
      </c>
      <c r="F65" s="5">
        <f>SUMIF(Compta!$D:$D,"="&amp;$B65,Compta!F:F)*-1</f>
        <v>-8603.7100000000009</v>
      </c>
      <c r="G65" s="5">
        <f>SUMIFS(Banque!J:J,Banque!$F:$F,"="&amp;$B65,Banque!$D:$D,"=1")</f>
        <v>0</v>
      </c>
      <c r="H65" s="5">
        <f>SUMIF(Compta!$D:$D,"="&amp;$B65,Compta!G:G)</f>
        <v>0</v>
      </c>
      <c r="I65" s="8">
        <f t="shared" si="1"/>
        <v>-4353.9700000000012</v>
      </c>
    </row>
    <row r="66" spans="1:9" x14ac:dyDescent="0.25">
      <c r="A66" t="s">
        <v>369</v>
      </c>
      <c r="B66" t="s">
        <v>358</v>
      </c>
      <c r="C66" s="5">
        <f>SUMIF(Banque!$F:$F,"="&amp;$B66,Banque!I:I)*-1</f>
        <v>0</v>
      </c>
      <c r="D66" s="5">
        <f>SUMIF(Banque!$F:$F,"="&amp;$B66,Banque!J:J)</f>
        <v>0</v>
      </c>
      <c r="E66" s="5">
        <f>SUMIFS(Banque!I:I,Banque!$F:$F,"="&amp;$B66,Banque!$D:$D,"=1")*-1</f>
        <v>0</v>
      </c>
      <c r="F66" s="5">
        <f>SUMIF(Compta!$D:$D,"="&amp;$B66,Compta!F:F)*-1</f>
        <v>0</v>
      </c>
      <c r="G66" s="5">
        <f>SUMIFS(Banque!J:J,Banque!$F:$F,"="&amp;$B66,Banque!$D:$D,"=1")</f>
        <v>0</v>
      </c>
      <c r="H66" s="5">
        <f>SUMIF(Compta!$D:$D,"="&amp;$B66,Compta!G:G)</f>
        <v>0</v>
      </c>
      <c r="I66" s="8">
        <f t="shared" ref="I66:I97" si="2">SUM(E66:H66)-SUM(C66:D66)</f>
        <v>0</v>
      </c>
    </row>
    <row r="67" spans="1:9" x14ac:dyDescent="0.25">
      <c r="A67" t="s">
        <v>369</v>
      </c>
      <c r="B67" t="s">
        <v>327</v>
      </c>
      <c r="C67" s="5">
        <f>SUMIF(Banque!$F:$F,"="&amp;$B67,Banque!I:I)*-1</f>
        <v>0</v>
      </c>
      <c r="D67" s="5">
        <f>SUMIF(Banque!$F:$F,"="&amp;$B67,Banque!J:J)</f>
        <v>0</v>
      </c>
      <c r="E67" s="5">
        <f>SUMIFS(Banque!I:I,Banque!$F:$F,"="&amp;$B67,Banque!$D:$D,"=1")*-1</f>
        <v>0</v>
      </c>
      <c r="F67" s="5">
        <f>SUMIF(Compta!$D:$D,"="&amp;$B67,Compta!F:F)*-1</f>
        <v>0</v>
      </c>
      <c r="G67" s="5">
        <f>SUMIFS(Banque!J:J,Banque!$F:$F,"="&amp;$B67,Banque!$D:$D,"=1")</f>
        <v>0</v>
      </c>
      <c r="H67" s="5">
        <f>SUMIF(Compta!$D:$D,"="&amp;$B67,Compta!G:G)</f>
        <v>0</v>
      </c>
      <c r="I67" s="8">
        <f t="shared" si="2"/>
        <v>0</v>
      </c>
    </row>
    <row r="68" spans="1:9" x14ac:dyDescent="0.25">
      <c r="A68" t="s">
        <v>369</v>
      </c>
      <c r="B68" t="s">
        <v>326</v>
      </c>
      <c r="C68" s="5">
        <f>SUMIF(Banque!$F:$F,"="&amp;$B68,Banque!I:I)*-1</f>
        <v>0</v>
      </c>
      <c r="D68" s="5">
        <f>SUMIF(Banque!$F:$F,"="&amp;$B68,Banque!J:J)</f>
        <v>0</v>
      </c>
      <c r="E68" s="5">
        <f>SUMIFS(Banque!I:I,Banque!$F:$F,"="&amp;$B68,Banque!$D:$D,"=1")*-1</f>
        <v>0</v>
      </c>
      <c r="F68" s="5">
        <f>SUMIF(Compta!$D:$D,"="&amp;$B68,Compta!F:F)*-1</f>
        <v>0</v>
      </c>
      <c r="G68" s="5">
        <f>SUMIFS(Banque!J:J,Banque!$F:$F,"="&amp;$B68,Banque!$D:$D,"=1")</f>
        <v>0</v>
      </c>
      <c r="H68" s="5">
        <f>SUMIF(Compta!$D:$D,"="&amp;$B68,Compta!G:G)</f>
        <v>0</v>
      </c>
      <c r="I68" s="8">
        <f t="shared" si="2"/>
        <v>0</v>
      </c>
    </row>
    <row r="69" spans="1:9" x14ac:dyDescent="0.25">
      <c r="A69" t="s">
        <v>369</v>
      </c>
      <c r="B69" t="s">
        <v>376</v>
      </c>
      <c r="C69" s="5">
        <f>SUMIF(Banque!$F:$F,"="&amp;$B69,Banque!I:I)*-1</f>
        <v>-64.28</v>
      </c>
      <c r="D69" s="5">
        <f>SUMIF(Banque!$F:$F,"="&amp;$B69,Banque!J:J)</f>
        <v>0</v>
      </c>
      <c r="E69" s="5">
        <f>SUMIFS(Banque!I:I,Banque!$F:$F,"="&amp;$B69,Banque!$D:$D,"=1")*-1</f>
        <v>-64.28</v>
      </c>
      <c r="F69" s="5">
        <f>SUMIF(Compta!$D:$D,"="&amp;$B69,Compta!F:F)*-1</f>
        <v>0</v>
      </c>
      <c r="G69" s="5">
        <f>SUMIFS(Banque!J:J,Banque!$F:$F,"="&amp;$B69,Banque!$D:$D,"=1")</f>
        <v>0</v>
      </c>
      <c r="H69" s="5">
        <f>SUMIF(Compta!$D:$D,"="&amp;$B69,Compta!G:G)</f>
        <v>0</v>
      </c>
      <c r="I69" s="8">
        <f t="shared" si="2"/>
        <v>0</v>
      </c>
    </row>
    <row r="70" spans="1:9" x14ac:dyDescent="0.25">
      <c r="A70" t="s">
        <v>369</v>
      </c>
      <c r="B70" t="s">
        <v>265</v>
      </c>
      <c r="C70" s="5">
        <f>SUMIF(Banque!$F:$F,"="&amp;$B70,Banque!I:I)*-1</f>
        <v>-1488</v>
      </c>
      <c r="D70" s="5">
        <f>SUMIF(Banque!$F:$F,"="&amp;$B70,Banque!J:J)</f>
        <v>0</v>
      </c>
      <c r="E70" s="5">
        <f>SUMIFS(Banque!I:I,Banque!$F:$F,"="&amp;$B70,Banque!$D:$D,"=1")*-1</f>
        <v>0</v>
      </c>
      <c r="F70" s="5">
        <f>SUMIF(Compta!$D:$D,"="&amp;$B70,Compta!F:F)*-1</f>
        <v>-3264</v>
      </c>
      <c r="G70" s="5">
        <f>SUMIFS(Banque!J:J,Banque!$F:$F,"="&amp;$B70,Banque!$D:$D,"=1")</f>
        <v>0</v>
      </c>
      <c r="H70" s="5">
        <f>SUMIF(Compta!$D:$D,"="&amp;$B70,Compta!G:G)</f>
        <v>0</v>
      </c>
      <c r="I70" s="8">
        <f t="shared" si="2"/>
        <v>-1776</v>
      </c>
    </row>
    <row r="71" spans="1:9" x14ac:dyDescent="0.25">
      <c r="A71" t="s">
        <v>369</v>
      </c>
      <c r="B71" t="s">
        <v>291</v>
      </c>
      <c r="C71" s="5">
        <f>SUMIF(Banque!$F:$F,"="&amp;$B71,Banque!I:I)*-1</f>
        <v>-259.2</v>
      </c>
      <c r="D71" s="5">
        <f>SUMIF(Banque!$F:$F,"="&amp;$B71,Banque!J:J)</f>
        <v>0</v>
      </c>
      <c r="E71" s="5">
        <f>SUMIFS(Banque!I:I,Banque!$F:$F,"="&amp;$B71,Banque!$D:$D,"=1")*-1</f>
        <v>0</v>
      </c>
      <c r="F71" s="5">
        <f>SUMIF(Compta!$D:$D,"="&amp;$B71,Compta!F:F)*-1</f>
        <v>-475.2</v>
      </c>
      <c r="G71" s="5">
        <f>SUMIFS(Banque!J:J,Banque!$F:$F,"="&amp;$B71,Banque!$D:$D,"=1")</f>
        <v>0</v>
      </c>
      <c r="H71" s="5">
        <f>SUMIF(Compta!$D:$D,"="&amp;$B71,Compta!G:G)</f>
        <v>0</v>
      </c>
      <c r="I71" s="8">
        <f t="shared" si="2"/>
        <v>-216</v>
      </c>
    </row>
    <row r="72" spans="1:9" x14ac:dyDescent="0.25">
      <c r="A72" t="s">
        <v>369</v>
      </c>
      <c r="B72" t="s">
        <v>259</v>
      </c>
      <c r="C72" s="5">
        <f>SUMIF(Banque!$F:$F,"="&amp;$B72,Banque!I:I)*-1</f>
        <v>-3808.0299999999997</v>
      </c>
      <c r="D72" s="5">
        <f>SUMIF(Banque!$F:$F,"="&amp;$B72,Banque!J:J)</f>
        <v>0</v>
      </c>
      <c r="E72" s="5">
        <f>SUMIFS(Banque!I:I,Banque!$F:$F,"="&amp;$B72,Banque!$D:$D,"=1")*-1</f>
        <v>0</v>
      </c>
      <c r="F72" s="5">
        <f>SUMIF(Compta!$D:$D,"="&amp;$B72,Compta!F:F)*-1</f>
        <v>-11356.619999999999</v>
      </c>
      <c r="G72" s="5">
        <f>SUMIFS(Banque!J:J,Banque!$F:$F,"="&amp;$B72,Banque!$D:$D,"=1")</f>
        <v>0</v>
      </c>
      <c r="H72" s="5">
        <f>SUMIF(Compta!$D:$D,"="&amp;$B72,Compta!G:G)</f>
        <v>0</v>
      </c>
      <c r="I72" s="8">
        <f t="shared" si="2"/>
        <v>-7548.5899999999992</v>
      </c>
    </row>
    <row r="73" spans="1:9" x14ac:dyDescent="0.25">
      <c r="A73" t="s">
        <v>369</v>
      </c>
      <c r="B73" t="s">
        <v>360</v>
      </c>
      <c r="C73" s="5">
        <f>SUMIF(Banque!$F:$F,"="&amp;$B73,Banque!I:I)*-1</f>
        <v>0</v>
      </c>
      <c r="D73" s="5">
        <f>SUMIF(Banque!$F:$F,"="&amp;$B73,Banque!J:J)</f>
        <v>0</v>
      </c>
      <c r="E73" s="5">
        <f>SUMIFS(Banque!I:I,Banque!$F:$F,"="&amp;$B73,Banque!$D:$D,"=1")*-1</f>
        <v>0</v>
      </c>
      <c r="F73" s="5">
        <f>SUMIF(Compta!$D:$D,"="&amp;$B73,Compta!F:F)*-1</f>
        <v>0</v>
      </c>
      <c r="G73" s="5">
        <f>SUMIFS(Banque!J:J,Banque!$F:$F,"="&amp;$B73,Banque!$D:$D,"=1")</f>
        <v>0</v>
      </c>
      <c r="H73" s="5">
        <f>SUMIF(Compta!$D:$D,"="&amp;$B73,Compta!G:G)</f>
        <v>0</v>
      </c>
      <c r="I73" s="8">
        <f t="shared" si="2"/>
        <v>0</v>
      </c>
    </row>
    <row r="74" spans="1:9" x14ac:dyDescent="0.25">
      <c r="A74" t="s">
        <v>369</v>
      </c>
      <c r="B74" t="s">
        <v>318</v>
      </c>
      <c r="C74" s="5">
        <f>SUMIF(Banque!$F:$F,"="&amp;$B74,Banque!I:I)*-1</f>
        <v>0</v>
      </c>
      <c r="D74" s="5">
        <f>SUMIF(Banque!$F:$F,"="&amp;$B74,Banque!J:J)</f>
        <v>0</v>
      </c>
      <c r="E74" s="5">
        <f>SUMIFS(Banque!I:I,Banque!$F:$F,"="&amp;$B74,Banque!$D:$D,"=1")*-1</f>
        <v>0</v>
      </c>
      <c r="F74" s="5">
        <f>SUMIF(Compta!$D:$D,"="&amp;$B74,Compta!F:F)*-1</f>
        <v>0</v>
      </c>
      <c r="G74" s="5">
        <f>SUMIFS(Banque!J:J,Banque!$F:$F,"="&amp;$B74,Banque!$D:$D,"=1")</f>
        <v>0</v>
      </c>
      <c r="H74" s="5">
        <f>SUMIF(Compta!$D:$D,"="&amp;$B74,Compta!G:G)</f>
        <v>0</v>
      </c>
      <c r="I74" s="8">
        <f t="shared" si="2"/>
        <v>0</v>
      </c>
    </row>
    <row r="75" spans="1:9" x14ac:dyDescent="0.25">
      <c r="A75" t="s">
        <v>369</v>
      </c>
      <c r="B75" t="s">
        <v>325</v>
      </c>
      <c r="C75" s="5">
        <f>SUMIF(Banque!$F:$F,"="&amp;$B75,Banque!I:I)*-1</f>
        <v>0</v>
      </c>
      <c r="D75" s="5">
        <f>SUMIF(Banque!$F:$F,"="&amp;$B75,Banque!J:J)</f>
        <v>0</v>
      </c>
      <c r="E75" s="5">
        <f>SUMIFS(Banque!I:I,Banque!$F:$F,"="&amp;$B75,Banque!$D:$D,"=1")*-1</f>
        <v>0</v>
      </c>
      <c r="F75" s="5">
        <f>SUMIF(Compta!$D:$D,"="&amp;$B75,Compta!F:F)*-1</f>
        <v>0</v>
      </c>
      <c r="G75" s="5">
        <f>SUMIFS(Banque!J:J,Banque!$F:$F,"="&amp;$B75,Banque!$D:$D,"=1")</f>
        <v>0</v>
      </c>
      <c r="H75" s="5">
        <f>SUMIF(Compta!$D:$D,"="&amp;$B75,Compta!G:G)</f>
        <v>0</v>
      </c>
      <c r="I75" s="8">
        <f t="shared" si="2"/>
        <v>0</v>
      </c>
    </row>
    <row r="76" spans="1:9" x14ac:dyDescent="0.25">
      <c r="A76" t="s">
        <v>369</v>
      </c>
      <c r="B76" t="s">
        <v>384</v>
      </c>
      <c r="C76" s="5">
        <f>SUMIF(Banque!$F:$F,"="&amp;$B76,Banque!I:I)*-1</f>
        <v>-5.85</v>
      </c>
      <c r="D76" s="5">
        <f>SUMIF(Banque!$F:$F,"="&amp;$B76,Banque!J:J)</f>
        <v>0</v>
      </c>
      <c r="E76" s="5">
        <f>SUMIFS(Banque!I:I,Banque!$F:$F,"="&amp;$B76,Banque!$D:$D,"=1")*-1</f>
        <v>-5.85</v>
      </c>
      <c r="F76" s="5">
        <f>SUMIF(Compta!$D:$D,"="&amp;$B76,Compta!F:F)*-1</f>
        <v>0</v>
      </c>
      <c r="G76" s="5">
        <f>SUMIFS(Banque!J:J,Banque!$F:$F,"="&amp;$B76,Banque!$D:$D,"=1")</f>
        <v>0</v>
      </c>
      <c r="H76" s="5">
        <f>SUMIF(Compta!$D:$D,"="&amp;$B76,Compta!G:G)</f>
        <v>0</v>
      </c>
      <c r="I76" s="8">
        <f t="shared" si="2"/>
        <v>0</v>
      </c>
    </row>
    <row r="77" spans="1:9" x14ac:dyDescent="0.25">
      <c r="A77" t="s">
        <v>369</v>
      </c>
      <c r="B77" t="s">
        <v>281</v>
      </c>
      <c r="C77" s="5">
        <f>SUMIF(Banque!$F:$F,"="&amp;$B77,Banque!I:I)*-1</f>
        <v>-3066</v>
      </c>
      <c r="D77" s="5">
        <f>SUMIF(Banque!$F:$F,"="&amp;$B77,Banque!J:J)</f>
        <v>0</v>
      </c>
      <c r="E77" s="5">
        <f>SUMIFS(Banque!I:I,Banque!$F:$F,"="&amp;$B77,Banque!$D:$D,"=1")*-1</f>
        <v>0</v>
      </c>
      <c r="F77" s="5">
        <f>SUMIF(Compta!$D:$D,"="&amp;$B77,Compta!F:F)*-1</f>
        <v>-7336.8</v>
      </c>
      <c r="G77" s="5">
        <f>SUMIFS(Banque!J:J,Banque!$F:$F,"="&amp;$B77,Banque!$D:$D,"=1")</f>
        <v>0</v>
      </c>
      <c r="H77" s="5">
        <f>SUMIF(Compta!$D:$D,"="&amp;$B77,Compta!G:G)</f>
        <v>0</v>
      </c>
      <c r="I77" s="8">
        <f t="shared" si="2"/>
        <v>-4270.8</v>
      </c>
    </row>
    <row r="78" spans="1:9" x14ac:dyDescent="0.25">
      <c r="A78" t="s">
        <v>369</v>
      </c>
      <c r="B78" t="s">
        <v>296</v>
      </c>
      <c r="C78" s="5">
        <f>SUMIF(Banque!$F:$F,"="&amp;$B78,Banque!I:I)*-1</f>
        <v>-300</v>
      </c>
      <c r="D78" s="5">
        <f>SUMIF(Banque!$F:$F,"="&amp;$B78,Banque!J:J)</f>
        <v>0</v>
      </c>
      <c r="E78" s="5">
        <f>SUMIFS(Banque!I:I,Banque!$F:$F,"="&amp;$B78,Banque!$D:$D,"=1")*-1</f>
        <v>0</v>
      </c>
      <c r="F78" s="5">
        <f>SUMIF(Compta!$D:$D,"="&amp;$B78,Compta!F:F)*-1</f>
        <v>-300</v>
      </c>
      <c r="G78" s="5">
        <f>SUMIFS(Banque!J:J,Banque!$F:$F,"="&amp;$B78,Banque!$D:$D,"=1")</f>
        <v>0</v>
      </c>
      <c r="H78" s="5">
        <f>SUMIF(Compta!$D:$D,"="&amp;$B78,Compta!G:G)</f>
        <v>0</v>
      </c>
      <c r="I78" s="8">
        <f t="shared" si="2"/>
        <v>0</v>
      </c>
    </row>
    <row r="79" spans="1:9" x14ac:dyDescent="0.25">
      <c r="A79" t="s">
        <v>369</v>
      </c>
      <c r="B79" t="s">
        <v>364</v>
      </c>
      <c r="C79" s="5">
        <f>SUMIF(Banque!$F:$F,"="&amp;$B79,Banque!I:I)*-1</f>
        <v>0</v>
      </c>
      <c r="D79" s="5">
        <f>SUMIF(Banque!$F:$F,"="&amp;$B79,Banque!J:J)</f>
        <v>0</v>
      </c>
      <c r="E79" s="5">
        <f>SUMIFS(Banque!I:I,Banque!$F:$F,"="&amp;$B79,Banque!$D:$D,"=1")*-1</f>
        <v>0</v>
      </c>
      <c r="F79" s="5">
        <f>SUMIF(Compta!$D:$D,"="&amp;$B79,Compta!F:F)*-1</f>
        <v>0</v>
      </c>
      <c r="G79" s="5">
        <f>SUMIFS(Banque!J:J,Banque!$F:$F,"="&amp;$B79,Banque!$D:$D,"=1")</f>
        <v>0</v>
      </c>
      <c r="H79" s="5">
        <f>SUMIF(Compta!$D:$D,"="&amp;$B79,Compta!G:G)</f>
        <v>0</v>
      </c>
      <c r="I79" s="8">
        <f t="shared" si="2"/>
        <v>0</v>
      </c>
    </row>
    <row r="80" spans="1:9" x14ac:dyDescent="0.25">
      <c r="A80" t="s">
        <v>369</v>
      </c>
      <c r="B80" t="s">
        <v>324</v>
      </c>
      <c r="C80" s="5">
        <f>SUMIF(Banque!$F:$F,"="&amp;$B80,Banque!I:I)*-1</f>
        <v>0</v>
      </c>
      <c r="D80" s="5">
        <f>SUMIF(Banque!$F:$F,"="&amp;$B80,Banque!J:J)</f>
        <v>0</v>
      </c>
      <c r="E80" s="5">
        <f>SUMIFS(Banque!I:I,Banque!$F:$F,"="&amp;$B80,Banque!$D:$D,"=1")*-1</f>
        <v>0</v>
      </c>
      <c r="F80" s="5">
        <f>SUMIF(Compta!$D:$D,"="&amp;$B80,Compta!F:F)*-1</f>
        <v>-97.03</v>
      </c>
      <c r="G80" s="5">
        <f>SUMIFS(Banque!J:J,Banque!$F:$F,"="&amp;$B80,Banque!$D:$D,"=1")</f>
        <v>0</v>
      </c>
      <c r="H80" s="5">
        <f>SUMIF(Compta!$D:$D,"="&amp;$B80,Compta!G:G)</f>
        <v>0</v>
      </c>
      <c r="I80" s="8">
        <f t="shared" si="2"/>
        <v>-97.03</v>
      </c>
    </row>
    <row r="81" spans="1:9" x14ac:dyDescent="0.25">
      <c r="A81" t="s">
        <v>369</v>
      </c>
      <c r="B81" t="s">
        <v>298</v>
      </c>
      <c r="C81" s="5">
        <f>SUMIF(Banque!$F:$F,"="&amp;$B81,Banque!I:I)*-1</f>
        <v>-99.26</v>
      </c>
      <c r="D81" s="5">
        <f>SUMIF(Banque!$F:$F,"="&amp;$B81,Banque!J:J)</f>
        <v>0</v>
      </c>
      <c r="E81" s="5">
        <f>SUMIFS(Banque!I:I,Banque!$F:$F,"="&amp;$B81,Banque!$D:$D,"=1")*-1</f>
        <v>0</v>
      </c>
      <c r="F81" s="5">
        <f>SUMIF(Compta!$D:$D,"="&amp;$B81,Compta!F:F)*-1</f>
        <v>-406.42999999999995</v>
      </c>
      <c r="G81" s="5">
        <f>SUMIFS(Banque!J:J,Banque!$F:$F,"="&amp;$B81,Banque!$D:$D,"=1")</f>
        <v>0</v>
      </c>
      <c r="H81" s="5">
        <f>SUMIF(Compta!$D:$D,"="&amp;$B81,Compta!G:G)</f>
        <v>0</v>
      </c>
      <c r="I81" s="8">
        <f t="shared" si="2"/>
        <v>-307.16999999999996</v>
      </c>
    </row>
    <row r="82" spans="1:9" x14ac:dyDescent="0.25">
      <c r="A82" t="s">
        <v>369</v>
      </c>
      <c r="B82" t="s">
        <v>282</v>
      </c>
      <c r="C82" s="5">
        <f>SUMIF(Banque!$F:$F,"="&amp;$B82,Banque!I:I)*-1</f>
        <v>-19.78</v>
      </c>
      <c r="D82" s="5">
        <f>SUMIF(Banque!$F:$F,"="&amp;$B82,Banque!J:J)</f>
        <v>0</v>
      </c>
      <c r="E82" s="5">
        <f>SUMIFS(Banque!I:I,Banque!$F:$F,"="&amp;$B82,Banque!$D:$D,"=1")*-1</f>
        <v>0</v>
      </c>
      <c r="F82" s="5">
        <f>SUMIF(Compta!$D:$D,"="&amp;$B82,Compta!F:F)*-1</f>
        <v>-19.78</v>
      </c>
      <c r="G82" s="5">
        <f>SUMIFS(Banque!J:J,Banque!$F:$F,"="&amp;$B82,Banque!$D:$D,"=1")</f>
        <v>0</v>
      </c>
      <c r="H82" s="5">
        <f>SUMIF(Compta!$D:$D,"="&amp;$B82,Compta!G:G)</f>
        <v>0</v>
      </c>
      <c r="I82" s="8">
        <f t="shared" si="2"/>
        <v>0</v>
      </c>
    </row>
    <row r="83" spans="1:9" x14ac:dyDescent="0.25">
      <c r="A83" t="s">
        <v>369</v>
      </c>
      <c r="B83" t="s">
        <v>294</v>
      </c>
      <c r="C83" s="5">
        <f>SUMIF(Banque!$F:$F,"="&amp;$B83,Banque!I:I)*-1</f>
        <v>-10.29</v>
      </c>
      <c r="D83" s="5">
        <f>SUMIF(Banque!$F:$F,"="&amp;$B83,Banque!J:J)</f>
        <v>0</v>
      </c>
      <c r="E83" s="5">
        <f>SUMIFS(Banque!I:I,Banque!$F:$F,"="&amp;$B83,Banque!$D:$D,"=1")*-1</f>
        <v>-10.29</v>
      </c>
      <c r="F83" s="5">
        <f>SUMIF(Compta!$D:$D,"="&amp;$B83,Compta!F:F)*-1</f>
        <v>0</v>
      </c>
      <c r="G83" s="5">
        <f>SUMIFS(Banque!J:J,Banque!$F:$F,"="&amp;$B83,Banque!$D:$D,"=1")</f>
        <v>0</v>
      </c>
      <c r="H83" s="5">
        <f>SUMIF(Compta!$D:$D,"="&amp;$B83,Compta!G:G)</f>
        <v>0</v>
      </c>
      <c r="I83" s="8">
        <f t="shared" si="2"/>
        <v>0</v>
      </c>
    </row>
    <row r="84" spans="1:9" x14ac:dyDescent="0.25">
      <c r="A84" t="s">
        <v>369</v>
      </c>
      <c r="B84" t="s">
        <v>322</v>
      </c>
      <c r="C84" s="5">
        <f>SUMIF(Banque!$F:$F,"="&amp;$B84,Banque!I:I)*-1</f>
        <v>0</v>
      </c>
      <c r="D84" s="5">
        <f>SUMIF(Banque!$F:$F,"="&amp;$B84,Banque!J:J)</f>
        <v>0</v>
      </c>
      <c r="E84" s="5">
        <f>SUMIFS(Banque!I:I,Banque!$F:$F,"="&amp;$B84,Banque!$D:$D,"=1")*-1</f>
        <v>0</v>
      </c>
      <c r="F84" s="5">
        <f>SUMIF(Compta!$D:$D,"="&amp;$B84,Compta!F:F)*-1</f>
        <v>0</v>
      </c>
      <c r="G84" s="5">
        <f>SUMIFS(Banque!J:J,Banque!$F:$F,"="&amp;$B84,Banque!$D:$D,"=1")</f>
        <v>0</v>
      </c>
      <c r="H84" s="5">
        <f>SUMIF(Compta!$D:$D,"="&amp;$B84,Compta!G:G)</f>
        <v>0</v>
      </c>
      <c r="I84" s="8">
        <f t="shared" si="2"/>
        <v>0</v>
      </c>
    </row>
    <row r="85" spans="1:9" x14ac:dyDescent="0.25">
      <c r="A85" t="s">
        <v>369</v>
      </c>
      <c r="B85" t="s">
        <v>329</v>
      </c>
      <c r="C85" s="5">
        <f>SUMIF(Banque!$F:$F,"="&amp;$B85,Banque!I:I)*-1</f>
        <v>0</v>
      </c>
      <c r="D85" s="5">
        <f>SUMIF(Banque!$F:$F,"="&amp;$B85,Banque!J:J)</f>
        <v>0</v>
      </c>
      <c r="E85" s="5">
        <f>SUMIFS(Banque!I:I,Banque!$F:$F,"="&amp;$B85,Banque!$D:$D,"=1")*-1</f>
        <v>0</v>
      </c>
      <c r="F85" s="5">
        <f>SUMIF(Compta!$D:$D,"="&amp;$B85,Compta!F:F)*-1</f>
        <v>0</v>
      </c>
      <c r="G85" s="5">
        <f>SUMIFS(Banque!J:J,Banque!$F:$F,"="&amp;$B85,Banque!$D:$D,"=1")</f>
        <v>0</v>
      </c>
      <c r="H85" s="5">
        <f>SUMIF(Compta!$D:$D,"="&amp;$B85,Compta!G:G)</f>
        <v>0</v>
      </c>
      <c r="I85" s="8">
        <f t="shared" si="2"/>
        <v>0</v>
      </c>
    </row>
    <row r="86" spans="1:9" x14ac:dyDescent="0.25">
      <c r="A86" t="s">
        <v>369</v>
      </c>
      <c r="B86" t="s">
        <v>351</v>
      </c>
      <c r="C86" s="5">
        <f>SUMIF(Banque!$F:$F,"="&amp;$B86,Banque!I:I)*-1</f>
        <v>0</v>
      </c>
      <c r="D86" s="5">
        <f>SUMIF(Banque!$F:$F,"="&amp;$B86,Banque!J:J)</f>
        <v>0</v>
      </c>
      <c r="E86" s="5">
        <f>SUMIFS(Banque!I:I,Banque!$F:$F,"="&amp;$B86,Banque!$D:$D,"=1")*-1</f>
        <v>0</v>
      </c>
      <c r="F86" s="5">
        <f>SUMIF(Compta!$D:$D,"="&amp;$B86,Compta!F:F)*-1</f>
        <v>0</v>
      </c>
      <c r="G86" s="5">
        <f>SUMIFS(Banque!J:J,Banque!$F:$F,"="&amp;$B86,Banque!$D:$D,"=1")</f>
        <v>0</v>
      </c>
      <c r="H86" s="5">
        <f>SUMIF(Compta!$D:$D,"="&amp;$B86,Compta!G:G)</f>
        <v>0</v>
      </c>
      <c r="I86" s="8">
        <f t="shared" si="2"/>
        <v>0</v>
      </c>
    </row>
    <row r="87" spans="1:9" x14ac:dyDescent="0.25">
      <c r="A87" t="s">
        <v>369</v>
      </c>
      <c r="B87" t="s">
        <v>348</v>
      </c>
      <c r="C87" s="5">
        <f>SUMIF(Banque!$F:$F,"="&amp;$B87,Banque!I:I)*-1</f>
        <v>0</v>
      </c>
      <c r="D87" s="5">
        <f>SUMIF(Banque!$F:$F,"="&amp;$B87,Banque!J:J)</f>
        <v>0</v>
      </c>
      <c r="E87" s="5">
        <f>SUMIFS(Banque!I:I,Banque!$F:$F,"="&amp;$B87,Banque!$D:$D,"=1")*-1</f>
        <v>0</v>
      </c>
      <c r="F87" s="5">
        <f>SUMIF(Compta!$D:$D,"="&amp;$B87,Compta!F:F)*-1</f>
        <v>0</v>
      </c>
      <c r="G87" s="5">
        <f>SUMIFS(Banque!J:J,Banque!$F:$F,"="&amp;$B87,Banque!$D:$D,"=1")</f>
        <v>0</v>
      </c>
      <c r="H87" s="5">
        <f>SUMIF(Compta!$D:$D,"="&amp;$B87,Compta!G:G)</f>
        <v>0</v>
      </c>
      <c r="I87" s="8">
        <f t="shared" si="2"/>
        <v>0</v>
      </c>
    </row>
    <row r="88" spans="1:9" x14ac:dyDescent="0.25">
      <c r="A88" t="s">
        <v>369</v>
      </c>
      <c r="B88" t="s">
        <v>343</v>
      </c>
      <c r="C88" s="5">
        <f>SUMIF(Banque!$F:$F,"="&amp;$B88,Banque!I:I)*-1</f>
        <v>0</v>
      </c>
      <c r="D88" s="5">
        <f>SUMIF(Banque!$F:$F,"="&amp;$B88,Banque!J:J)</f>
        <v>0</v>
      </c>
      <c r="E88" s="5">
        <f>SUMIFS(Banque!I:I,Banque!$F:$F,"="&amp;$B88,Banque!$D:$D,"=1")*-1</f>
        <v>0</v>
      </c>
      <c r="F88" s="5">
        <f>SUMIF(Compta!$D:$D,"="&amp;$B88,Compta!F:F)*-1</f>
        <v>0</v>
      </c>
      <c r="G88" s="5">
        <f>SUMIFS(Banque!J:J,Banque!$F:$F,"="&amp;$B88,Banque!$D:$D,"=1")</f>
        <v>0</v>
      </c>
      <c r="H88" s="5">
        <f>SUMIF(Compta!$D:$D,"="&amp;$B88,Compta!G:G)</f>
        <v>0</v>
      </c>
      <c r="I88" s="8">
        <f t="shared" si="2"/>
        <v>0</v>
      </c>
    </row>
    <row r="89" spans="1:9" x14ac:dyDescent="0.25">
      <c r="A89" t="s">
        <v>369</v>
      </c>
      <c r="B89" t="s">
        <v>434</v>
      </c>
      <c r="C89" s="5">
        <f>SUMIF(Banque!$F:$F,"="&amp;$B89,Banque!I:I)*-1</f>
        <v>-6910</v>
      </c>
      <c r="D89" s="5">
        <f>SUMIF(Banque!$F:$F,"="&amp;$B89,Banque!J:J)</f>
        <v>1560</v>
      </c>
      <c r="E89" s="5">
        <f>SUMIFS(Banque!I:I,Banque!$F:$F,"="&amp;$B89,Banque!$D:$D,"=1")*-1</f>
        <v>0</v>
      </c>
      <c r="F89" s="5">
        <f>SUMIF(Compta!$D:$D,"="&amp;$B89,Compta!F:F)*-1</f>
        <v>0</v>
      </c>
      <c r="G89" s="5">
        <f>SUMIFS(Banque!J:J,Banque!$F:$F,"="&amp;$B89,Banque!$D:$D,"=1")</f>
        <v>0</v>
      </c>
      <c r="H89" s="5">
        <f>SUMIF(Compta!$D:$D,"="&amp;$B89,Compta!G:G)</f>
        <v>3120</v>
      </c>
      <c r="I89" s="8">
        <f t="shared" si="2"/>
        <v>8470</v>
      </c>
    </row>
    <row r="90" spans="1:9" x14ac:dyDescent="0.25">
      <c r="A90" t="s">
        <v>369</v>
      </c>
      <c r="B90" t="s">
        <v>320</v>
      </c>
      <c r="C90" s="5">
        <f>SUMIF(Banque!$F:$F,"="&amp;$B90,Banque!I:I)*-1</f>
        <v>0</v>
      </c>
      <c r="D90" s="5">
        <f>SUMIF(Banque!$F:$F,"="&amp;$B90,Banque!J:J)</f>
        <v>0</v>
      </c>
      <c r="E90" s="5">
        <f>SUMIFS(Banque!I:I,Banque!$F:$F,"="&amp;$B90,Banque!$D:$D,"=1")*-1</f>
        <v>0</v>
      </c>
      <c r="F90" s="5">
        <f>SUMIF(Compta!$D:$D,"="&amp;$B90,Compta!F:F)*-1</f>
        <v>0</v>
      </c>
      <c r="G90" s="5">
        <f>SUMIFS(Banque!J:J,Banque!$F:$F,"="&amp;$B90,Banque!$D:$D,"=1")</f>
        <v>0</v>
      </c>
      <c r="H90" s="5">
        <f>SUMIF(Compta!$D:$D,"="&amp;$B90,Compta!G:G)</f>
        <v>0</v>
      </c>
      <c r="I90" s="8">
        <f t="shared" si="2"/>
        <v>0</v>
      </c>
    </row>
    <row r="91" spans="1:9" x14ac:dyDescent="0.25">
      <c r="A91" t="s">
        <v>369</v>
      </c>
      <c r="B91" t="s">
        <v>303</v>
      </c>
      <c r="C91" s="5">
        <f>SUMIF(Banque!$F:$F,"="&amp;$B91,Banque!I:I)*-1</f>
        <v>-1169.4000000000001</v>
      </c>
      <c r="D91" s="5">
        <f>SUMIF(Banque!$F:$F,"="&amp;$B91,Banque!J:J)</f>
        <v>0</v>
      </c>
      <c r="E91" s="5">
        <f>SUMIFS(Banque!I:I,Banque!$F:$F,"="&amp;$B91,Banque!$D:$D,"=1")*-1</f>
        <v>0</v>
      </c>
      <c r="F91" s="5">
        <f>SUMIF(Compta!$D:$D,"="&amp;$B91,Compta!F:F)*-1</f>
        <v>-1169.4000000000001</v>
      </c>
      <c r="G91" s="5">
        <f>SUMIFS(Banque!J:J,Banque!$F:$F,"="&amp;$B91,Banque!$D:$D,"=1")</f>
        <v>0</v>
      </c>
      <c r="H91" s="5">
        <f>SUMIF(Compta!$D:$D,"="&amp;$B91,Compta!G:G)</f>
        <v>0</v>
      </c>
      <c r="I91" s="8">
        <f t="shared" si="2"/>
        <v>0</v>
      </c>
    </row>
    <row r="92" spans="1:9" x14ac:dyDescent="0.25">
      <c r="A92" t="s">
        <v>369</v>
      </c>
      <c r="B92" t="s">
        <v>275</v>
      </c>
      <c r="C92" s="5">
        <f>SUMIF(Banque!$F:$F,"="&amp;$B92,Banque!I:I)*-1</f>
        <v>-79.87</v>
      </c>
      <c r="D92" s="5">
        <f>SUMIF(Banque!$F:$F,"="&amp;$B92,Banque!J:J)</f>
        <v>0</v>
      </c>
      <c r="E92" s="5">
        <f>SUMIFS(Banque!I:I,Banque!$F:$F,"="&amp;$B92,Banque!$D:$D,"=1")*-1</f>
        <v>0</v>
      </c>
      <c r="F92" s="5">
        <f>SUMIF(Compta!$D:$D,"="&amp;$B92,Compta!F:F)*-1</f>
        <v>-2764.45</v>
      </c>
      <c r="G92" s="5">
        <f>SUMIFS(Banque!J:J,Banque!$F:$F,"="&amp;$B92,Banque!$D:$D,"=1")</f>
        <v>0</v>
      </c>
      <c r="H92" s="5">
        <f>SUMIF(Compta!$D:$D,"="&amp;$B92,Compta!G:G)</f>
        <v>0</v>
      </c>
      <c r="I92" s="8">
        <f t="shared" si="2"/>
        <v>-2684.58</v>
      </c>
    </row>
    <row r="93" spans="1:9" x14ac:dyDescent="0.25">
      <c r="A93" t="s">
        <v>369</v>
      </c>
      <c r="B93" t="s">
        <v>337</v>
      </c>
      <c r="C93" s="5">
        <f>SUMIF(Banque!$F:$F,"="&amp;$B93,Banque!I:I)*-1</f>
        <v>0</v>
      </c>
      <c r="D93" s="5">
        <f>SUMIF(Banque!$F:$F,"="&amp;$B93,Banque!J:J)</f>
        <v>0</v>
      </c>
      <c r="E93" s="5">
        <f>SUMIFS(Banque!I:I,Banque!$F:$F,"="&amp;$B93,Banque!$D:$D,"=1")*-1</f>
        <v>0</v>
      </c>
      <c r="F93" s="5">
        <f>SUMIF(Compta!$D:$D,"="&amp;$B93,Compta!F:F)*-1</f>
        <v>0</v>
      </c>
      <c r="G93" s="5">
        <f>SUMIFS(Banque!J:J,Banque!$F:$F,"="&amp;$B93,Banque!$D:$D,"=1")</f>
        <v>0</v>
      </c>
      <c r="H93" s="5">
        <f>SUMIF(Compta!$D:$D,"="&amp;$B93,Compta!G:G)</f>
        <v>0</v>
      </c>
      <c r="I93" s="8">
        <f t="shared" si="2"/>
        <v>0</v>
      </c>
    </row>
    <row r="94" spans="1:9" x14ac:dyDescent="0.25">
      <c r="A94" t="s">
        <v>369</v>
      </c>
      <c r="B94" t="s">
        <v>332</v>
      </c>
      <c r="C94" s="5">
        <f>SUMIF(Banque!$F:$F,"="&amp;$B94,Banque!I:I)*-1</f>
        <v>0</v>
      </c>
      <c r="D94" s="5">
        <f>SUMIF(Banque!$F:$F,"="&amp;$B94,Banque!J:J)</f>
        <v>0</v>
      </c>
      <c r="E94" s="5">
        <f>SUMIFS(Banque!I:I,Banque!$F:$F,"="&amp;$B94,Banque!$D:$D,"=1")*-1</f>
        <v>0</v>
      </c>
      <c r="F94" s="5">
        <f>SUMIF(Compta!$D:$D,"="&amp;$B94,Compta!F:F)*-1</f>
        <v>0</v>
      </c>
      <c r="G94" s="5">
        <f>SUMIFS(Banque!J:J,Banque!$F:$F,"="&amp;$B94,Banque!$D:$D,"=1")</f>
        <v>0</v>
      </c>
      <c r="H94" s="5">
        <f>SUMIF(Compta!$D:$D,"="&amp;$B94,Compta!G:G)</f>
        <v>0</v>
      </c>
      <c r="I94" s="8">
        <f t="shared" si="2"/>
        <v>0</v>
      </c>
    </row>
    <row r="95" spans="1:9" x14ac:dyDescent="0.25">
      <c r="A95" t="s">
        <v>369</v>
      </c>
      <c r="B95" t="s">
        <v>338</v>
      </c>
      <c r="C95" s="5">
        <f>SUMIF(Banque!$F:$F,"="&amp;$B95,Banque!I:I)*-1</f>
        <v>0</v>
      </c>
      <c r="D95" s="5">
        <f>SUMIF(Banque!$F:$F,"="&amp;$B95,Banque!J:J)</f>
        <v>0</v>
      </c>
      <c r="E95" s="5">
        <f>SUMIFS(Banque!I:I,Banque!$F:$F,"="&amp;$B95,Banque!$D:$D,"=1")*-1</f>
        <v>0</v>
      </c>
      <c r="F95" s="5">
        <f>SUMIF(Compta!$D:$D,"="&amp;$B95,Compta!F:F)*-1</f>
        <v>0</v>
      </c>
      <c r="G95" s="5">
        <f>SUMIFS(Banque!J:J,Banque!$F:$F,"="&amp;$B95,Banque!$D:$D,"=1")</f>
        <v>0</v>
      </c>
      <c r="H95" s="5">
        <f>SUMIF(Compta!$D:$D,"="&amp;$B95,Compta!G:G)</f>
        <v>0</v>
      </c>
      <c r="I95" s="8">
        <f t="shared" si="2"/>
        <v>0</v>
      </c>
    </row>
    <row r="96" spans="1:9" x14ac:dyDescent="0.25">
      <c r="A96" t="s">
        <v>369</v>
      </c>
      <c r="B96" t="s">
        <v>333</v>
      </c>
      <c r="C96" s="5">
        <f>SUMIF(Banque!$F:$F,"="&amp;$B96,Banque!I:I)*-1</f>
        <v>0</v>
      </c>
      <c r="D96" s="5">
        <f>SUMIF(Banque!$F:$F,"="&amp;$B96,Banque!J:J)</f>
        <v>0</v>
      </c>
      <c r="E96" s="5">
        <f>SUMIFS(Banque!I:I,Banque!$F:$F,"="&amp;$B96,Banque!$D:$D,"=1")*-1</f>
        <v>0</v>
      </c>
      <c r="F96" s="5">
        <f>SUMIF(Compta!$D:$D,"="&amp;$B96,Compta!F:F)*-1</f>
        <v>0</v>
      </c>
      <c r="G96" s="5">
        <f>SUMIFS(Banque!J:J,Banque!$F:$F,"="&amp;$B96,Banque!$D:$D,"=1")</f>
        <v>0</v>
      </c>
      <c r="H96" s="5">
        <f>SUMIF(Compta!$D:$D,"="&amp;$B96,Compta!G:G)</f>
        <v>0</v>
      </c>
      <c r="I96" s="8">
        <f t="shared" si="2"/>
        <v>0</v>
      </c>
    </row>
    <row r="97" spans="1:9" x14ac:dyDescent="0.25">
      <c r="A97" t="s">
        <v>369</v>
      </c>
      <c r="B97" t="s">
        <v>317</v>
      </c>
      <c r="C97" s="5">
        <f>SUMIF(Banque!$F:$F,"="&amp;$B97,Banque!I:I)*-1</f>
        <v>0</v>
      </c>
      <c r="D97" s="5">
        <f>SUMIF(Banque!$F:$F,"="&amp;$B97,Banque!J:J)</f>
        <v>0</v>
      </c>
      <c r="E97" s="5">
        <f>SUMIFS(Banque!I:I,Banque!$F:$F,"="&amp;$B97,Banque!$D:$D,"=1")*-1</f>
        <v>0</v>
      </c>
      <c r="F97" s="5">
        <f>SUMIF(Compta!$D:$D,"="&amp;$B97,Compta!F:F)*-1</f>
        <v>0</v>
      </c>
      <c r="G97" s="5">
        <f>SUMIFS(Banque!J:J,Banque!$F:$F,"="&amp;$B97,Banque!$D:$D,"=1")</f>
        <v>0</v>
      </c>
      <c r="H97" s="5">
        <f>SUMIF(Compta!$D:$D,"="&amp;$B97,Compta!G:G)</f>
        <v>0</v>
      </c>
      <c r="I97" s="8">
        <f t="shared" si="2"/>
        <v>0</v>
      </c>
    </row>
    <row r="98" spans="1:9" x14ac:dyDescent="0.25">
      <c r="A98" t="s">
        <v>369</v>
      </c>
      <c r="B98" t="s">
        <v>674</v>
      </c>
      <c r="C98" s="5">
        <f>SUMIF(Banque!$F:$F,"="&amp;$B98,Banque!I:I)*-1</f>
        <v>-97.58</v>
      </c>
      <c r="D98" s="5">
        <f>SUMIF(Banque!$F:$F,"="&amp;$B98,Banque!J:J)</f>
        <v>0</v>
      </c>
      <c r="E98" s="5">
        <f>SUMIFS(Banque!I:I,Banque!$F:$F,"="&amp;$B98,Banque!$D:$D,"=1")*-1</f>
        <v>-97.58</v>
      </c>
      <c r="F98" s="5">
        <f>SUMIF(Compta!$D:$D,"="&amp;$B98,Compta!F:F)*-1</f>
        <v>0</v>
      </c>
      <c r="G98" s="5">
        <f>SUMIFS(Banque!J:J,Banque!$F:$F,"="&amp;$B98,Banque!$D:$D,"=1")</f>
        <v>0</v>
      </c>
      <c r="H98" s="5">
        <f>SUMIF(Compta!$D:$D,"="&amp;$B98,Compta!G:G)</f>
        <v>0</v>
      </c>
      <c r="I98" s="8">
        <f t="shared" ref="I98:I129" si="3">SUM(E98:H98)-SUM(C98:D98)</f>
        <v>0</v>
      </c>
    </row>
    <row r="99" spans="1:9" x14ac:dyDescent="0.25">
      <c r="A99" t="s">
        <v>369</v>
      </c>
      <c r="B99" t="s">
        <v>347</v>
      </c>
      <c r="C99" s="5">
        <f>SUMIF(Banque!$F:$F,"="&amp;$B99,Banque!I:I)*-1</f>
        <v>0</v>
      </c>
      <c r="D99" s="5">
        <f>SUMIF(Banque!$F:$F,"="&amp;$B99,Banque!J:J)</f>
        <v>0</v>
      </c>
      <c r="E99" s="5">
        <f>SUMIFS(Banque!I:I,Banque!$F:$F,"="&amp;$B99,Banque!$D:$D,"=1")*-1</f>
        <v>0</v>
      </c>
      <c r="F99" s="5">
        <f>SUMIF(Compta!$D:$D,"="&amp;$B99,Compta!F:F)*-1</f>
        <v>0</v>
      </c>
      <c r="G99" s="5">
        <f>SUMIFS(Banque!J:J,Banque!$F:$F,"="&amp;$B99,Banque!$D:$D,"=1")</f>
        <v>0</v>
      </c>
      <c r="H99" s="5">
        <f>SUMIF(Compta!$D:$D,"="&amp;$B99,Compta!G:G)</f>
        <v>0</v>
      </c>
      <c r="I99" s="8">
        <f t="shared" si="3"/>
        <v>0</v>
      </c>
    </row>
    <row r="100" spans="1:9" x14ac:dyDescent="0.25">
      <c r="A100" t="s">
        <v>369</v>
      </c>
      <c r="B100" t="s">
        <v>377</v>
      </c>
      <c r="C100" s="5">
        <f>SUMIF(Banque!$F:$F,"="&amp;$B100,Banque!I:I)*-1</f>
        <v>-12</v>
      </c>
      <c r="D100" s="5">
        <f>SUMIF(Banque!$F:$F,"="&amp;$B100,Banque!J:J)</f>
        <v>0</v>
      </c>
      <c r="E100" s="5">
        <f>SUMIFS(Banque!I:I,Banque!$F:$F,"="&amp;$B100,Banque!$D:$D,"=1")*-1</f>
        <v>-12</v>
      </c>
      <c r="F100" s="5">
        <f>SUMIF(Compta!$D:$D,"="&amp;$B100,Compta!F:F)*-1</f>
        <v>0</v>
      </c>
      <c r="G100" s="5">
        <f>SUMIFS(Banque!J:J,Banque!$F:$F,"="&amp;$B100,Banque!$D:$D,"=1")</f>
        <v>0</v>
      </c>
      <c r="H100" s="5">
        <f>SUMIF(Compta!$D:$D,"="&amp;$B100,Compta!G:G)</f>
        <v>0</v>
      </c>
      <c r="I100" s="8">
        <f t="shared" si="3"/>
        <v>0</v>
      </c>
    </row>
    <row r="101" spans="1:9" x14ac:dyDescent="0.25">
      <c r="A101" t="s">
        <v>369</v>
      </c>
      <c r="B101" t="s">
        <v>355</v>
      </c>
      <c r="C101" s="5">
        <f>SUMIF(Banque!$F:$F,"="&amp;$B101,Banque!I:I)*-1</f>
        <v>-41.32</v>
      </c>
      <c r="D101" s="5">
        <f>SUMIF(Banque!$F:$F,"="&amp;$B101,Banque!J:J)</f>
        <v>0</v>
      </c>
      <c r="E101" s="5">
        <f>SUMIFS(Banque!I:I,Banque!$F:$F,"="&amp;$B101,Banque!$D:$D,"=1")*-1</f>
        <v>-41.32</v>
      </c>
      <c r="F101" s="5">
        <f>SUMIF(Compta!$D:$D,"="&amp;$B101,Compta!F:F)*-1</f>
        <v>0</v>
      </c>
      <c r="G101" s="5">
        <f>SUMIFS(Banque!J:J,Banque!$F:$F,"="&amp;$B101,Banque!$D:$D,"=1")</f>
        <v>0</v>
      </c>
      <c r="H101" s="5">
        <f>SUMIF(Compta!$D:$D,"="&amp;$B101,Compta!G:G)</f>
        <v>0</v>
      </c>
      <c r="I101" s="8">
        <f t="shared" si="3"/>
        <v>0</v>
      </c>
    </row>
    <row r="102" spans="1:9" x14ac:dyDescent="0.25">
      <c r="A102" t="s">
        <v>369</v>
      </c>
      <c r="B102" t="s">
        <v>334</v>
      </c>
      <c r="C102" s="5">
        <f>SUMIF(Banque!$F:$F,"="&amp;$B102,Banque!I:I)*-1</f>
        <v>0</v>
      </c>
      <c r="D102" s="5">
        <f>SUMIF(Banque!$F:$F,"="&amp;$B102,Banque!J:J)</f>
        <v>0</v>
      </c>
      <c r="E102" s="5">
        <f>SUMIFS(Banque!I:I,Banque!$F:$F,"="&amp;$B102,Banque!$D:$D,"=1")*-1</f>
        <v>0</v>
      </c>
      <c r="F102" s="5">
        <f>SUMIF(Compta!$D:$D,"="&amp;$B102,Compta!F:F)*-1</f>
        <v>0</v>
      </c>
      <c r="G102" s="5">
        <f>SUMIFS(Banque!J:J,Banque!$F:$F,"="&amp;$B102,Banque!$D:$D,"=1")</f>
        <v>0</v>
      </c>
      <c r="H102" s="5">
        <f>SUMIF(Compta!$D:$D,"="&amp;$B102,Compta!G:G)</f>
        <v>0</v>
      </c>
      <c r="I102" s="8">
        <f t="shared" si="3"/>
        <v>0</v>
      </c>
    </row>
    <row r="103" spans="1:9" x14ac:dyDescent="0.25">
      <c r="A103" t="s">
        <v>369</v>
      </c>
      <c r="B103" t="s">
        <v>680</v>
      </c>
      <c r="C103" s="5">
        <f>SUMIF(Banque!$F:$F,"="&amp;$B103,Banque!I:I)*-1</f>
        <v>-61.22</v>
      </c>
      <c r="D103" s="5">
        <f>SUMIF(Banque!$F:$F,"="&amp;$B103,Banque!J:J)</f>
        <v>0</v>
      </c>
      <c r="E103" s="5">
        <f>SUMIFS(Banque!I:I,Banque!$F:$F,"="&amp;$B103,Banque!$D:$D,"=1")*-1</f>
        <v>-61.22</v>
      </c>
      <c r="F103" s="5">
        <f>SUMIF(Compta!$D:$D,"="&amp;$B103,Compta!F:F)*-1</f>
        <v>0</v>
      </c>
      <c r="G103" s="5">
        <f>SUMIFS(Banque!J:J,Banque!$F:$F,"="&amp;$B103,Banque!$D:$D,"=1")</f>
        <v>0</v>
      </c>
      <c r="H103" s="5">
        <f>SUMIF(Compta!$D:$D,"="&amp;$B103,Compta!G:G)</f>
        <v>0</v>
      </c>
      <c r="I103" s="8">
        <f t="shared" si="3"/>
        <v>0</v>
      </c>
    </row>
    <row r="104" spans="1:9" x14ac:dyDescent="0.25">
      <c r="A104" t="s">
        <v>369</v>
      </c>
      <c r="B104" t="s">
        <v>319</v>
      </c>
      <c r="C104" s="5">
        <f>SUMIF(Banque!$F:$F,"="&amp;$B104,Banque!I:I)*-1</f>
        <v>0</v>
      </c>
      <c r="D104" s="5">
        <f>SUMIF(Banque!$F:$F,"="&amp;$B104,Banque!J:J)</f>
        <v>0</v>
      </c>
      <c r="E104" s="5">
        <f>SUMIFS(Banque!I:I,Banque!$F:$F,"="&amp;$B104,Banque!$D:$D,"=1")*-1</f>
        <v>0</v>
      </c>
      <c r="F104" s="5">
        <f>SUMIF(Compta!$D:$D,"="&amp;$B104,Compta!F:F)*-1</f>
        <v>0</v>
      </c>
      <c r="G104" s="5">
        <f>SUMIFS(Banque!J:J,Banque!$F:$F,"="&amp;$B104,Banque!$D:$D,"=1")</f>
        <v>0</v>
      </c>
      <c r="H104" s="5">
        <f>SUMIF(Compta!$D:$D,"="&amp;$B104,Compta!G:G)</f>
        <v>0</v>
      </c>
      <c r="I104" s="8">
        <f t="shared" si="3"/>
        <v>0</v>
      </c>
    </row>
    <row r="105" spans="1:9" x14ac:dyDescent="0.25">
      <c r="A105" t="s">
        <v>369</v>
      </c>
      <c r="B105" t="s">
        <v>363</v>
      </c>
      <c r="C105" s="5">
        <f>SUMIF(Banque!$F:$F,"="&amp;$B105,Banque!I:I)*-1</f>
        <v>0</v>
      </c>
      <c r="D105" s="5">
        <f>SUMIF(Banque!$F:$F,"="&amp;$B105,Banque!J:J)</f>
        <v>0</v>
      </c>
      <c r="E105" s="5">
        <f>SUMIFS(Banque!I:I,Banque!$F:$F,"="&amp;$B105,Banque!$D:$D,"=1")*-1</f>
        <v>0</v>
      </c>
      <c r="F105" s="5">
        <f>SUMIF(Compta!$D:$D,"="&amp;$B105,Compta!F:F)*-1</f>
        <v>0</v>
      </c>
      <c r="G105" s="5">
        <f>SUMIFS(Banque!J:J,Banque!$F:$F,"="&amp;$B105,Banque!$D:$D,"=1")</f>
        <v>0</v>
      </c>
      <c r="H105" s="5">
        <f>SUMIF(Compta!$D:$D,"="&amp;$B105,Compta!G:G)</f>
        <v>0</v>
      </c>
      <c r="I105" s="8">
        <f t="shared" si="3"/>
        <v>0</v>
      </c>
    </row>
    <row r="106" spans="1:9" x14ac:dyDescent="0.25">
      <c r="A106" t="s">
        <v>369</v>
      </c>
      <c r="B106" t="s">
        <v>268</v>
      </c>
      <c r="C106" s="5">
        <f>SUMIF(Banque!$F:$F,"="&amp;$B106,Banque!I:I)*-1</f>
        <v>-1463.4299999999998</v>
      </c>
      <c r="D106" s="5">
        <f>SUMIF(Banque!$F:$F,"="&amp;$B106,Banque!J:J)</f>
        <v>0</v>
      </c>
      <c r="E106" s="5">
        <f>SUMIFS(Banque!I:I,Banque!$F:$F,"="&amp;$B106,Banque!$D:$D,"=1")*-1</f>
        <v>0</v>
      </c>
      <c r="F106" s="5">
        <f>SUMIF(Compta!$D:$D,"="&amp;$B106,Compta!F:F)*-1</f>
        <v>-2874.0299999999997</v>
      </c>
      <c r="G106" s="5">
        <f>SUMIFS(Banque!J:J,Banque!$F:$F,"="&amp;$B106,Banque!$D:$D,"=1")</f>
        <v>0</v>
      </c>
      <c r="H106" s="5">
        <f>SUMIF(Compta!$D:$D,"="&amp;$B106,Compta!G:G)</f>
        <v>0</v>
      </c>
      <c r="I106" s="8">
        <f t="shared" si="3"/>
        <v>-1410.6</v>
      </c>
    </row>
    <row r="107" spans="1:9" x14ac:dyDescent="0.25">
      <c r="A107" t="s">
        <v>369</v>
      </c>
      <c r="B107" t="s">
        <v>300</v>
      </c>
      <c r="C107" s="5">
        <f>SUMIF(Banque!$F:$F,"="&amp;$B107,Banque!I:I)*-1</f>
        <v>-310.3</v>
      </c>
      <c r="D107" s="5">
        <f>SUMIF(Banque!$F:$F,"="&amp;$B107,Banque!J:J)</f>
        <v>0</v>
      </c>
      <c r="E107" s="5">
        <f>SUMIFS(Banque!I:I,Banque!$F:$F,"="&amp;$B107,Banque!$D:$D,"=1")*-1</f>
        <v>0</v>
      </c>
      <c r="F107" s="5">
        <f>SUMIF(Compta!$D:$D,"="&amp;$B107,Compta!F:F)*-1</f>
        <v>-310.3</v>
      </c>
      <c r="G107" s="5">
        <f>SUMIFS(Banque!J:J,Banque!$F:$F,"="&amp;$B107,Banque!$D:$D,"=1")</f>
        <v>0</v>
      </c>
      <c r="H107" s="5">
        <f>SUMIF(Compta!$D:$D,"="&amp;$B107,Compta!G:G)</f>
        <v>0</v>
      </c>
      <c r="I107" s="8">
        <f t="shared" si="3"/>
        <v>0</v>
      </c>
    </row>
    <row r="108" spans="1:9" x14ac:dyDescent="0.25">
      <c r="A108" t="s">
        <v>369</v>
      </c>
      <c r="B108" t="s">
        <v>383</v>
      </c>
      <c r="C108" s="5">
        <f>SUMIF(Banque!$F:$F,"="&amp;$B108,Banque!I:I)*-1</f>
        <v>-261</v>
      </c>
      <c r="D108" s="5">
        <f>SUMIF(Banque!$F:$F,"="&amp;$B108,Banque!J:J)</f>
        <v>0</v>
      </c>
      <c r="E108" s="5">
        <f>SUMIFS(Banque!I:I,Banque!$F:$F,"="&amp;$B108,Banque!$D:$D,"=1")*-1</f>
        <v>-261</v>
      </c>
      <c r="F108" s="5">
        <f>SUMIF(Compta!$D:$D,"="&amp;$B108,Compta!F:F)*-1</f>
        <v>0</v>
      </c>
      <c r="G108" s="5">
        <f>SUMIFS(Banque!J:J,Banque!$F:$F,"="&amp;$B108,Banque!$D:$D,"=1")</f>
        <v>0</v>
      </c>
      <c r="H108" s="5">
        <f>SUMIF(Compta!$D:$D,"="&amp;$B108,Compta!G:G)</f>
        <v>0</v>
      </c>
      <c r="I108" s="8">
        <f t="shared" si="3"/>
        <v>0</v>
      </c>
    </row>
    <row r="109" spans="1:9" x14ac:dyDescent="0.25">
      <c r="A109" t="s">
        <v>369</v>
      </c>
      <c r="B109" t="s">
        <v>424</v>
      </c>
      <c r="C109" s="5">
        <f>SUMIF(Banque!$F:$F,"="&amp;$B109,Banque!I:I)*-1</f>
        <v>-687.47</v>
      </c>
      <c r="D109" s="5">
        <f>SUMIF(Banque!$F:$F,"="&amp;$B109,Banque!J:J)</f>
        <v>0</v>
      </c>
      <c r="E109" s="5">
        <f>SUMIFS(Banque!I:I,Banque!$F:$F,"="&amp;$B109,Banque!$D:$D,"=1")*-1</f>
        <v>-687.47</v>
      </c>
      <c r="F109" s="5">
        <f>SUMIF(Compta!$D:$D,"="&amp;$B109,Compta!F:F)*-1</f>
        <v>0</v>
      </c>
      <c r="G109" s="5">
        <f>SUMIFS(Banque!J:J,Banque!$F:$F,"="&amp;$B109,Banque!$D:$D,"=1")</f>
        <v>0</v>
      </c>
      <c r="H109" s="5">
        <f>SUMIF(Compta!$D:$D,"="&amp;$B109,Compta!G:G)</f>
        <v>0</v>
      </c>
      <c r="I109" s="8">
        <f t="shared" si="3"/>
        <v>0</v>
      </c>
    </row>
    <row r="110" spans="1:9" x14ac:dyDescent="0.25">
      <c r="A110" t="s">
        <v>369</v>
      </c>
      <c r="B110" t="s">
        <v>270</v>
      </c>
      <c r="C110" s="5">
        <f>SUMIF(Banque!$F:$F,"="&amp;$B110,Banque!I:I)*-1</f>
        <v>-14555.44</v>
      </c>
      <c r="D110" s="5">
        <f>SUMIF(Banque!$F:$F,"="&amp;$B110,Banque!J:J)</f>
        <v>0</v>
      </c>
      <c r="E110" s="5">
        <f>SUMIFS(Banque!I:I,Banque!$F:$F,"="&amp;$B110,Banque!$D:$D,"=1")*-1</f>
        <v>0</v>
      </c>
      <c r="F110" s="5">
        <f>SUMIF(Compta!$D:$D,"="&amp;$B110,Compta!F:F)*-1</f>
        <v>-24398.690000000002</v>
      </c>
      <c r="G110" s="5">
        <f>SUMIFS(Banque!J:J,Banque!$F:$F,"="&amp;$B110,Banque!$D:$D,"=1")</f>
        <v>0</v>
      </c>
      <c r="H110" s="5">
        <f>SUMIF(Compta!$D:$D,"="&amp;$B110,Compta!G:G)</f>
        <v>0</v>
      </c>
      <c r="I110" s="8">
        <f t="shared" si="3"/>
        <v>-9843.2500000000018</v>
      </c>
    </row>
    <row r="111" spans="1:9" x14ac:dyDescent="0.25">
      <c r="A111" t="s">
        <v>369</v>
      </c>
      <c r="B111" t="s">
        <v>328</v>
      </c>
      <c r="C111" s="5">
        <f>SUMIF(Banque!$F:$F,"="&amp;$B111,Banque!I:I)*-1</f>
        <v>0</v>
      </c>
      <c r="D111" s="5">
        <f>SUMIF(Banque!$F:$F,"="&amp;$B111,Banque!J:J)</f>
        <v>0</v>
      </c>
      <c r="E111" s="5">
        <f>SUMIFS(Banque!I:I,Banque!$F:$F,"="&amp;$B111,Banque!$D:$D,"=1")*-1</f>
        <v>0</v>
      </c>
      <c r="F111" s="5">
        <f>SUMIF(Compta!$D:$D,"="&amp;$B111,Compta!F:F)*-1</f>
        <v>0</v>
      </c>
      <c r="G111" s="5">
        <f>SUMIFS(Banque!J:J,Banque!$F:$F,"="&amp;$B111,Banque!$D:$D,"=1")</f>
        <v>0</v>
      </c>
      <c r="H111" s="5">
        <f>SUMIF(Compta!$D:$D,"="&amp;$B111,Compta!G:G)</f>
        <v>0</v>
      </c>
      <c r="I111" s="8">
        <f t="shared" si="3"/>
        <v>0</v>
      </c>
    </row>
    <row r="112" spans="1:9" x14ac:dyDescent="0.25">
      <c r="A112" t="s">
        <v>369</v>
      </c>
      <c r="B112" t="s">
        <v>339</v>
      </c>
      <c r="C112" s="5">
        <f>SUMIF(Banque!$F:$F,"="&amp;$B112,Banque!I:I)*-1</f>
        <v>0</v>
      </c>
      <c r="D112" s="5">
        <f>SUMIF(Banque!$F:$F,"="&amp;$B112,Banque!J:J)</f>
        <v>0</v>
      </c>
      <c r="E112" s="5">
        <f>SUMIFS(Banque!I:I,Banque!$F:$F,"="&amp;$B112,Banque!$D:$D,"=1")*-1</f>
        <v>0</v>
      </c>
      <c r="F112" s="5">
        <f>SUMIF(Compta!$D:$D,"="&amp;$B112,Compta!F:F)*-1</f>
        <v>0</v>
      </c>
      <c r="G112" s="5">
        <f>SUMIFS(Banque!J:J,Banque!$F:$F,"="&amp;$B112,Banque!$D:$D,"=1")</f>
        <v>0</v>
      </c>
      <c r="H112" s="5">
        <f>SUMIF(Compta!$D:$D,"="&amp;$B112,Compta!G:G)</f>
        <v>0</v>
      </c>
      <c r="I112" s="8">
        <f t="shared" si="3"/>
        <v>0</v>
      </c>
    </row>
    <row r="113" spans="1:9" x14ac:dyDescent="0.25">
      <c r="A113" t="s">
        <v>369</v>
      </c>
      <c r="B113" t="s">
        <v>321</v>
      </c>
      <c r="C113" s="5">
        <f>SUMIF(Banque!$F:$F,"="&amp;$B113,Banque!I:I)*-1</f>
        <v>0</v>
      </c>
      <c r="D113" s="5">
        <f>SUMIF(Banque!$F:$F,"="&amp;$B113,Banque!J:J)</f>
        <v>0</v>
      </c>
      <c r="E113" s="5">
        <f>SUMIFS(Banque!I:I,Banque!$F:$F,"="&amp;$B113,Banque!$D:$D,"=1")*-1</f>
        <v>0</v>
      </c>
      <c r="F113" s="5">
        <f>SUMIF(Compta!$D:$D,"="&amp;$B113,Compta!F:F)*-1</f>
        <v>0</v>
      </c>
      <c r="G113" s="5">
        <f>SUMIFS(Banque!J:J,Banque!$F:$F,"="&amp;$B113,Banque!$D:$D,"=1")</f>
        <v>0</v>
      </c>
      <c r="H113" s="5">
        <f>SUMIF(Compta!$D:$D,"="&amp;$B113,Compta!G:G)</f>
        <v>0</v>
      </c>
      <c r="I113" s="8">
        <f t="shared" si="3"/>
        <v>0</v>
      </c>
    </row>
    <row r="114" spans="1:9" x14ac:dyDescent="0.25">
      <c r="A114" t="s">
        <v>369</v>
      </c>
      <c r="B114" t="s">
        <v>276</v>
      </c>
      <c r="C114" s="5">
        <f>SUMIF(Banque!$F:$F,"="&amp;$B114,Banque!I:I)*-1</f>
        <v>-666.23</v>
      </c>
      <c r="D114" s="5">
        <f>SUMIF(Banque!$F:$F,"="&amp;$B114,Banque!J:J)</f>
        <v>0</v>
      </c>
      <c r="E114" s="5">
        <f>SUMIFS(Banque!I:I,Banque!$F:$F,"="&amp;$B114,Banque!$D:$D,"=1")*-1</f>
        <v>0</v>
      </c>
      <c r="F114" s="5">
        <f>SUMIF(Compta!$D:$D,"="&amp;$B114,Compta!F:F)*-1</f>
        <v>-2508</v>
      </c>
      <c r="G114" s="5">
        <f>SUMIFS(Banque!J:J,Banque!$F:$F,"="&amp;$B114,Banque!$D:$D,"=1")</f>
        <v>0</v>
      </c>
      <c r="H114" s="5">
        <f>SUMIF(Compta!$D:$D,"="&amp;$B114,Compta!G:G)</f>
        <v>0</v>
      </c>
      <c r="I114" s="8">
        <f t="shared" si="3"/>
        <v>-1841.77</v>
      </c>
    </row>
    <row r="115" spans="1:9" x14ac:dyDescent="0.25">
      <c r="A115" t="s">
        <v>369</v>
      </c>
      <c r="B115" t="s">
        <v>331</v>
      </c>
      <c r="C115" s="5">
        <f>SUMIF(Banque!$F:$F,"="&amp;$B115,Banque!I:I)*-1</f>
        <v>0</v>
      </c>
      <c r="D115" s="5">
        <f>SUMIF(Banque!$F:$F,"="&amp;$B115,Banque!J:J)</f>
        <v>0</v>
      </c>
      <c r="E115" s="5">
        <f>SUMIFS(Banque!I:I,Banque!$F:$F,"="&amp;$B115,Banque!$D:$D,"=1")*-1</f>
        <v>0</v>
      </c>
      <c r="F115" s="5">
        <f>SUMIF(Compta!$D:$D,"="&amp;$B115,Compta!F:F)*-1</f>
        <v>0</v>
      </c>
      <c r="G115" s="5">
        <f>SUMIFS(Banque!J:J,Banque!$F:$F,"="&amp;$B115,Banque!$D:$D,"=1")</f>
        <v>0</v>
      </c>
      <c r="H115" s="5">
        <f>SUMIF(Compta!$D:$D,"="&amp;$B115,Compta!G:G)</f>
        <v>0</v>
      </c>
      <c r="I115" s="8">
        <f t="shared" si="3"/>
        <v>0</v>
      </c>
    </row>
    <row r="116" spans="1:9" x14ac:dyDescent="0.25">
      <c r="A116" t="s">
        <v>369</v>
      </c>
      <c r="B116" t="s">
        <v>284</v>
      </c>
      <c r="C116" s="5">
        <f>SUMIF(Banque!$F:$F,"="&amp;$B116,Banque!I:I)*-1</f>
        <v>-670.8</v>
      </c>
      <c r="D116" s="5">
        <f>SUMIF(Banque!$F:$F,"="&amp;$B116,Banque!J:J)</f>
        <v>0</v>
      </c>
      <c r="E116" s="5">
        <f>SUMIFS(Banque!I:I,Banque!$F:$F,"="&amp;$B116,Banque!$D:$D,"=1")*-1</f>
        <v>0</v>
      </c>
      <c r="F116" s="5">
        <f>SUMIF(Compta!$D:$D,"="&amp;$B116,Compta!F:F)*-1</f>
        <v>-670.8</v>
      </c>
      <c r="G116" s="5">
        <f>SUMIFS(Banque!J:J,Banque!$F:$F,"="&amp;$B116,Banque!$D:$D,"=1")</f>
        <v>0</v>
      </c>
      <c r="H116" s="5">
        <f>SUMIF(Compta!$D:$D,"="&amp;$B116,Compta!G:G)</f>
        <v>0</v>
      </c>
      <c r="I116" s="8">
        <f t="shared" si="3"/>
        <v>0</v>
      </c>
    </row>
    <row r="117" spans="1:9" x14ac:dyDescent="0.25">
      <c r="A117" t="s">
        <v>369</v>
      </c>
      <c r="B117" t="s">
        <v>295</v>
      </c>
      <c r="C117" s="5">
        <f>SUMIF(Banque!$F:$F,"="&amp;$B117,Banque!I:I)*-1</f>
        <v>-2170.4</v>
      </c>
      <c r="D117" s="5">
        <f>SUMIF(Banque!$F:$F,"="&amp;$B117,Banque!J:J)</f>
        <v>0</v>
      </c>
      <c r="E117" s="5">
        <f>SUMIFS(Banque!I:I,Banque!$F:$F,"="&amp;$B117,Banque!$D:$D,"=1")*-1</f>
        <v>0</v>
      </c>
      <c r="F117" s="5">
        <f>SUMIF(Compta!$D:$D,"="&amp;$B117,Compta!F:F)*-1</f>
        <v>-2170.4</v>
      </c>
      <c r="G117" s="5">
        <f>SUMIFS(Banque!J:J,Banque!$F:$F,"="&amp;$B117,Banque!$D:$D,"=1")</f>
        <v>0</v>
      </c>
      <c r="H117" s="5">
        <f>SUMIF(Compta!$D:$D,"="&amp;$B117,Compta!G:G)</f>
        <v>0</v>
      </c>
      <c r="I117" s="8">
        <f t="shared" si="3"/>
        <v>0</v>
      </c>
    </row>
    <row r="118" spans="1:9" x14ac:dyDescent="0.25">
      <c r="A118" t="s">
        <v>369</v>
      </c>
      <c r="B118" t="s">
        <v>293</v>
      </c>
      <c r="C118" s="5">
        <f>SUMIF(Banque!$F:$F,"="&amp;$B118,Banque!I:I)*-1</f>
        <v>-405</v>
      </c>
      <c r="D118" s="5">
        <f>SUMIF(Banque!$F:$F,"="&amp;$B118,Banque!J:J)</f>
        <v>0</v>
      </c>
      <c r="E118" s="5">
        <f>SUMIFS(Banque!I:I,Banque!$F:$F,"="&amp;$B118,Banque!$D:$D,"=1")*-1</f>
        <v>0</v>
      </c>
      <c r="F118" s="5">
        <f>SUMIF(Compta!$D:$D,"="&amp;$B118,Compta!F:F)*-1</f>
        <v>-405</v>
      </c>
      <c r="G118" s="5">
        <f>SUMIFS(Banque!J:J,Banque!$F:$F,"="&amp;$B118,Banque!$D:$D,"=1")</f>
        <v>0</v>
      </c>
      <c r="H118" s="5">
        <f>SUMIF(Compta!$D:$D,"="&amp;$B118,Compta!G:G)</f>
        <v>0</v>
      </c>
      <c r="I118" s="8">
        <f t="shared" si="3"/>
        <v>0</v>
      </c>
    </row>
    <row r="119" spans="1:9" x14ac:dyDescent="0.25">
      <c r="A119" t="s">
        <v>369</v>
      </c>
      <c r="B119" t="s">
        <v>352</v>
      </c>
      <c r="C119" s="5">
        <f>SUMIF(Banque!$F:$F,"="&amp;$B119,Banque!I:I)*-1</f>
        <v>0</v>
      </c>
      <c r="D119" s="5">
        <f>SUMIF(Banque!$F:$F,"="&amp;$B119,Banque!J:J)</f>
        <v>0</v>
      </c>
      <c r="E119" s="5">
        <f>SUMIFS(Banque!I:I,Banque!$F:$F,"="&amp;$B119,Banque!$D:$D,"=1")*-1</f>
        <v>0</v>
      </c>
      <c r="F119" s="5">
        <f>SUMIF(Compta!$D:$D,"="&amp;$B119,Compta!F:F)*-1</f>
        <v>-1307.82</v>
      </c>
      <c r="G119" s="5">
        <f>SUMIFS(Banque!J:J,Banque!$F:$F,"="&amp;$B119,Banque!$D:$D,"=1")</f>
        <v>0</v>
      </c>
      <c r="H119" s="5">
        <f>SUMIF(Compta!$D:$D,"="&amp;$B119,Compta!G:G)</f>
        <v>0</v>
      </c>
      <c r="I119" s="8">
        <f t="shared" si="3"/>
        <v>-1307.82</v>
      </c>
    </row>
    <row r="120" spans="1:9" x14ac:dyDescent="0.25">
      <c r="A120" t="s">
        <v>369</v>
      </c>
      <c r="B120" t="s">
        <v>288</v>
      </c>
      <c r="C120" s="5">
        <f>SUMIF(Banque!$F:$F,"="&amp;$B120,Banque!I:I)*-1</f>
        <v>-724.75</v>
      </c>
      <c r="D120" s="5">
        <f>SUMIF(Banque!$F:$F,"="&amp;$B120,Banque!J:J)</f>
        <v>0</v>
      </c>
      <c r="E120" s="5">
        <f>SUMIFS(Banque!I:I,Banque!$F:$F,"="&amp;$B120,Banque!$D:$D,"=1")*-1</f>
        <v>0</v>
      </c>
      <c r="F120" s="5">
        <f>SUMIF(Compta!$D:$D,"="&amp;$B120,Compta!F:F)*-1</f>
        <v>-1213.93</v>
      </c>
      <c r="G120" s="5">
        <f>SUMIFS(Banque!J:J,Banque!$F:$F,"="&amp;$B120,Banque!$D:$D,"=1")</f>
        <v>0</v>
      </c>
      <c r="H120" s="5">
        <f>SUMIF(Compta!$D:$D,"="&amp;$B120,Compta!G:G)</f>
        <v>0</v>
      </c>
      <c r="I120" s="8">
        <f t="shared" si="3"/>
        <v>-489.18000000000006</v>
      </c>
    </row>
    <row r="121" spans="1:9" x14ac:dyDescent="0.25">
      <c r="A121" t="s">
        <v>369</v>
      </c>
      <c r="B121" t="s">
        <v>354</v>
      </c>
      <c r="C121" s="5">
        <f>SUMIF(Banque!$F:$F,"="&amp;$B121,Banque!I:I)*-1</f>
        <v>0</v>
      </c>
      <c r="D121" s="5">
        <f>SUMIF(Banque!$F:$F,"="&amp;$B121,Banque!J:J)</f>
        <v>0</v>
      </c>
      <c r="E121" s="5">
        <f>SUMIFS(Banque!I:I,Banque!$F:$F,"="&amp;$B121,Banque!$D:$D,"=1")*-1</f>
        <v>0</v>
      </c>
      <c r="F121" s="5">
        <f>SUMIF(Compta!$D:$D,"="&amp;$B121,Compta!F:F)*-1</f>
        <v>0</v>
      </c>
      <c r="G121" s="5">
        <f>SUMIFS(Banque!J:J,Banque!$F:$F,"="&amp;$B121,Banque!$D:$D,"=1")</f>
        <v>0</v>
      </c>
      <c r="H121" s="5">
        <f>SUMIF(Compta!$D:$D,"="&amp;$B121,Compta!G:G)</f>
        <v>0</v>
      </c>
      <c r="I121" s="8">
        <f t="shared" si="3"/>
        <v>0</v>
      </c>
    </row>
    <row r="122" spans="1:9" x14ac:dyDescent="0.25">
      <c r="A122" t="s">
        <v>369</v>
      </c>
      <c r="B122" t="s">
        <v>285</v>
      </c>
      <c r="C122" s="5">
        <f>SUMIF(Banque!$F:$F,"="&amp;$B122,Banque!I:I)*-1</f>
        <v>-1252.92</v>
      </c>
      <c r="D122" s="5">
        <f>SUMIF(Banque!$F:$F,"="&amp;$B122,Banque!J:J)</f>
        <v>0</v>
      </c>
      <c r="E122" s="5">
        <f>SUMIFS(Banque!I:I,Banque!$F:$F,"="&amp;$B122,Banque!$D:$D,"=1")*-1</f>
        <v>0</v>
      </c>
      <c r="F122" s="5">
        <f>SUMIF(Compta!$D:$D,"="&amp;$B122,Compta!F:F)*-1</f>
        <v>-4880.2800000000007</v>
      </c>
      <c r="G122" s="5">
        <f>SUMIFS(Banque!J:J,Banque!$F:$F,"="&amp;$B122,Banque!$D:$D,"=1")</f>
        <v>0</v>
      </c>
      <c r="H122" s="5">
        <f>SUMIF(Compta!$D:$D,"="&amp;$B122,Compta!G:G)</f>
        <v>0</v>
      </c>
      <c r="I122" s="8">
        <f t="shared" si="3"/>
        <v>-3627.3600000000006</v>
      </c>
    </row>
    <row r="123" spans="1:9" x14ac:dyDescent="0.25">
      <c r="A123" t="s">
        <v>501</v>
      </c>
      <c r="B123" t="s">
        <v>301</v>
      </c>
      <c r="C123" s="5">
        <f>SUMIF(Banque!$F:$F,"="&amp;$B123,Banque!I:I)*-1</f>
        <v>-360.91</v>
      </c>
      <c r="D123" s="5">
        <f>SUMIF(Banque!$F:$F,"="&amp;$B123,Banque!J:J)</f>
        <v>0</v>
      </c>
      <c r="E123" s="5">
        <f>SUMIFS(Banque!I:I,Banque!$F:$F,"="&amp;$B123,Banque!$D:$D,"=1")*-1</f>
        <v>0</v>
      </c>
      <c r="F123" s="5">
        <f>SUMIF(Compta!$D:$D,"="&amp;$B123,Compta!F:F)*-1</f>
        <v>-360.91</v>
      </c>
      <c r="G123" s="5">
        <f>SUMIFS(Banque!J:J,Banque!$F:$F,"="&amp;$B123,Banque!$D:$D,"=1")</f>
        <v>0</v>
      </c>
      <c r="H123" s="5">
        <f>SUMIF(Compta!$D:$D,"="&amp;$B123,Compta!G:G)</f>
        <v>0</v>
      </c>
      <c r="I123" s="8">
        <f t="shared" si="3"/>
        <v>0</v>
      </c>
    </row>
    <row r="124" spans="1:9" x14ac:dyDescent="0.25">
      <c r="A124" t="s">
        <v>501</v>
      </c>
      <c r="B124" t="s">
        <v>283</v>
      </c>
      <c r="C124" s="5">
        <f>SUMIF(Banque!$F:$F,"="&amp;$B124,Banque!I:I)*-1</f>
        <v>-86.87</v>
      </c>
      <c r="D124" s="5">
        <f>SUMIF(Banque!$F:$F,"="&amp;$B124,Banque!J:J)</f>
        <v>0</v>
      </c>
      <c r="E124" s="5">
        <f>SUMIFS(Banque!I:I,Banque!$F:$F,"="&amp;$B124,Banque!$D:$D,"=1")*-1</f>
        <v>0</v>
      </c>
      <c r="F124" s="5">
        <f>SUMIF(Compta!$D:$D,"="&amp;$B124,Compta!F:F)*-1</f>
        <v>-86.87</v>
      </c>
      <c r="G124" s="5">
        <f>SUMIFS(Banque!J:J,Banque!$F:$F,"="&amp;$B124,Banque!$D:$D,"=1")</f>
        <v>0</v>
      </c>
      <c r="H124" s="5">
        <f>SUMIF(Compta!$D:$D,"="&amp;$B124,Compta!G:G)</f>
        <v>0</v>
      </c>
      <c r="I124" s="8">
        <f t="shared" si="3"/>
        <v>0</v>
      </c>
    </row>
    <row r="125" spans="1:9" x14ac:dyDescent="0.25">
      <c r="A125" t="s">
        <v>501</v>
      </c>
      <c r="B125" t="s">
        <v>302</v>
      </c>
      <c r="C125" s="5">
        <f>SUMIF(Banque!$F:$F,"="&amp;$B125,Banque!I:I)*-1</f>
        <v>0</v>
      </c>
      <c r="D125" s="5">
        <f>SUMIF(Banque!$F:$F,"="&amp;$B125,Banque!J:J)</f>
        <v>0</v>
      </c>
      <c r="E125" s="5">
        <f>SUMIFS(Banque!I:I,Banque!$F:$F,"="&amp;$B125,Banque!$D:$D,"=1")*-1</f>
        <v>0</v>
      </c>
      <c r="F125" s="5">
        <f>SUMIF(Compta!$D:$D,"="&amp;$B125,Compta!F:F)*-1</f>
        <v>-448.01</v>
      </c>
      <c r="G125" s="5">
        <f>SUMIFS(Banque!J:J,Banque!$F:$F,"="&amp;$B125,Banque!$D:$D,"=1")</f>
        <v>0</v>
      </c>
      <c r="H125" s="5">
        <f>SUMIF(Compta!$D:$D,"="&amp;$B125,Compta!G:G)</f>
        <v>0</v>
      </c>
      <c r="I125" s="8">
        <f t="shared" si="3"/>
        <v>-448.01</v>
      </c>
    </row>
    <row r="126" spans="1:9" x14ac:dyDescent="0.25">
      <c r="A126" t="s">
        <v>367</v>
      </c>
      <c r="B126" t="s">
        <v>540</v>
      </c>
      <c r="C126" s="5">
        <f>SUMIF(Banque!$F:$F,"="&amp;$B126,Banque!I:I)*-1</f>
        <v>0</v>
      </c>
      <c r="D126" s="5">
        <f>SUMIF(Banque!$F:$F,"="&amp;$B126,Banque!J:J)</f>
        <v>1602</v>
      </c>
      <c r="E126" s="5">
        <f>SUMIFS(Banque!I:I,Banque!$F:$F,"="&amp;$B126,Banque!$D:$D,"=1")*-1</f>
        <v>0</v>
      </c>
      <c r="F126" s="5">
        <f>SUMIF(Compta!$D:$D,"="&amp;$B126,Compta!F:F)*-1</f>
        <v>0</v>
      </c>
      <c r="G126" s="5">
        <f>SUMIFS(Banque!J:J,Banque!$F:$F,"="&amp;$B126,Banque!$D:$D,"=1")</f>
        <v>0</v>
      </c>
      <c r="H126" s="5">
        <f>SUMIF(Compta!$D:$D,"="&amp;$B126,Compta!G:G)</f>
        <v>1602</v>
      </c>
      <c r="I126" s="8">
        <f t="shared" si="3"/>
        <v>0</v>
      </c>
    </row>
    <row r="127" spans="1:9" x14ac:dyDescent="0.25">
      <c r="A127" t="s">
        <v>367</v>
      </c>
      <c r="B127" t="s">
        <v>314</v>
      </c>
      <c r="C127" s="5">
        <f>SUMIF(Banque!$F:$F,"="&amp;$B127,Banque!I:I)*-1</f>
        <v>0</v>
      </c>
      <c r="D127" s="5">
        <f>SUMIF(Banque!$F:$F,"="&amp;$B127,Banque!J:J)</f>
        <v>0</v>
      </c>
      <c r="E127" s="5">
        <f>SUMIFS(Banque!I:I,Banque!$F:$F,"="&amp;$B127,Banque!$D:$D,"=1")*-1</f>
        <v>0</v>
      </c>
      <c r="F127" s="5">
        <f>SUMIF(Compta!$D:$D,"="&amp;$B127,Compta!F:F)*-1</f>
        <v>0</v>
      </c>
      <c r="G127" s="5">
        <f>SUMIFS(Banque!J:J,Banque!$F:$F,"="&amp;$B127,Banque!$D:$D,"=1")</f>
        <v>0</v>
      </c>
      <c r="H127" s="5">
        <f>SUMIF(Compta!$D:$D,"="&amp;$B127,Compta!G:G)</f>
        <v>0</v>
      </c>
      <c r="I127" s="8">
        <f t="shared" si="3"/>
        <v>0</v>
      </c>
    </row>
    <row r="128" spans="1:9" x14ac:dyDescent="0.25">
      <c r="A128" t="s">
        <v>367</v>
      </c>
      <c r="B128" t="s">
        <v>311</v>
      </c>
      <c r="C128" s="5">
        <f>SUMIF(Banque!$F:$F,"="&amp;$B128,Banque!I:I)*-1</f>
        <v>0</v>
      </c>
      <c r="D128" s="5">
        <f>SUMIF(Banque!$F:$F,"="&amp;$B128,Banque!J:J)</f>
        <v>0</v>
      </c>
      <c r="E128" s="5">
        <f>SUMIFS(Banque!I:I,Banque!$F:$F,"="&amp;$B128,Banque!$D:$D,"=1")*-1</f>
        <v>0</v>
      </c>
      <c r="F128" s="5">
        <f>SUMIF(Compta!$D:$D,"="&amp;$B128,Compta!F:F)*-1</f>
        <v>0</v>
      </c>
      <c r="G128" s="5">
        <f>SUMIFS(Banque!J:J,Banque!$F:$F,"="&amp;$B128,Banque!$D:$D,"=1")</f>
        <v>0</v>
      </c>
      <c r="H128" s="5">
        <f>SUMIF(Compta!$D:$D,"="&amp;$B128,Compta!G:G)</f>
        <v>0</v>
      </c>
      <c r="I128" s="8">
        <f t="shared" si="3"/>
        <v>0</v>
      </c>
    </row>
    <row r="129" spans="1:9" x14ac:dyDescent="0.25">
      <c r="A129" t="s">
        <v>367</v>
      </c>
      <c r="B129" t="s">
        <v>312</v>
      </c>
      <c r="C129" s="5">
        <f>SUMIF(Banque!$F:$F,"="&amp;$B129,Banque!I:I)*-1</f>
        <v>0</v>
      </c>
      <c r="D129" s="5">
        <f>SUMIF(Banque!$F:$F,"="&amp;$B129,Banque!J:J)</f>
        <v>0</v>
      </c>
      <c r="E129" s="5">
        <f>SUMIFS(Banque!I:I,Banque!$F:$F,"="&amp;$B129,Banque!$D:$D,"=1")*-1</f>
        <v>0</v>
      </c>
      <c r="F129" s="5">
        <f>SUMIF(Compta!$D:$D,"="&amp;$B129,Compta!F:F)*-1</f>
        <v>0</v>
      </c>
      <c r="G129" s="5">
        <f>SUMIFS(Banque!J:J,Banque!$F:$F,"="&amp;$B129,Banque!$D:$D,"=1")</f>
        <v>0</v>
      </c>
      <c r="H129" s="5">
        <f>SUMIF(Compta!$D:$D,"="&amp;$B129,Compta!G:G)</f>
        <v>0</v>
      </c>
      <c r="I129" s="8">
        <f t="shared" si="3"/>
        <v>0</v>
      </c>
    </row>
    <row r="130" spans="1:9" x14ac:dyDescent="0.25">
      <c r="A130" t="s">
        <v>367</v>
      </c>
      <c r="B130" t="s">
        <v>309</v>
      </c>
      <c r="C130" s="5">
        <f>SUMIF(Banque!$F:$F,"="&amp;$B130,Banque!I:I)*-1</f>
        <v>0</v>
      </c>
      <c r="D130" s="5">
        <f>SUMIF(Banque!$F:$F,"="&amp;$B130,Banque!J:J)</f>
        <v>0</v>
      </c>
      <c r="E130" s="5">
        <f>SUMIFS(Banque!I:I,Banque!$F:$F,"="&amp;$B130,Banque!$D:$D,"=1")*-1</f>
        <v>0</v>
      </c>
      <c r="F130" s="5">
        <f>SUMIF(Compta!$D:$D,"="&amp;$B130,Compta!F:F)*-1</f>
        <v>0</v>
      </c>
      <c r="G130" s="5">
        <f>SUMIFS(Banque!J:J,Banque!$F:$F,"="&amp;$B130,Banque!$D:$D,"=1")</f>
        <v>0</v>
      </c>
      <c r="H130" s="5">
        <f>SUMIF(Compta!$D:$D,"="&amp;$B130,Compta!G:G)</f>
        <v>0</v>
      </c>
      <c r="I130" s="8">
        <f t="shared" ref="I130:I133" si="4">SUM(E130:H130)-SUM(C130:D130)</f>
        <v>0</v>
      </c>
    </row>
    <row r="131" spans="1:9" x14ac:dyDescent="0.25">
      <c r="A131" t="s">
        <v>367</v>
      </c>
      <c r="B131" t="s">
        <v>310</v>
      </c>
      <c r="C131" s="5">
        <f>SUMIF(Banque!$F:$F,"="&amp;$B131,Banque!I:I)*-1</f>
        <v>0</v>
      </c>
      <c r="D131" s="5">
        <f>SUMIF(Banque!$F:$F,"="&amp;$B131,Banque!J:J)</f>
        <v>0</v>
      </c>
      <c r="E131" s="5">
        <f>SUMIFS(Banque!I:I,Banque!$F:$F,"="&amp;$B131,Banque!$D:$D,"=1")*-1</f>
        <v>0</v>
      </c>
      <c r="F131" s="5">
        <f>SUMIF(Compta!$D:$D,"="&amp;$B131,Compta!F:F)*-1</f>
        <v>0</v>
      </c>
      <c r="G131" s="5">
        <f>SUMIFS(Banque!J:J,Banque!$F:$F,"="&amp;$B131,Banque!$D:$D,"=1")</f>
        <v>0</v>
      </c>
      <c r="H131" s="5">
        <f>SUMIF(Compta!$D:$D,"="&amp;$B131,Compta!G:G)</f>
        <v>0</v>
      </c>
      <c r="I131" s="8">
        <f t="shared" si="4"/>
        <v>0</v>
      </c>
    </row>
    <row r="132" spans="1:9" x14ac:dyDescent="0.25">
      <c r="A132" t="s">
        <v>367</v>
      </c>
      <c r="B132" t="s">
        <v>287</v>
      </c>
      <c r="C132" s="5">
        <f>SUMIF(Banque!$F:$F,"="&amp;$B132,Banque!I:I)*-1</f>
        <v>0</v>
      </c>
      <c r="D132" s="5">
        <f>SUMIF(Banque!$F:$F,"="&amp;$B132,Banque!J:J)</f>
        <v>2163.33</v>
      </c>
      <c r="E132" s="5">
        <f>SUMIFS(Banque!I:I,Banque!$F:$F,"="&amp;$B132,Banque!$D:$D,"=1")*-1</f>
        <v>0</v>
      </c>
      <c r="F132" s="5">
        <f>SUMIF(Compta!$D:$D,"="&amp;$B132,Compta!F:F)*-1</f>
        <v>0</v>
      </c>
      <c r="G132" s="5">
        <f>SUMIFS(Banque!J:J,Banque!$F:$F,"="&amp;$B132,Banque!$D:$D,"=1")</f>
        <v>2163.33</v>
      </c>
      <c r="H132" s="5">
        <f>SUMIF(Compta!$D:$D,"="&amp;$B132,Compta!G:G)</f>
        <v>0</v>
      </c>
      <c r="I132" s="8">
        <f t="shared" si="4"/>
        <v>0</v>
      </c>
    </row>
    <row r="133" spans="1:9" x14ac:dyDescent="0.25">
      <c r="A133" t="s">
        <v>367</v>
      </c>
      <c r="B133" t="s">
        <v>313</v>
      </c>
      <c r="C133" s="5">
        <f>SUMIF(Banque!$F:$F,"="&amp;$B133,Banque!I:I)*-1</f>
        <v>0</v>
      </c>
      <c r="D133" s="5">
        <f>SUMIF(Banque!$F:$F,"="&amp;$B133,Banque!J:J)</f>
        <v>0</v>
      </c>
      <c r="E133" s="5">
        <f>SUMIFS(Banque!I:I,Banque!$F:$F,"="&amp;$B133,Banque!$D:$D,"=1")*-1</f>
        <v>0</v>
      </c>
      <c r="F133" s="5">
        <f>SUMIF(Compta!$D:$D,"="&amp;$B133,Compta!F:F)*-1</f>
        <v>0</v>
      </c>
      <c r="G133" s="5">
        <f>SUMIFS(Banque!J:J,Banque!$F:$F,"="&amp;$B133,Banque!$D:$D,"=1")</f>
        <v>0</v>
      </c>
      <c r="H133" s="5">
        <f>SUMIF(Compta!$D:$D,"="&amp;$B133,Compta!G:G)</f>
        <v>0</v>
      </c>
      <c r="I133" s="8">
        <f t="shared" si="4"/>
        <v>0</v>
      </c>
    </row>
  </sheetData>
  <autoFilter ref="A1:I133" xr:uid="{00000000-0009-0000-0000-000003000000}">
    <sortState xmlns:xlrd2="http://schemas.microsoft.com/office/spreadsheetml/2017/richdata2" ref="A2:I133">
      <sortCondition ref="A1:A131"/>
    </sortState>
  </autoFilter>
  <sortState xmlns:xlrd2="http://schemas.microsoft.com/office/spreadsheetml/2017/richdata2" ref="A2:I132">
    <sortCondition ref="A2:A132"/>
    <sortCondition ref="B2:B132"/>
  </sortState>
  <dataValidations count="1">
    <dataValidation allowBlank="1" sqref="B2:B6 B121:B128 B130 B132:B133" xr:uid="{00000000-0002-0000-0300-000000000000}"/>
  </dataValidations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5"/>
  <dimension ref="A1:P13"/>
  <sheetViews>
    <sheetView workbookViewId="0">
      <pane ySplit="1" topLeftCell="A2" activePane="bottomLeft" state="frozen"/>
      <selection pane="bottomLeft" activeCell="P5" sqref="P5"/>
    </sheetView>
  </sheetViews>
  <sheetFormatPr baseColWidth="10" defaultRowHeight="15" outlineLevelCol="1" x14ac:dyDescent="0.25"/>
  <cols>
    <col min="4" max="5" width="11.42578125" hidden="1" customWidth="1" outlineLevel="1"/>
    <col min="6" max="6" width="11.85546875" style="10" bestFit="1" customWidth="1" collapsed="1"/>
    <col min="7" max="7" width="11.85546875" style="10" customWidth="1"/>
    <col min="8" max="8" width="11.85546875" style="10" hidden="1" customWidth="1" outlineLevel="1"/>
    <col min="9" max="9" width="12" style="10" hidden="1" customWidth="1" outlineLevel="1"/>
    <col min="10" max="10" width="11.85546875" style="10" hidden="1" customWidth="1" outlineLevel="1"/>
    <col min="11" max="11" width="12.140625" style="10" hidden="1" customWidth="1" outlineLevel="1"/>
    <col min="12" max="12" width="12.42578125" style="10" bestFit="1" customWidth="1" collapsed="1"/>
    <col min="13" max="13" width="12.42578125" style="10" customWidth="1"/>
    <col min="14" max="15" width="10.85546875" style="10" bestFit="1" customWidth="1"/>
  </cols>
  <sheetData>
    <row r="1" spans="1:16" x14ac:dyDescent="0.25">
      <c r="B1" t="s">
        <v>0</v>
      </c>
      <c r="D1" s="4" t="s">
        <v>506</v>
      </c>
      <c r="E1" s="4" t="s">
        <v>507</v>
      </c>
      <c r="F1" s="10" t="s">
        <v>313</v>
      </c>
      <c r="H1" s="12" t="s">
        <v>502</v>
      </c>
      <c r="I1" s="12" t="s">
        <v>503</v>
      </c>
      <c r="J1" s="12" t="s">
        <v>504</v>
      </c>
      <c r="K1" s="12" t="s">
        <v>505</v>
      </c>
      <c r="L1" s="10" t="s">
        <v>439</v>
      </c>
      <c r="N1" s="12" t="s">
        <v>568</v>
      </c>
      <c r="O1" s="12" t="s">
        <v>567</v>
      </c>
      <c r="P1" s="12" t="s">
        <v>569</v>
      </c>
    </row>
    <row r="2" spans="1:16" x14ac:dyDescent="0.25">
      <c r="A2" s="6"/>
      <c r="B2" s="2">
        <v>43466</v>
      </c>
      <c r="C2" s="2"/>
      <c r="D2">
        <f>SUMIFS(Compta!F:F,Compta!$B:$B,"&gt;="&amp;$B2,Compta!$B:$B,"&lt;"&amp;$B3)*-1</f>
        <v>27522.94000000001</v>
      </c>
      <c r="E2">
        <f>SUMIFS(Compta!G:G,Compta!$B:$B,"&gt;="&amp;$B2,Compta!$B:$B,"&lt;"&amp;$B3)</f>
        <v>0</v>
      </c>
      <c r="F2" s="10">
        <f>SUM(D2:E2,H2:I2)+$A$5</f>
        <v>10303.040000000008</v>
      </c>
      <c r="H2" s="10">
        <f>SUMIFS(Banque!I:I,Banque!$C:$C,"&gt;="&amp;$B2,Banque!$C:$C,"&lt;"&amp;$B3,Banque!$D:$D,"=1",Banque!$F:$F,"&lt;&gt;TVA")*-1</f>
        <v>0</v>
      </c>
      <c r="I2" s="10">
        <f>SUMIFS(Banque!J:J,Banque!$C:$C,"&gt;="&amp;$B2,Banque!$C:$C,"&lt;"&amp;$B3,Banque!$D:$D,"=1",Banque!$F:$F,"&lt;&gt;TVA")</f>
        <v>0</v>
      </c>
      <c r="J2" s="10">
        <f>SUMIFS(Compta!F:F,Compta!$A:$A,"&gt;="&amp;$B2,Compta!$A:$A,"&lt;"&amp;$B3)*-1</f>
        <v>10709.410000000011</v>
      </c>
      <c r="K2" s="10">
        <f>SUMIFS(Compta!G:G,Compta!$A:$A,"&gt;="&amp;$B2,Compta!$A:$A,"&lt;"&amp;$B3)</f>
        <v>0</v>
      </c>
      <c r="L2" s="10">
        <f>SUM(H2:K2)/1.2</f>
        <v>8924.5083333333423</v>
      </c>
      <c r="N2" s="10">
        <f t="shared" ref="N2:N13" si="0">SUM(H2,J2)*1/6</f>
        <v>1784.9016666666685</v>
      </c>
      <c r="O2" s="10">
        <f t="shared" ref="O2:O13" si="1">SUM(I2,K2)*1/6</f>
        <v>0</v>
      </c>
      <c r="P2" s="10">
        <f>N2+O2</f>
        <v>1784.9016666666685</v>
      </c>
    </row>
    <row r="3" spans="1:16" x14ac:dyDescent="0.25">
      <c r="B3" s="2">
        <v>43497</v>
      </c>
      <c r="C3" s="2"/>
      <c r="D3">
        <f>SUMIFS(Compta!F:F,Compta!$B:$B,"&gt;="&amp;$B3,Compta!$B:$B,"&lt;"&amp;$B4)*-1</f>
        <v>-25956.980000000003</v>
      </c>
      <c r="E3">
        <f>SUMIFS(Compta!G:G,Compta!$B:$B,"&gt;="&amp;$B3,Compta!$B:$B,"&lt;"&amp;$B4)</f>
        <v>48247.05</v>
      </c>
      <c r="F3" s="10">
        <f>F2+SUM(D3:E3,H3:I3)</f>
        <v>13891.090000000018</v>
      </c>
      <c r="H3" s="10">
        <f>SUMIFS(Banque!I:I,Banque!$C:$C,"&gt;="&amp;$B3,Banque!$C:$C,"&lt;"&amp;$B4,Banque!$D:$D,"=1",Banque!$F:$F,"&lt;&gt;TVA")*-1</f>
        <v>-18702.01999999999</v>
      </c>
      <c r="I3" s="10">
        <f>SUMIFS(Banque!J:J,Banque!$C:$C,"&gt;="&amp;$B3,Banque!$C:$C,"&lt;"&amp;$B4,Banque!$D:$D,"=1",Banque!$F:$F,"&lt;&gt;TVA")</f>
        <v>0</v>
      </c>
      <c r="J3" s="10">
        <f>SUMIFS(Compta!F:F,Compta!$A:$A,"&gt;="&amp;$B3,Compta!$A:$A,"&lt;"&amp;$B4)*-1</f>
        <v>-18250.11</v>
      </c>
      <c r="K3" s="10">
        <f>SUMIFS(Compta!G:G,Compta!$A:$A,"&gt;="&amp;$B3,Compta!$A:$A,"&lt;"&amp;$B4)</f>
        <v>44752.479999999996</v>
      </c>
      <c r="L3" s="10">
        <f>SUM(H3:K3)/1.2</f>
        <v>6500.2916666666715</v>
      </c>
      <c r="N3" s="10">
        <f t="shared" si="0"/>
        <v>-6158.6883333333317</v>
      </c>
      <c r="O3" s="10">
        <f t="shared" si="1"/>
        <v>7458.746666666666</v>
      </c>
      <c r="P3" s="10">
        <f t="shared" ref="P3:P13" si="2">N3+O3</f>
        <v>1300.0583333333343</v>
      </c>
    </row>
    <row r="4" spans="1:16" x14ac:dyDescent="0.25">
      <c r="A4" t="s">
        <v>508</v>
      </c>
      <c r="B4" s="2">
        <v>43525</v>
      </c>
      <c r="C4" s="2"/>
      <c r="D4">
        <f>SUMIFS(Compta!F:F,Compta!$B:$B,"&gt;="&amp;$B4,Compta!$B:$B,"&lt;"&amp;$B5)*-1</f>
        <v>-17684.53</v>
      </c>
      <c r="E4">
        <f>SUMIFS(Compta!G:G,Compta!$B:$B,"&gt;="&amp;$B4,Compta!$B:$B,"&lt;"&amp;$B5)</f>
        <v>30265.4</v>
      </c>
      <c r="F4" s="10">
        <f t="shared" ref="F4:F13" si="3">SUM(D4:E4,H4:I4)</f>
        <v>-1577.8699999999917</v>
      </c>
      <c r="H4" s="10">
        <f>SUMIFS(Banque!I:I,Banque!$C:$C,"&gt;="&amp;$B4,Banque!$C:$C,"&lt;"&amp;$B5,Banque!$D:$D,"=1",Banque!$F:$F,"&lt;&gt;TVA")*-1</f>
        <v>-15222.069999999994</v>
      </c>
      <c r="I4" s="10">
        <f>SUMIFS(Banque!J:J,Banque!$C:$C,"&gt;="&amp;$B4,Banque!$C:$C,"&lt;"&amp;$B5,Banque!$D:$D,"=1",Banque!$F:$F,"&lt;&gt;TVA")</f>
        <v>1063.33</v>
      </c>
      <c r="J4" s="10">
        <f>SUMIFS(Compta!F:F,Compta!$A:$A,"&gt;="&amp;$B4,Compta!$A:$A,"&lt;"&amp;$B5)*-1</f>
        <v>-16953.239999999998</v>
      </c>
      <c r="K4" s="10">
        <f>SUMIFS(Compta!G:G,Compta!$A:$A,"&gt;="&amp;$B4,Compta!$A:$A,"&lt;"&amp;$B5)</f>
        <v>32326.5</v>
      </c>
      <c r="L4" s="10">
        <f>SUM(H4:K4)/1.2</f>
        <v>1012.1000000000065</v>
      </c>
      <c r="N4" s="10">
        <f t="shared" si="0"/>
        <v>-5362.5516666666654</v>
      </c>
      <c r="O4" s="10">
        <f t="shared" si="1"/>
        <v>5564.9716666666673</v>
      </c>
      <c r="P4" s="10">
        <f t="shared" si="2"/>
        <v>202.42000000000189</v>
      </c>
    </row>
    <row r="5" spans="1:16" x14ac:dyDescent="0.25">
      <c r="A5" s="6">
        <f>Banque!L1</f>
        <v>-17219.900000000001</v>
      </c>
      <c r="B5" s="2">
        <v>43556</v>
      </c>
      <c r="C5" s="2"/>
      <c r="D5">
        <f>SUMIFS(Compta!F:F,Compta!$B:$B,"&gt;="&amp;$B5,Compta!$B:$B,"&lt;"&amp;$B6)*-1</f>
        <v>-30164.139999999992</v>
      </c>
      <c r="E5">
        <f>SUMIFS(Compta!G:G,Compta!$B:$B,"&gt;="&amp;$B5,Compta!$B:$B,"&lt;"&amp;$B6)</f>
        <v>61046.979999999996</v>
      </c>
      <c r="F5" s="10">
        <f t="shared" si="3"/>
        <v>4364.43</v>
      </c>
      <c r="H5" s="10">
        <f>SUMIFS(Banque!I:I,Banque!$C:$C,"&gt;="&amp;$B5,Banque!$C:$C,"&lt;"&amp;$B6,Banque!$D:$D,"=1",Banque!$F:$F,"&lt;&gt;TVA")*-1</f>
        <v>-27618.410000000003</v>
      </c>
      <c r="I5" s="10">
        <f>SUMIFS(Banque!J:J,Banque!$C:$C,"&gt;="&amp;$B5,Banque!$C:$C,"&lt;"&amp;$B6,Banque!$D:$D,"=1",Banque!$F:$F,"&lt;&gt;TVA")</f>
        <v>1100</v>
      </c>
      <c r="J5" s="10">
        <f>SUMIFS(Compta!F:F,Compta!$A:$A,"&gt;="&amp;$B5,Compta!$A:$A,"&lt;"&amp;$B6)*-1</f>
        <v>-30259.67</v>
      </c>
      <c r="K5" s="10">
        <f>SUMIFS(Compta!G:G,Compta!$A:$A,"&gt;="&amp;$B5,Compta!$A:$A,"&lt;"&amp;$B6)</f>
        <v>62198.42</v>
      </c>
      <c r="L5" s="10">
        <f t="shared" ref="L5:L13" si="4">SUM(H5:K5)/1.2</f>
        <v>4516.9499999999971</v>
      </c>
      <c r="N5" s="10">
        <f t="shared" si="0"/>
        <v>-9646.3466666666664</v>
      </c>
      <c r="O5" s="10">
        <f t="shared" si="1"/>
        <v>10549.736666666666</v>
      </c>
      <c r="P5" s="10">
        <f t="shared" si="2"/>
        <v>903.38999999999942</v>
      </c>
    </row>
    <row r="6" spans="1:16" x14ac:dyDescent="0.25">
      <c r="B6" s="2">
        <v>43586</v>
      </c>
      <c r="C6" s="2"/>
      <c r="D6">
        <f>SUMIFS(Compta!F:F,Compta!$B:$B,"&gt;="&amp;$B6,Compta!$B:$B,"&lt;"&amp;$B7)*-1</f>
        <v>-13267.55</v>
      </c>
      <c r="E6">
        <f>SUMIFS(Compta!G:G,Compta!$B:$B,"&gt;="&amp;$B6,Compta!$B:$B,"&lt;"&amp;$B7)</f>
        <v>67478.42</v>
      </c>
      <c r="F6" s="10">
        <f t="shared" si="3"/>
        <v>42840.5</v>
      </c>
      <c r="H6" s="10">
        <f>SUMIFS(Banque!I:I,Banque!$C:$C,"&gt;="&amp;$B6,Banque!$C:$C,"&lt;"&amp;$B7,Banque!$D:$D,"=1",Banque!$F:$F,"&lt;&gt;TVA")*-1</f>
        <v>-14113.489999999998</v>
      </c>
      <c r="I6" s="10">
        <f>SUMIFS(Banque!J:J,Banque!$C:$C,"&gt;="&amp;$B6,Banque!$C:$C,"&lt;"&amp;$B7,Banque!$D:$D,"=1",Banque!$F:$F,"&lt;&gt;TVA")</f>
        <v>2743.12</v>
      </c>
      <c r="J6" s="10">
        <f>SUMIFS(Compta!F:F,Compta!$A:$A,"&gt;="&amp;$B6,Compta!$A:$A,"&lt;"&amp;$B7)*-1</f>
        <v>-20495.059999999998</v>
      </c>
      <c r="K6" s="10">
        <f>SUMIFS(Compta!G:G,Compta!$A:$A,"&gt;="&amp;$B6,Compta!$A:$A,"&lt;"&amp;$B7)</f>
        <v>50186.400000000001</v>
      </c>
      <c r="L6" s="10">
        <f t="shared" si="4"/>
        <v>15267.475000000004</v>
      </c>
      <c r="N6" s="10">
        <f t="shared" si="0"/>
        <v>-5768.0916666666662</v>
      </c>
      <c r="O6" s="10">
        <f t="shared" si="1"/>
        <v>8821.586666666668</v>
      </c>
      <c r="P6" s="10">
        <f t="shared" si="2"/>
        <v>3053.4950000000017</v>
      </c>
    </row>
    <row r="7" spans="1:16" x14ac:dyDescent="0.25">
      <c r="B7" s="2">
        <v>43617</v>
      </c>
      <c r="C7" s="2"/>
      <c r="D7">
        <f>SUMIFS(Compta!F:F,Compta!$B:$B,"&gt;="&amp;$B7,Compta!$B:$B,"&lt;"&amp;$B8)*-1</f>
        <v>-38829.409999999996</v>
      </c>
      <c r="E7">
        <f>SUMIFS(Compta!G:G,Compta!$B:$B,"&gt;="&amp;$B7,Compta!$B:$B,"&lt;"&amp;$B8)</f>
        <v>51066.600000000006</v>
      </c>
      <c r="F7" s="10">
        <f t="shared" si="3"/>
        <v>12237.19000000001</v>
      </c>
      <c r="H7" s="10">
        <f>SUMIFS(Banque!I:I,Banque!$C:$C,"&gt;="&amp;$B7,Banque!$C:$C,"&lt;"&amp;$B8,Banque!$D:$D,"=1",Banque!$F:$F,"&lt;&gt;TVA")*-1</f>
        <v>0</v>
      </c>
      <c r="I7" s="10">
        <f>SUMIFS(Banque!J:J,Banque!$C:$C,"&gt;="&amp;$B7,Banque!$C:$C,"&lt;"&amp;$B8,Banque!$D:$D,"=1",Banque!$F:$F,"&lt;&gt;TVA")</f>
        <v>0</v>
      </c>
      <c r="J7" s="10">
        <f>SUMIFS(Compta!F:F,Compta!$A:$A,"&gt;="&amp;$B7,Compta!$A:$A,"&lt;"&amp;$B8)*-1</f>
        <v>-63.84</v>
      </c>
      <c r="K7" s="10">
        <f>SUMIFS(Compta!G:G,Compta!$A:$A,"&gt;="&amp;$B7,Compta!$A:$A,"&lt;"&amp;$B8)</f>
        <v>0</v>
      </c>
      <c r="L7" s="10">
        <f t="shared" si="4"/>
        <v>-53.2</v>
      </c>
      <c r="N7" s="10">
        <f t="shared" si="0"/>
        <v>-10.64</v>
      </c>
      <c r="O7" s="10">
        <f t="shared" si="1"/>
        <v>0</v>
      </c>
      <c r="P7" s="10">
        <f t="shared" si="2"/>
        <v>-10.64</v>
      </c>
    </row>
    <row r="8" spans="1:16" x14ac:dyDescent="0.25">
      <c r="B8" s="2">
        <v>43647</v>
      </c>
      <c r="C8" s="2"/>
      <c r="D8">
        <f>SUMIFS(Compta!F:F,Compta!$B:$B,"&gt;="&amp;$B8,Compta!$B:$B,"&lt;"&amp;$B9)*-1</f>
        <v>-774.56999999999994</v>
      </c>
      <c r="E8">
        <f>SUMIFS(Compta!G:G,Compta!$B:$B,"&gt;="&amp;$B8,Compta!$B:$B,"&lt;"&amp;$B9)</f>
        <v>0</v>
      </c>
      <c r="F8" s="10">
        <f t="shared" si="3"/>
        <v>-774.56999999999994</v>
      </c>
      <c r="H8" s="10">
        <f>SUMIFS(Banque!I:I,Banque!$C:$C,"&gt;="&amp;$B8,Banque!$C:$C,"&lt;"&amp;$B9,Banque!$D:$D,"=1",Banque!$F:$F,"&lt;&gt;TVA")*-1</f>
        <v>0</v>
      </c>
      <c r="I8" s="10">
        <f>SUMIFS(Banque!J:J,Banque!$C:$C,"&gt;="&amp;$B8,Banque!$C:$C,"&lt;"&amp;$B9,Banque!$D:$D,"=1",Banque!$F:$F,"&lt;&gt;TVA")</f>
        <v>0</v>
      </c>
      <c r="J8" s="10">
        <f>SUMIFS(Compta!F:F,Compta!$A:$A,"&gt;="&amp;$B8,Compta!$A:$A,"&lt;"&amp;$B9)*-1</f>
        <v>0</v>
      </c>
      <c r="K8" s="10">
        <f>SUMIFS(Compta!G:G,Compta!$A:$A,"&gt;="&amp;$B8,Compta!$A:$A,"&lt;"&amp;$B9)</f>
        <v>0</v>
      </c>
      <c r="L8" s="10">
        <f t="shared" si="4"/>
        <v>0</v>
      </c>
      <c r="N8" s="10">
        <f t="shared" si="0"/>
        <v>0</v>
      </c>
      <c r="O8" s="10">
        <f t="shared" si="1"/>
        <v>0</v>
      </c>
      <c r="P8" s="10">
        <f t="shared" si="2"/>
        <v>0</v>
      </c>
    </row>
    <row r="9" spans="1:16" x14ac:dyDescent="0.25">
      <c r="B9" s="2">
        <v>43678</v>
      </c>
      <c r="C9" s="2"/>
      <c r="D9">
        <f>SUMIFS(Compta!F:F,Compta!$B:$B,"&gt;="&amp;$B9,Compta!$B:$B,"&lt;"&amp;$B10)*-1</f>
        <v>0</v>
      </c>
      <c r="E9">
        <f>SUMIFS(Compta!G:G,Compta!$B:$B,"&gt;="&amp;$B9,Compta!$B:$B,"&lt;"&amp;$B10)</f>
        <v>0</v>
      </c>
      <c r="F9" s="10">
        <f t="shared" si="3"/>
        <v>0</v>
      </c>
      <c r="H9" s="10">
        <f>SUMIFS(Banque!I:I,Banque!$C:$C,"&gt;="&amp;$B9,Banque!$C:$C,"&lt;"&amp;$B10,Banque!$D:$D,"=1",Banque!$F:$F,"&lt;&gt;TVA")*-1</f>
        <v>0</v>
      </c>
      <c r="I9" s="10">
        <f>SUMIFS(Banque!J:J,Banque!$C:$C,"&gt;="&amp;$B9,Banque!$C:$C,"&lt;"&amp;$B10,Banque!$D:$D,"=1",Banque!$F:$F,"&lt;&gt;TVA")</f>
        <v>0</v>
      </c>
      <c r="J9" s="10">
        <f>SUMIFS(Compta!F:F,Compta!$A:$A,"&gt;="&amp;$B9,Compta!$A:$A,"&lt;"&amp;$B10)*-1</f>
        <v>0</v>
      </c>
      <c r="K9" s="10">
        <f>SUMIFS(Compta!G:G,Compta!$A:$A,"&gt;="&amp;$B9,Compta!$A:$A,"&lt;"&amp;$B10)</f>
        <v>0</v>
      </c>
      <c r="L9" s="10">
        <f t="shared" si="4"/>
        <v>0</v>
      </c>
      <c r="N9" s="10">
        <f t="shared" si="0"/>
        <v>0</v>
      </c>
      <c r="O9" s="10">
        <f t="shared" si="1"/>
        <v>0</v>
      </c>
      <c r="P9" s="10">
        <f t="shared" si="2"/>
        <v>0</v>
      </c>
    </row>
    <row r="10" spans="1:16" x14ac:dyDescent="0.25">
      <c r="B10" s="2">
        <v>43709</v>
      </c>
      <c r="C10" s="2"/>
      <c r="D10">
        <f>SUMIFS(Compta!F:F,Compta!$B:$B,"&gt;="&amp;$B10,Compta!$B:$B,"&lt;"&amp;$B11)*-1</f>
        <v>0</v>
      </c>
      <c r="E10">
        <f>SUMIFS(Compta!G:G,Compta!$B:$B,"&gt;="&amp;$B10,Compta!$B:$B,"&lt;"&amp;$B11)</f>
        <v>0</v>
      </c>
      <c r="F10" s="10">
        <f t="shared" si="3"/>
        <v>0</v>
      </c>
      <c r="H10" s="10">
        <f>SUMIFS(Banque!I:I,Banque!$C:$C,"&gt;="&amp;$B10,Banque!$C:$C,"&lt;"&amp;$B11,Banque!$D:$D,"=1",Banque!$F:$F,"&lt;&gt;TVA")*-1</f>
        <v>0</v>
      </c>
      <c r="I10" s="10">
        <f>SUMIFS(Banque!J:J,Banque!$C:$C,"&gt;="&amp;$B10,Banque!$C:$C,"&lt;"&amp;$B11,Banque!$D:$D,"=1",Banque!$F:$F,"&lt;&gt;TVA")</f>
        <v>0</v>
      </c>
      <c r="J10" s="10">
        <f>SUMIFS(Compta!F:F,Compta!$A:$A,"&gt;="&amp;$B10,Compta!$A:$A,"&lt;"&amp;$B11)*-1</f>
        <v>0</v>
      </c>
      <c r="K10" s="10">
        <f>SUMIFS(Compta!G:G,Compta!$A:$A,"&gt;="&amp;$B10,Compta!$A:$A,"&lt;"&amp;$B11)</f>
        <v>0</v>
      </c>
      <c r="L10" s="10">
        <f t="shared" si="4"/>
        <v>0</v>
      </c>
      <c r="N10" s="10">
        <f t="shared" si="0"/>
        <v>0</v>
      </c>
      <c r="O10" s="10">
        <f t="shared" si="1"/>
        <v>0</v>
      </c>
      <c r="P10" s="10">
        <f t="shared" si="2"/>
        <v>0</v>
      </c>
    </row>
    <row r="11" spans="1:16" x14ac:dyDescent="0.25">
      <c r="B11" s="2">
        <v>43739</v>
      </c>
      <c r="C11" s="2"/>
      <c r="D11">
        <f>SUMIFS(Compta!F:F,Compta!$B:$B,"&gt;="&amp;$B11,Compta!$B:$B,"&lt;"&amp;$B12)*-1</f>
        <v>0</v>
      </c>
      <c r="E11">
        <f>SUMIFS(Compta!G:G,Compta!$B:$B,"&gt;="&amp;$B11,Compta!$B:$B,"&lt;"&amp;$B12)</f>
        <v>0</v>
      </c>
      <c r="F11" s="10">
        <f t="shared" si="3"/>
        <v>0</v>
      </c>
      <c r="H11" s="10">
        <f>SUMIFS(Banque!I:I,Banque!$C:$C,"&gt;="&amp;$B11,Banque!$C:$C,"&lt;"&amp;$B12,Banque!$D:$D,"=1",Banque!$F:$F,"&lt;&gt;TVA")*-1</f>
        <v>0</v>
      </c>
      <c r="I11" s="10">
        <f>SUMIFS(Banque!J:J,Banque!$C:$C,"&gt;="&amp;$B11,Banque!$C:$C,"&lt;"&amp;$B12,Banque!$D:$D,"=1",Banque!$F:$F,"&lt;&gt;TVA")</f>
        <v>0</v>
      </c>
      <c r="J11" s="10">
        <f>SUMIFS(Compta!F:F,Compta!$A:$A,"&gt;="&amp;$B11,Compta!$A:$A,"&lt;"&amp;$B12)*-1</f>
        <v>0</v>
      </c>
      <c r="K11" s="10">
        <f>SUMIFS(Compta!G:G,Compta!$A:$A,"&gt;="&amp;$B11,Compta!$A:$A,"&lt;"&amp;$B12)</f>
        <v>0</v>
      </c>
      <c r="L11" s="10">
        <f t="shared" si="4"/>
        <v>0</v>
      </c>
      <c r="N11" s="10">
        <f t="shared" si="0"/>
        <v>0</v>
      </c>
      <c r="O11" s="10">
        <f t="shared" si="1"/>
        <v>0</v>
      </c>
      <c r="P11" s="10">
        <f t="shared" si="2"/>
        <v>0</v>
      </c>
    </row>
    <row r="12" spans="1:16" x14ac:dyDescent="0.25">
      <c r="B12" s="2">
        <v>43770</v>
      </c>
      <c r="C12" s="2"/>
      <c r="D12">
        <f>SUMIFS(Compta!F:F,Compta!$B:$B,"&gt;="&amp;$B12,Compta!$B:$B,"&lt;"&amp;$B13)*-1</f>
        <v>0</v>
      </c>
      <c r="E12">
        <f>SUMIFS(Compta!G:G,Compta!$B:$B,"&gt;="&amp;$B12,Compta!$B:$B,"&lt;"&amp;$B13)</f>
        <v>0</v>
      </c>
      <c r="F12" s="10">
        <f t="shared" si="3"/>
        <v>0</v>
      </c>
      <c r="H12" s="10">
        <f>SUMIFS(Banque!I:I,Banque!$C:$C,"&gt;="&amp;$B12,Banque!$C:$C,"&lt;"&amp;$B13,Banque!$D:$D,"=1",Banque!$F:$F,"&lt;&gt;TVA")*-1</f>
        <v>0</v>
      </c>
      <c r="I12" s="10">
        <f>SUMIFS(Banque!J:J,Banque!$C:$C,"&gt;="&amp;$B12,Banque!$C:$C,"&lt;"&amp;$B13,Banque!$D:$D,"=1",Banque!$F:$F,"&lt;&gt;TVA")</f>
        <v>0</v>
      </c>
      <c r="J12" s="10">
        <f>SUMIFS(Compta!F:F,Compta!$A:$A,"&gt;="&amp;$B12,Compta!$A:$A,"&lt;"&amp;$B13)*-1</f>
        <v>0</v>
      </c>
      <c r="K12" s="10">
        <f>SUMIFS(Compta!G:G,Compta!$A:$A,"&gt;="&amp;$B12,Compta!$A:$A,"&lt;"&amp;$B13)</f>
        <v>0</v>
      </c>
      <c r="L12" s="10">
        <f t="shared" si="4"/>
        <v>0</v>
      </c>
      <c r="N12" s="10">
        <f t="shared" si="0"/>
        <v>0</v>
      </c>
      <c r="O12" s="10">
        <f t="shared" si="1"/>
        <v>0</v>
      </c>
      <c r="P12" s="10">
        <f t="shared" si="2"/>
        <v>0</v>
      </c>
    </row>
    <row r="13" spans="1:16" x14ac:dyDescent="0.25">
      <c r="B13" s="2">
        <v>43800</v>
      </c>
      <c r="C13" s="2"/>
      <c r="D13">
        <f>SUMIFS(Compta!F:F,Compta!$B:$B,"&gt;="&amp;$B13,Compta!$B:$B,"&lt;"&amp;$B14)*-1</f>
        <v>0</v>
      </c>
      <c r="E13">
        <f>SUMIFS(Compta!G:G,Compta!$B:$B,"&gt;="&amp;$B13,Compta!$B:$B,"&lt;"&amp;$B14)</f>
        <v>0</v>
      </c>
      <c r="F13" s="10">
        <f t="shared" si="3"/>
        <v>0</v>
      </c>
      <c r="H13" s="10">
        <f>SUMIFS(Banque!I:I,Banque!$C:$C,"&gt;="&amp;$B13,Banque!$C:$C,"&lt;"&amp;$B14,Banque!$D:$D,"=1",Banque!$F:$F,"&lt;&gt;TVA")*-1</f>
        <v>0</v>
      </c>
      <c r="I13" s="10">
        <f>SUMIFS(Banque!J:J,Banque!$C:$C,"&gt;="&amp;$B13,Banque!$C:$C,"&lt;"&amp;$B14,Banque!$D:$D,"=1",Banque!$F:$F,"&lt;&gt;TVA")</f>
        <v>0</v>
      </c>
      <c r="J13" s="10">
        <f>SUMIFS(Compta!F:F,Compta!$A:$A,"&gt;="&amp;$B13,Compta!$A:$A,"&lt;"&amp;$B14)*-1</f>
        <v>0</v>
      </c>
      <c r="K13" s="10">
        <f>SUMIFS(Compta!G:G,Compta!$A:$A,"&gt;="&amp;$B13,Compta!$A:$A,"&lt;"&amp;$B14)</f>
        <v>0</v>
      </c>
      <c r="L13" s="10">
        <f t="shared" si="4"/>
        <v>0</v>
      </c>
      <c r="N13" s="10">
        <f t="shared" si="0"/>
        <v>0</v>
      </c>
      <c r="O13" s="10">
        <f t="shared" si="1"/>
        <v>0</v>
      </c>
      <c r="P13" s="10">
        <f t="shared" si="2"/>
        <v>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Feuil6"/>
  <dimension ref="A1:B1"/>
  <sheetViews>
    <sheetView workbookViewId="0"/>
  </sheetViews>
  <sheetFormatPr baseColWidth="10" defaultRowHeight="15" x14ac:dyDescent="0.25"/>
  <sheetData>
    <row r="1" spans="1:2" x14ac:dyDescent="0.25">
      <c r="A1" t="s">
        <v>272</v>
      </c>
      <c r="B1">
        <v>1.2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7</vt:i4>
      </vt:variant>
      <vt:variant>
        <vt:lpstr>Plages nommées</vt:lpstr>
      </vt:variant>
      <vt:variant>
        <vt:i4>1</vt:i4>
      </vt:variant>
    </vt:vector>
  </HeadingPairs>
  <TitlesOfParts>
    <vt:vector size="8" baseType="lpstr">
      <vt:lpstr>Commandes</vt:lpstr>
      <vt:lpstr>Banque</vt:lpstr>
      <vt:lpstr>Compta</vt:lpstr>
      <vt:lpstr>tab</vt:lpstr>
      <vt:lpstr>Balance</vt:lpstr>
      <vt:lpstr>Analyse</vt:lpstr>
      <vt:lpstr>Data</vt:lpstr>
      <vt:lpstr>TVA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MFB</dc:creator>
  <cp:lastModifiedBy>MFB</cp:lastModifiedBy>
  <dcterms:created xsi:type="dcterms:W3CDTF">2019-04-01T19:22:40Z</dcterms:created>
  <dcterms:modified xsi:type="dcterms:W3CDTF">2019-06-10T09:01:07Z</dcterms:modified>
</cp:coreProperties>
</file>