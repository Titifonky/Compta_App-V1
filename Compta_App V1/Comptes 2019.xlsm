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29" codeName="{54D0D2CB-4C12-4D6E-6EDF-ACB5E8E520A3}"/>
  <workbookPr codeName="ThisWorkbook"/>
  <mc:AlternateContent xmlns:mc="http://schemas.openxmlformats.org/markup-compatibility/2006">
    <mc:Choice Requires="x15">
      <x15ac:absPath xmlns:x15ac="http://schemas.microsoft.com/office/spreadsheetml/2010/11/ac" url="E:\Mes documents\Projets Visual Studio\Compta_App-V1\Compta_App V1\"/>
    </mc:Choice>
  </mc:AlternateContent>
  <xr:revisionPtr revIDLastSave="0" documentId="13_ncr:1_{28712B16-C683-4010-93BE-4B758CAEB2C0}" xr6:coauthVersionLast="43" xr6:coauthVersionMax="43" xr10:uidLastSave="{00000000-0000-0000-0000-000000000000}"/>
  <bookViews>
    <workbookView xWindow="-120" yWindow="-120" windowWidth="29040" windowHeight="15840" activeTab="3" xr2:uid="{00000000-000D-0000-FFFF-FFFF00000000}"/>
  </bookViews>
  <sheets>
    <sheet name="Banque (2)" sheetId="11" r:id="rId1"/>
    <sheet name="Commandes" sheetId="3" r:id="rId2"/>
    <sheet name="Banque" sheetId="1" r:id="rId3"/>
    <sheet name="Compta" sheetId="2" r:id="rId4"/>
    <sheet name="tab" sheetId="10" r:id="rId5"/>
    <sheet name="Balance" sheetId="4" r:id="rId6"/>
    <sheet name="Analyse" sheetId="5" r:id="rId7"/>
    <sheet name="Data" sheetId="6" r:id="rId8"/>
  </sheets>
  <definedNames>
    <definedName name="_xlnm._FilterDatabase" localSheetId="5" hidden="1">Balance!$A$1:$I$133</definedName>
    <definedName name="_xlnm._FilterDatabase" localSheetId="2" hidden="1">Banque!$A$1:$K$359</definedName>
    <definedName name="_xlnm._FilterDatabase" localSheetId="0" hidden="1">'Banque (2)'!$A$1:$I$351</definedName>
    <definedName name="_xlnm._FilterDatabase" localSheetId="3" hidden="1">Compta!$A$1:$G$183</definedName>
    <definedName name="TVA">Data!$B$1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G351" i="11" l="1"/>
  <c r="AB351" i="11"/>
  <c r="AA351" i="11"/>
  <c r="AG350" i="11"/>
  <c r="AB350" i="11"/>
  <c r="AA350" i="11"/>
  <c r="AG349" i="11"/>
  <c r="AB349" i="11"/>
  <c r="AA349" i="11"/>
  <c r="AG348" i="11"/>
  <c r="AB348" i="11"/>
  <c r="AA348" i="11"/>
  <c r="AG347" i="11"/>
  <c r="AB347" i="11"/>
  <c r="AA347" i="11"/>
  <c r="AG346" i="11"/>
  <c r="AB346" i="11"/>
  <c r="AA346" i="11"/>
  <c r="AG345" i="11"/>
  <c r="AB345" i="11"/>
  <c r="AA345" i="11"/>
  <c r="AG344" i="11"/>
  <c r="AB344" i="11"/>
  <c r="AA344" i="11"/>
  <c r="AG343" i="11"/>
  <c r="AB343" i="11"/>
  <c r="AA343" i="11"/>
  <c r="AG342" i="11"/>
  <c r="AB342" i="11"/>
  <c r="AA342" i="11"/>
  <c r="AG341" i="11"/>
  <c r="AB341" i="11"/>
  <c r="AA341" i="11"/>
  <c r="AG340" i="11"/>
  <c r="AB340" i="11"/>
  <c r="AA340" i="11"/>
  <c r="AG339" i="11"/>
  <c r="AB339" i="11"/>
  <c r="AA339" i="11"/>
  <c r="AG338" i="11"/>
  <c r="AB338" i="11"/>
  <c r="AA338" i="11"/>
  <c r="AG337" i="11"/>
  <c r="AB337" i="11"/>
  <c r="AA337" i="11"/>
  <c r="AG336" i="11"/>
  <c r="AB336" i="11"/>
  <c r="AA336" i="11"/>
  <c r="AG335" i="11"/>
  <c r="AB335" i="11"/>
  <c r="AA335" i="11"/>
  <c r="AG334" i="11"/>
  <c r="AB334" i="11"/>
  <c r="AA334" i="11"/>
  <c r="AG333" i="11"/>
  <c r="AB333" i="11"/>
  <c r="AA333" i="11"/>
  <c r="AG332" i="11"/>
  <c r="AB332" i="11"/>
  <c r="AA332" i="11"/>
  <c r="AG331" i="11"/>
  <c r="AB331" i="11"/>
  <c r="AA331" i="11"/>
  <c r="AG330" i="11"/>
  <c r="AB330" i="11"/>
  <c r="AA330" i="11"/>
  <c r="AG329" i="11"/>
  <c r="AB329" i="11"/>
  <c r="AA329" i="11"/>
  <c r="AG328" i="11"/>
  <c r="AB328" i="11"/>
  <c r="AA328" i="11"/>
  <c r="AG327" i="11"/>
  <c r="AB327" i="11"/>
  <c r="AA327" i="11"/>
  <c r="AG326" i="11"/>
  <c r="AB326" i="11"/>
  <c r="AA326" i="11"/>
  <c r="AG325" i="11"/>
  <c r="AB325" i="11"/>
  <c r="AA325" i="11"/>
  <c r="AG324" i="11"/>
  <c r="AB324" i="11"/>
  <c r="AA324" i="11"/>
  <c r="AG323" i="11"/>
  <c r="AB323" i="11"/>
  <c r="AA323" i="11"/>
  <c r="AG322" i="11"/>
  <c r="AB322" i="11"/>
  <c r="AA322" i="11"/>
  <c r="AG321" i="11"/>
  <c r="AB321" i="11"/>
  <c r="AA321" i="11"/>
  <c r="AG320" i="11"/>
  <c r="AB320" i="11"/>
  <c r="AA320" i="11"/>
  <c r="AG319" i="11"/>
  <c r="AB319" i="11"/>
  <c r="AA319" i="11"/>
  <c r="AG318" i="11"/>
  <c r="AB318" i="11"/>
  <c r="AA318" i="11"/>
  <c r="AG317" i="11"/>
  <c r="AB317" i="11"/>
  <c r="AA317" i="11"/>
  <c r="AG316" i="11"/>
  <c r="AB316" i="11"/>
  <c r="AA316" i="11"/>
  <c r="AG315" i="11"/>
  <c r="AB315" i="11"/>
  <c r="AA315" i="11"/>
  <c r="AG314" i="11"/>
  <c r="AB314" i="11"/>
  <c r="AA314" i="11"/>
  <c r="AG313" i="11"/>
  <c r="AB313" i="11"/>
  <c r="AA313" i="11"/>
  <c r="AG312" i="11"/>
  <c r="AB312" i="11"/>
  <c r="AA312" i="11"/>
  <c r="AG311" i="11"/>
  <c r="AB311" i="11"/>
  <c r="AA311" i="11"/>
  <c r="AG310" i="11"/>
  <c r="AB310" i="11"/>
  <c r="AA310" i="11"/>
  <c r="AG309" i="11"/>
  <c r="AB309" i="11"/>
  <c r="AA309" i="11"/>
  <c r="AG308" i="11"/>
  <c r="AB308" i="11"/>
  <c r="AA308" i="11"/>
  <c r="AG307" i="11"/>
  <c r="AB307" i="11"/>
  <c r="AA307" i="11"/>
  <c r="AG306" i="11"/>
  <c r="AB306" i="11"/>
  <c r="AA306" i="11"/>
  <c r="AG305" i="11"/>
  <c r="AB305" i="11"/>
  <c r="AA305" i="11"/>
  <c r="AG304" i="11"/>
  <c r="AB304" i="11"/>
  <c r="AA304" i="11"/>
  <c r="AG303" i="11"/>
  <c r="AB303" i="11"/>
  <c r="AA303" i="11"/>
  <c r="AG302" i="11"/>
  <c r="AB302" i="11"/>
  <c r="AA302" i="11"/>
  <c r="AG301" i="11"/>
  <c r="AB301" i="11"/>
  <c r="AA301" i="11"/>
  <c r="AG300" i="11"/>
  <c r="AB300" i="11"/>
  <c r="AA300" i="11"/>
  <c r="AG299" i="11"/>
  <c r="AB299" i="11"/>
  <c r="AA299" i="11"/>
  <c r="AG298" i="11"/>
  <c r="AB298" i="11"/>
  <c r="AA298" i="11"/>
  <c r="AG297" i="11"/>
  <c r="AB297" i="11"/>
  <c r="AA297" i="11"/>
  <c r="AG296" i="11"/>
  <c r="AB296" i="11"/>
  <c r="AA296" i="11"/>
  <c r="AG295" i="11"/>
  <c r="AB295" i="11"/>
  <c r="AA295" i="11"/>
  <c r="AG294" i="11"/>
  <c r="AB294" i="11"/>
  <c r="AA294" i="11"/>
  <c r="AG293" i="11"/>
  <c r="AB293" i="11"/>
  <c r="AA293" i="11"/>
  <c r="AG292" i="11"/>
  <c r="AB292" i="11"/>
  <c r="AA292" i="11"/>
  <c r="AG291" i="11"/>
  <c r="AB291" i="11"/>
  <c r="AA291" i="11"/>
  <c r="AG290" i="11"/>
  <c r="AB290" i="11"/>
  <c r="AA290" i="11"/>
  <c r="AG289" i="11"/>
  <c r="AB289" i="11"/>
  <c r="AA289" i="11"/>
  <c r="AG288" i="11"/>
  <c r="AB288" i="11"/>
  <c r="AA288" i="11"/>
  <c r="AG287" i="11"/>
  <c r="AB287" i="11"/>
  <c r="AA287" i="11"/>
  <c r="AG286" i="11"/>
  <c r="AB286" i="11"/>
  <c r="AA286" i="11"/>
  <c r="AG285" i="11"/>
  <c r="AB285" i="11"/>
  <c r="AA285" i="11"/>
  <c r="AG284" i="11"/>
  <c r="AB284" i="11"/>
  <c r="AA284" i="11"/>
  <c r="AG283" i="11"/>
  <c r="AB283" i="11"/>
  <c r="AA283" i="11"/>
  <c r="AG282" i="11"/>
  <c r="AB282" i="11"/>
  <c r="AA282" i="11"/>
  <c r="AG281" i="11"/>
  <c r="AB281" i="11"/>
  <c r="AA281" i="11"/>
  <c r="AG280" i="11"/>
  <c r="AB280" i="11"/>
  <c r="AA280" i="11"/>
  <c r="AG279" i="11"/>
  <c r="AB279" i="11"/>
  <c r="AA279" i="11"/>
  <c r="AG278" i="11"/>
  <c r="AB278" i="11"/>
  <c r="AA278" i="11"/>
  <c r="AG277" i="11"/>
  <c r="AB277" i="11"/>
  <c r="AA277" i="11"/>
  <c r="AG276" i="11"/>
  <c r="AB276" i="11"/>
  <c r="AA276" i="11"/>
  <c r="AG275" i="11"/>
  <c r="AB275" i="11"/>
  <c r="AA275" i="11"/>
  <c r="AG274" i="11"/>
  <c r="AB274" i="11"/>
  <c r="AA274" i="11"/>
  <c r="AG273" i="11"/>
  <c r="AB273" i="11"/>
  <c r="AA273" i="11"/>
  <c r="AG272" i="11"/>
  <c r="AB272" i="11"/>
  <c r="AA272" i="11"/>
  <c r="AG271" i="11"/>
  <c r="AB271" i="11"/>
  <c r="AA271" i="11"/>
  <c r="AG270" i="11"/>
  <c r="AB270" i="11"/>
  <c r="AA270" i="11"/>
  <c r="AG269" i="11"/>
  <c r="AB269" i="11"/>
  <c r="AA269" i="11"/>
  <c r="AG268" i="11"/>
  <c r="AB268" i="11"/>
  <c r="AA268" i="11"/>
  <c r="AG267" i="11"/>
  <c r="AB267" i="11"/>
  <c r="AA267" i="11"/>
  <c r="AG266" i="11"/>
  <c r="AB266" i="11"/>
  <c r="AA266" i="11"/>
  <c r="AG265" i="11"/>
  <c r="AB265" i="11"/>
  <c r="AA265" i="11"/>
  <c r="AG264" i="11"/>
  <c r="AB264" i="11"/>
  <c r="AA264" i="11"/>
  <c r="AG263" i="11"/>
  <c r="AB263" i="11"/>
  <c r="AA263" i="11"/>
  <c r="AG262" i="11"/>
  <c r="AB262" i="11"/>
  <c r="AA262" i="11"/>
  <c r="AG261" i="11"/>
  <c r="AB261" i="11"/>
  <c r="AA261" i="11"/>
  <c r="AG260" i="11"/>
  <c r="AB260" i="11"/>
  <c r="AA260" i="11"/>
  <c r="AG259" i="11"/>
  <c r="AB259" i="11"/>
  <c r="AA259" i="11"/>
  <c r="AG258" i="11"/>
  <c r="AB258" i="11"/>
  <c r="AA258" i="11"/>
  <c r="AG257" i="11"/>
  <c r="AB257" i="11"/>
  <c r="AA257" i="11"/>
  <c r="AG256" i="11"/>
  <c r="AB256" i="11"/>
  <c r="AA256" i="11"/>
  <c r="AG255" i="11"/>
  <c r="AB255" i="11"/>
  <c r="AA255" i="11"/>
  <c r="AG254" i="11"/>
  <c r="AB254" i="11"/>
  <c r="AA254" i="11"/>
  <c r="AG253" i="11"/>
  <c r="AB253" i="11"/>
  <c r="AA253" i="11"/>
  <c r="AG252" i="11"/>
  <c r="AB252" i="11"/>
  <c r="AA252" i="11"/>
  <c r="AG251" i="11"/>
  <c r="AB251" i="11"/>
  <c r="AA251" i="11"/>
  <c r="AG250" i="11"/>
  <c r="AB250" i="11"/>
  <c r="AA250" i="11"/>
  <c r="AG249" i="11"/>
  <c r="AB249" i="11"/>
  <c r="AA249" i="11"/>
  <c r="AG248" i="11"/>
  <c r="AB248" i="11"/>
  <c r="AA248" i="11"/>
  <c r="AG247" i="11"/>
  <c r="AB247" i="11"/>
  <c r="AA247" i="11"/>
  <c r="AG246" i="11"/>
  <c r="AB246" i="11"/>
  <c r="AA246" i="11"/>
  <c r="AG245" i="11"/>
  <c r="AB245" i="11"/>
  <c r="AA245" i="11"/>
  <c r="AG244" i="11"/>
  <c r="AB244" i="11"/>
  <c r="AA244" i="11"/>
  <c r="AG243" i="11"/>
  <c r="AB243" i="11"/>
  <c r="AA243" i="11"/>
  <c r="AG242" i="11"/>
  <c r="AB242" i="11"/>
  <c r="AA242" i="11"/>
  <c r="AG241" i="11"/>
  <c r="AB241" i="11"/>
  <c r="AA241" i="11"/>
  <c r="AG240" i="11"/>
  <c r="AB240" i="11"/>
  <c r="AA240" i="11"/>
  <c r="AG239" i="11"/>
  <c r="AB239" i="11"/>
  <c r="AA239" i="11"/>
  <c r="AG238" i="11"/>
  <c r="AB238" i="11"/>
  <c r="AA238" i="11"/>
  <c r="AG237" i="11"/>
  <c r="AB237" i="11"/>
  <c r="AA237" i="11"/>
  <c r="AG236" i="11"/>
  <c r="AB236" i="11"/>
  <c r="AA236" i="11"/>
  <c r="AG235" i="11"/>
  <c r="AB235" i="11"/>
  <c r="AA235" i="11"/>
  <c r="AG234" i="11"/>
  <c r="AB234" i="11"/>
  <c r="AA234" i="11"/>
  <c r="AG233" i="11"/>
  <c r="AB233" i="11"/>
  <c r="AA233" i="11"/>
  <c r="AG232" i="11"/>
  <c r="AB232" i="11"/>
  <c r="AA232" i="11"/>
  <c r="AG231" i="11"/>
  <c r="AB231" i="11"/>
  <c r="AA231" i="11"/>
  <c r="AG230" i="11"/>
  <c r="AB230" i="11"/>
  <c r="AA230" i="11"/>
  <c r="AG229" i="11"/>
  <c r="AB229" i="11"/>
  <c r="AA229" i="11"/>
  <c r="AG228" i="11"/>
  <c r="AB228" i="11"/>
  <c r="AA228" i="11"/>
  <c r="AG227" i="11"/>
  <c r="AB227" i="11"/>
  <c r="AA227" i="11"/>
  <c r="AG226" i="11"/>
  <c r="AB226" i="11"/>
  <c r="AA226" i="11"/>
  <c r="AG225" i="11"/>
  <c r="AB225" i="11"/>
  <c r="AA225" i="11"/>
  <c r="AG224" i="11"/>
  <c r="AB224" i="11"/>
  <c r="AA224" i="11"/>
  <c r="AG223" i="11"/>
  <c r="AB223" i="11"/>
  <c r="AA223" i="11"/>
  <c r="AG222" i="11"/>
  <c r="AB222" i="11"/>
  <c r="AA222" i="11"/>
  <c r="AG221" i="11"/>
  <c r="AB221" i="11"/>
  <c r="AA221" i="11"/>
  <c r="AG220" i="11"/>
  <c r="AB220" i="11"/>
  <c r="AA220" i="11"/>
  <c r="AG219" i="11"/>
  <c r="AB219" i="11"/>
  <c r="AA219" i="11"/>
  <c r="AG218" i="11"/>
  <c r="AB218" i="11"/>
  <c r="AA218" i="11"/>
  <c r="AG217" i="11"/>
  <c r="AB217" i="11"/>
  <c r="AA217" i="11"/>
  <c r="AG216" i="11"/>
  <c r="AB216" i="11"/>
  <c r="AA216" i="11"/>
  <c r="AG215" i="11"/>
  <c r="AB215" i="11"/>
  <c r="AA215" i="11"/>
  <c r="AG214" i="11"/>
  <c r="AB214" i="11"/>
  <c r="AA214" i="11"/>
  <c r="AG213" i="11"/>
  <c r="AB213" i="11"/>
  <c r="AA213" i="11"/>
  <c r="AG212" i="11"/>
  <c r="AB212" i="11"/>
  <c r="AA212" i="11"/>
  <c r="AG211" i="11"/>
  <c r="AB211" i="11"/>
  <c r="AA211" i="11"/>
  <c r="AG210" i="11"/>
  <c r="AB210" i="11"/>
  <c r="AA210" i="11"/>
  <c r="AG209" i="11"/>
  <c r="AB209" i="11"/>
  <c r="AA209" i="11"/>
  <c r="AG208" i="11"/>
  <c r="AB208" i="11"/>
  <c r="AA208" i="11"/>
  <c r="AG207" i="11"/>
  <c r="AB207" i="11"/>
  <c r="AA207" i="11"/>
  <c r="AG206" i="11"/>
  <c r="AB206" i="11"/>
  <c r="AA206" i="11"/>
  <c r="AG205" i="11"/>
  <c r="AB205" i="11"/>
  <c r="AA205" i="11"/>
  <c r="AG204" i="11"/>
  <c r="AB204" i="11"/>
  <c r="AA204" i="11"/>
  <c r="AG203" i="11"/>
  <c r="AB203" i="11"/>
  <c r="AA203" i="11"/>
  <c r="AG202" i="11"/>
  <c r="AB202" i="11"/>
  <c r="AA202" i="11"/>
  <c r="AG201" i="11"/>
  <c r="AB201" i="11"/>
  <c r="AA201" i="11"/>
  <c r="AG200" i="11"/>
  <c r="AB200" i="11"/>
  <c r="AA200" i="11"/>
  <c r="AG199" i="11"/>
  <c r="AB199" i="11"/>
  <c r="AA199" i="11"/>
  <c r="AG198" i="11"/>
  <c r="AB198" i="11"/>
  <c r="AA198" i="11"/>
  <c r="AG197" i="11"/>
  <c r="AB197" i="11"/>
  <c r="AA197" i="11"/>
  <c r="AG196" i="11"/>
  <c r="AB196" i="11"/>
  <c r="AA196" i="11"/>
  <c r="AG195" i="11"/>
  <c r="AB195" i="11"/>
  <c r="AA195" i="11"/>
  <c r="AG194" i="11"/>
  <c r="AB194" i="11"/>
  <c r="AA194" i="11"/>
  <c r="AG193" i="11"/>
  <c r="AB193" i="11"/>
  <c r="AA193" i="11"/>
  <c r="AG192" i="11"/>
  <c r="AB192" i="11"/>
  <c r="AA192" i="11"/>
  <c r="AG191" i="11"/>
  <c r="AB191" i="11"/>
  <c r="AA191" i="11"/>
  <c r="AG190" i="11"/>
  <c r="AB190" i="11"/>
  <c r="AA190" i="11"/>
  <c r="AG189" i="11"/>
  <c r="AB189" i="11"/>
  <c r="AA189" i="11"/>
  <c r="AG188" i="11"/>
  <c r="AB188" i="11"/>
  <c r="AA188" i="11"/>
  <c r="AG187" i="11"/>
  <c r="AB187" i="11"/>
  <c r="AA187" i="11"/>
  <c r="AG186" i="11"/>
  <c r="AB186" i="11"/>
  <c r="AA186" i="11"/>
  <c r="AG185" i="11"/>
  <c r="AB185" i="11"/>
  <c r="AA185" i="11"/>
  <c r="AG184" i="11"/>
  <c r="AB184" i="11"/>
  <c r="AA184" i="11"/>
  <c r="AG183" i="11"/>
  <c r="AB183" i="11"/>
  <c r="AA183" i="11"/>
  <c r="AG182" i="11"/>
  <c r="AB182" i="11"/>
  <c r="AA182" i="11"/>
  <c r="AG181" i="11"/>
  <c r="AB181" i="11"/>
  <c r="AA181" i="11"/>
  <c r="AG180" i="11"/>
  <c r="AB180" i="11"/>
  <c r="AA180" i="11"/>
  <c r="AG179" i="11"/>
  <c r="AB179" i="11"/>
  <c r="AA179" i="11"/>
  <c r="AG178" i="11"/>
  <c r="AB178" i="11"/>
  <c r="AA178" i="11"/>
  <c r="AG177" i="11"/>
  <c r="AB177" i="11"/>
  <c r="AA177" i="11"/>
  <c r="AG176" i="11"/>
  <c r="AB176" i="11"/>
  <c r="AA176" i="11"/>
  <c r="AG175" i="11"/>
  <c r="AB175" i="11"/>
  <c r="AA175" i="11"/>
  <c r="AG174" i="11"/>
  <c r="AB174" i="11"/>
  <c r="AA174" i="11"/>
  <c r="AG173" i="11"/>
  <c r="AB173" i="11"/>
  <c r="AA173" i="11"/>
  <c r="AG172" i="11"/>
  <c r="AB172" i="11"/>
  <c r="AA172" i="11"/>
  <c r="AG171" i="11"/>
  <c r="AB171" i="11"/>
  <c r="AA171" i="11"/>
  <c r="AG170" i="11"/>
  <c r="AB170" i="11"/>
  <c r="AA170" i="11"/>
  <c r="AG169" i="11"/>
  <c r="AB169" i="11"/>
  <c r="AA169" i="11"/>
  <c r="AG168" i="11"/>
  <c r="AB168" i="11"/>
  <c r="AA168" i="11"/>
  <c r="AG167" i="11"/>
  <c r="AB167" i="11"/>
  <c r="AA167" i="11"/>
  <c r="AG166" i="11"/>
  <c r="AB166" i="11"/>
  <c r="AA166" i="11"/>
  <c r="AG165" i="11"/>
  <c r="AB165" i="11"/>
  <c r="AA165" i="11"/>
  <c r="AG164" i="11"/>
  <c r="AB164" i="11"/>
  <c r="AA164" i="11"/>
  <c r="AG163" i="11"/>
  <c r="AB163" i="11"/>
  <c r="AA163" i="11"/>
  <c r="AG162" i="11"/>
  <c r="AB162" i="11"/>
  <c r="AA162" i="11"/>
  <c r="AG161" i="11"/>
  <c r="AB161" i="11"/>
  <c r="AA161" i="11"/>
  <c r="AG160" i="11"/>
  <c r="AB160" i="11"/>
  <c r="AA160" i="11"/>
  <c r="AG159" i="11"/>
  <c r="AB159" i="11"/>
  <c r="AA159" i="11"/>
  <c r="AG158" i="11"/>
  <c r="AB158" i="11"/>
  <c r="AA158" i="11"/>
  <c r="AG157" i="11"/>
  <c r="AB157" i="11"/>
  <c r="AA157" i="11"/>
  <c r="AG156" i="11"/>
  <c r="AB156" i="11"/>
  <c r="AA156" i="11"/>
  <c r="AG155" i="11"/>
  <c r="AB155" i="11"/>
  <c r="AA155" i="11"/>
  <c r="AG154" i="11"/>
  <c r="AB154" i="11"/>
  <c r="AA154" i="11"/>
  <c r="AG153" i="11"/>
  <c r="AB153" i="11"/>
  <c r="AA153" i="11"/>
  <c r="AG152" i="11"/>
  <c r="AB152" i="11"/>
  <c r="AA152" i="11"/>
  <c r="AG151" i="11"/>
  <c r="AB151" i="11"/>
  <c r="AA151" i="11"/>
  <c r="AG150" i="11"/>
  <c r="AB150" i="11"/>
  <c r="AA150" i="11"/>
  <c r="AG149" i="11"/>
  <c r="AB149" i="11"/>
  <c r="AA149" i="11"/>
  <c r="AG148" i="11"/>
  <c r="AB148" i="11"/>
  <c r="AA148" i="11"/>
  <c r="AG147" i="11"/>
  <c r="AB147" i="11"/>
  <c r="AA147" i="11"/>
  <c r="AG146" i="11"/>
  <c r="AB146" i="11"/>
  <c r="AA146" i="11"/>
  <c r="AG145" i="11"/>
  <c r="AB145" i="11"/>
  <c r="AA145" i="11"/>
  <c r="AG144" i="11"/>
  <c r="AB144" i="11"/>
  <c r="AA144" i="11"/>
  <c r="AG143" i="11"/>
  <c r="AB143" i="11"/>
  <c r="AA143" i="11"/>
  <c r="AG142" i="11"/>
  <c r="AB142" i="11"/>
  <c r="AA142" i="11"/>
  <c r="AG141" i="11"/>
  <c r="AB141" i="11"/>
  <c r="AA141" i="11"/>
  <c r="AG140" i="11"/>
  <c r="AB140" i="11"/>
  <c r="AA140" i="11"/>
  <c r="AG139" i="11"/>
  <c r="AB139" i="11"/>
  <c r="AA139" i="11"/>
  <c r="AG138" i="11"/>
  <c r="AB138" i="11"/>
  <c r="AA138" i="11"/>
  <c r="AG137" i="11"/>
  <c r="AB137" i="11"/>
  <c r="AA137" i="11"/>
  <c r="AG136" i="11"/>
  <c r="AB136" i="11"/>
  <c r="AA136" i="11"/>
  <c r="AG135" i="11"/>
  <c r="AB135" i="11"/>
  <c r="AA135" i="11"/>
  <c r="AG134" i="11"/>
  <c r="AB134" i="11"/>
  <c r="AA134" i="11"/>
  <c r="AG133" i="11"/>
  <c r="AB133" i="11"/>
  <c r="AA133" i="11"/>
  <c r="AG132" i="11"/>
  <c r="AB132" i="11"/>
  <c r="AA132" i="11"/>
  <c r="AG131" i="11"/>
  <c r="AB131" i="11"/>
  <c r="AA131" i="11"/>
  <c r="AG130" i="11"/>
  <c r="AB130" i="11"/>
  <c r="AA130" i="11"/>
  <c r="AG129" i="11"/>
  <c r="AB129" i="11"/>
  <c r="AA129" i="11"/>
  <c r="AG128" i="11"/>
  <c r="AB128" i="11"/>
  <c r="AA128" i="11"/>
  <c r="AG127" i="11"/>
  <c r="AB127" i="11"/>
  <c r="AA127" i="11"/>
  <c r="AG126" i="11"/>
  <c r="AB126" i="11"/>
  <c r="AA126" i="11"/>
  <c r="AG125" i="11"/>
  <c r="AB125" i="11"/>
  <c r="AA125" i="11"/>
  <c r="AG124" i="11"/>
  <c r="AB124" i="11"/>
  <c r="AA124" i="11"/>
  <c r="AG123" i="11"/>
  <c r="AB123" i="11"/>
  <c r="AA123" i="11"/>
  <c r="AG122" i="11"/>
  <c r="AB122" i="11"/>
  <c r="AA122" i="11"/>
  <c r="AG121" i="11"/>
  <c r="AB121" i="11"/>
  <c r="AA121" i="11"/>
  <c r="AG120" i="11"/>
  <c r="AB120" i="11"/>
  <c r="AA120" i="11"/>
  <c r="AG119" i="11"/>
  <c r="AB119" i="11"/>
  <c r="AA119" i="11"/>
  <c r="AG118" i="11"/>
  <c r="AB118" i="11"/>
  <c r="AA118" i="11"/>
  <c r="AG117" i="11"/>
  <c r="AB117" i="11"/>
  <c r="AA117" i="11"/>
  <c r="AG116" i="11"/>
  <c r="AB116" i="11"/>
  <c r="AA116" i="11"/>
  <c r="AG115" i="11"/>
  <c r="AB115" i="11"/>
  <c r="AA115" i="11"/>
  <c r="AG114" i="11"/>
  <c r="AB114" i="11"/>
  <c r="AA114" i="11"/>
  <c r="AG113" i="11"/>
  <c r="AB113" i="11"/>
  <c r="AA113" i="11"/>
  <c r="AG112" i="11"/>
  <c r="AB112" i="11"/>
  <c r="AA112" i="11"/>
  <c r="AG111" i="11"/>
  <c r="AB111" i="11"/>
  <c r="AA111" i="11"/>
  <c r="AG110" i="11"/>
  <c r="AB110" i="11"/>
  <c r="AA110" i="11"/>
  <c r="AG109" i="11"/>
  <c r="AB109" i="11"/>
  <c r="AA109" i="11"/>
  <c r="AG108" i="11"/>
  <c r="AB108" i="11"/>
  <c r="AA108" i="11"/>
  <c r="AG107" i="11"/>
  <c r="AB107" i="11"/>
  <c r="AA107" i="11"/>
  <c r="AG106" i="11"/>
  <c r="AB106" i="11"/>
  <c r="AA106" i="11"/>
  <c r="AG105" i="11"/>
  <c r="AB105" i="11"/>
  <c r="AA105" i="11"/>
  <c r="AG104" i="11"/>
  <c r="AB104" i="11"/>
  <c r="AA104" i="11"/>
  <c r="AG103" i="11"/>
  <c r="AB103" i="11"/>
  <c r="AA103" i="11"/>
  <c r="AG102" i="11"/>
  <c r="AB102" i="11"/>
  <c r="AA102" i="11"/>
  <c r="AG101" i="11"/>
  <c r="AB101" i="11"/>
  <c r="AA101" i="11"/>
  <c r="AG100" i="11"/>
  <c r="AB100" i="11"/>
  <c r="AA100" i="11"/>
  <c r="AG99" i="11"/>
  <c r="AB99" i="11"/>
  <c r="AA99" i="11"/>
  <c r="AG98" i="11"/>
  <c r="AB98" i="11"/>
  <c r="AA98" i="11"/>
  <c r="AG97" i="11"/>
  <c r="AB97" i="11"/>
  <c r="AA97" i="11"/>
  <c r="AG96" i="11"/>
  <c r="AB96" i="11"/>
  <c r="AA96" i="11"/>
  <c r="AG95" i="11"/>
  <c r="AB95" i="11"/>
  <c r="AA95" i="11"/>
  <c r="AG94" i="11"/>
  <c r="AB94" i="11"/>
  <c r="AA94" i="11"/>
  <c r="AG93" i="11"/>
  <c r="AB93" i="11"/>
  <c r="AA93" i="11"/>
  <c r="AG92" i="11"/>
  <c r="AB92" i="11"/>
  <c r="AA92" i="11"/>
  <c r="AG91" i="11"/>
  <c r="AB91" i="11"/>
  <c r="AA91" i="11"/>
  <c r="AG90" i="11"/>
  <c r="AB90" i="11"/>
  <c r="AA90" i="11"/>
  <c r="AG89" i="11"/>
  <c r="AB89" i="11"/>
  <c r="AA89" i="11"/>
  <c r="AG88" i="11"/>
  <c r="AB88" i="11"/>
  <c r="AA88" i="11"/>
  <c r="AG87" i="11"/>
  <c r="AB87" i="11"/>
  <c r="AA87" i="11"/>
  <c r="AG86" i="11"/>
  <c r="AB86" i="11"/>
  <c r="AA86" i="11"/>
  <c r="AG85" i="11"/>
  <c r="AB85" i="11"/>
  <c r="AA85" i="11"/>
  <c r="AG84" i="11"/>
  <c r="AB84" i="11"/>
  <c r="AA84" i="11"/>
  <c r="AG83" i="11"/>
  <c r="AB83" i="11"/>
  <c r="AA83" i="11"/>
  <c r="AG82" i="11"/>
  <c r="AB82" i="11"/>
  <c r="AA82" i="11"/>
  <c r="AG81" i="11"/>
  <c r="AB81" i="11"/>
  <c r="AA81" i="11"/>
  <c r="AG80" i="11"/>
  <c r="AB80" i="11"/>
  <c r="AA80" i="11"/>
  <c r="AG79" i="11"/>
  <c r="AB79" i="11"/>
  <c r="AA79" i="11"/>
  <c r="AG78" i="11"/>
  <c r="AB78" i="11"/>
  <c r="AA78" i="11"/>
  <c r="AG77" i="11"/>
  <c r="AB77" i="11"/>
  <c r="AA77" i="11"/>
  <c r="AG76" i="11"/>
  <c r="AB76" i="11"/>
  <c r="AA76" i="11"/>
  <c r="AG75" i="11"/>
  <c r="AB75" i="11"/>
  <c r="AA75" i="11"/>
  <c r="AG74" i="11"/>
  <c r="AB74" i="11"/>
  <c r="AA74" i="11"/>
  <c r="AG73" i="11"/>
  <c r="AB73" i="11"/>
  <c r="AA73" i="11"/>
  <c r="AG72" i="11"/>
  <c r="AB72" i="11"/>
  <c r="AA72" i="11"/>
  <c r="AG71" i="11"/>
  <c r="AB71" i="11"/>
  <c r="AA71" i="11"/>
  <c r="AG70" i="11"/>
  <c r="AB70" i="11"/>
  <c r="AA70" i="11"/>
  <c r="AG69" i="11"/>
  <c r="AB69" i="11"/>
  <c r="AA69" i="11"/>
  <c r="AG68" i="11"/>
  <c r="AB68" i="11"/>
  <c r="AA68" i="11"/>
  <c r="AG67" i="11"/>
  <c r="AB67" i="11"/>
  <c r="AA67" i="11"/>
  <c r="AG66" i="11"/>
  <c r="AB66" i="11"/>
  <c r="AA66" i="11"/>
  <c r="AG65" i="11"/>
  <c r="AB65" i="11"/>
  <c r="AA65" i="11"/>
  <c r="AG64" i="11"/>
  <c r="AB64" i="11"/>
  <c r="AA64" i="11"/>
  <c r="AG63" i="11"/>
  <c r="AB63" i="11"/>
  <c r="AA63" i="11"/>
  <c r="AG62" i="11"/>
  <c r="AB62" i="11"/>
  <c r="AA62" i="11"/>
  <c r="AG61" i="11"/>
  <c r="AB61" i="11"/>
  <c r="AA61" i="11"/>
  <c r="AG60" i="11"/>
  <c r="AB60" i="11"/>
  <c r="AA60" i="11"/>
  <c r="AG59" i="11"/>
  <c r="AB59" i="11"/>
  <c r="AA59" i="11"/>
  <c r="AG58" i="11"/>
  <c r="AB58" i="11"/>
  <c r="AA58" i="11"/>
  <c r="AG57" i="11"/>
  <c r="AB57" i="11"/>
  <c r="AA57" i="11"/>
  <c r="AG56" i="11"/>
  <c r="AB56" i="11"/>
  <c r="AA56" i="11"/>
  <c r="AG55" i="11"/>
  <c r="AB55" i="11"/>
  <c r="AA55" i="11"/>
  <c r="AG54" i="11"/>
  <c r="AB54" i="11"/>
  <c r="AA54" i="11"/>
  <c r="AG53" i="11"/>
  <c r="AB53" i="11"/>
  <c r="AA53" i="11"/>
  <c r="AG52" i="11"/>
  <c r="AB52" i="11"/>
  <c r="AA52" i="11"/>
  <c r="AG51" i="11"/>
  <c r="AB51" i="11"/>
  <c r="AA51" i="11"/>
  <c r="AG50" i="11"/>
  <c r="AB50" i="11"/>
  <c r="AA50" i="11"/>
  <c r="AG49" i="11"/>
  <c r="AB49" i="11"/>
  <c r="AA49" i="11"/>
  <c r="AG48" i="11"/>
  <c r="AB48" i="11"/>
  <c r="AA48" i="11"/>
  <c r="AG47" i="11"/>
  <c r="AB47" i="11"/>
  <c r="AA47" i="11"/>
  <c r="AG46" i="11"/>
  <c r="AB46" i="11"/>
  <c r="AA46" i="11"/>
  <c r="AG45" i="11"/>
  <c r="AB45" i="11"/>
  <c r="AA45" i="11"/>
  <c r="AG44" i="11"/>
  <c r="AB44" i="11"/>
  <c r="AA44" i="11"/>
  <c r="AG43" i="11"/>
  <c r="AB43" i="11"/>
  <c r="AA43" i="11"/>
  <c r="AG42" i="11"/>
  <c r="AB42" i="11"/>
  <c r="AA42" i="11"/>
  <c r="AG41" i="11"/>
  <c r="AB41" i="11"/>
  <c r="AA41" i="11"/>
  <c r="AG40" i="11"/>
  <c r="AB40" i="11"/>
  <c r="AA40" i="11"/>
  <c r="AG39" i="11"/>
  <c r="AB39" i="11"/>
  <c r="AA39" i="11"/>
  <c r="AG38" i="11"/>
  <c r="AB38" i="11"/>
  <c r="AA38" i="11"/>
  <c r="AG37" i="11"/>
  <c r="AB37" i="11"/>
  <c r="AA37" i="11"/>
  <c r="AG36" i="11"/>
  <c r="AB36" i="11"/>
  <c r="AA36" i="11"/>
  <c r="AG35" i="11"/>
  <c r="AB35" i="11"/>
  <c r="AA35" i="11"/>
  <c r="AG34" i="11"/>
  <c r="AB34" i="11"/>
  <c r="AA34" i="11"/>
  <c r="AG33" i="11"/>
  <c r="AB33" i="11"/>
  <c r="AA33" i="11"/>
  <c r="AG32" i="11"/>
  <c r="AB32" i="11"/>
  <c r="AA32" i="11"/>
  <c r="AG31" i="11"/>
  <c r="AB31" i="11"/>
  <c r="AA31" i="11"/>
  <c r="AG30" i="11"/>
  <c r="AB30" i="11"/>
  <c r="AA30" i="11"/>
  <c r="AG29" i="11"/>
  <c r="AB29" i="11"/>
  <c r="AA29" i="11"/>
  <c r="AG28" i="11"/>
  <c r="AB28" i="11"/>
  <c r="AA28" i="11"/>
  <c r="AG27" i="11"/>
  <c r="AB27" i="11"/>
  <c r="AA27" i="11"/>
  <c r="AG26" i="11"/>
  <c r="AB26" i="11"/>
  <c r="AA26" i="11"/>
  <c r="AG25" i="11"/>
  <c r="AB25" i="11"/>
  <c r="AA25" i="11"/>
  <c r="AG24" i="11"/>
  <c r="AB24" i="11"/>
  <c r="AA24" i="11"/>
  <c r="AG23" i="11"/>
  <c r="AB23" i="11"/>
  <c r="AA23" i="11"/>
  <c r="AG22" i="11"/>
  <c r="AB22" i="11"/>
  <c r="AA22" i="11"/>
  <c r="AG21" i="11"/>
  <c r="AB21" i="11"/>
  <c r="AA21" i="11"/>
  <c r="AG20" i="11"/>
  <c r="AB20" i="11"/>
  <c r="AA20" i="11"/>
  <c r="AG19" i="11"/>
  <c r="AB19" i="11"/>
  <c r="AA19" i="11"/>
  <c r="AG18" i="11"/>
  <c r="AB18" i="11"/>
  <c r="AA18" i="11"/>
  <c r="AG17" i="11"/>
  <c r="AB17" i="11"/>
  <c r="AA17" i="11"/>
  <c r="AG16" i="11"/>
  <c r="AB16" i="11"/>
  <c r="AA16" i="11"/>
  <c r="AG15" i="11"/>
  <c r="AB15" i="11"/>
  <c r="AA15" i="11"/>
  <c r="AG14" i="11"/>
  <c r="AB14" i="11"/>
  <c r="AA14" i="11"/>
  <c r="AG13" i="11"/>
  <c r="AB13" i="11"/>
  <c r="AA13" i="11"/>
  <c r="AG12" i="11"/>
  <c r="AB12" i="11"/>
  <c r="AA12" i="11"/>
  <c r="AG11" i="11"/>
  <c r="AB11" i="11"/>
  <c r="AA11" i="11"/>
  <c r="AG10" i="11"/>
  <c r="AB10" i="11"/>
  <c r="AA10" i="11"/>
  <c r="AG9" i="11"/>
  <c r="AB9" i="11"/>
  <c r="AA9" i="11"/>
  <c r="AG8" i="11"/>
  <c r="AB8" i="11"/>
  <c r="AA8" i="11"/>
  <c r="AG7" i="11"/>
  <c r="AB7" i="11"/>
  <c r="AA7" i="11"/>
  <c r="AG6" i="11"/>
  <c r="AB6" i="11"/>
  <c r="AA6" i="11"/>
  <c r="AG5" i="11"/>
  <c r="AB5" i="11"/>
  <c r="AA5" i="11"/>
  <c r="AG4" i="11"/>
  <c r="AB4" i="11"/>
  <c r="AA4" i="11"/>
  <c r="AG3" i="11"/>
  <c r="AB3" i="11"/>
  <c r="AA3" i="11"/>
  <c r="AG2" i="11"/>
  <c r="AB2" i="11"/>
  <c r="AA2" i="11"/>
  <c r="B3" i="11"/>
  <c r="Q3" i="11" s="1"/>
  <c r="AF3" i="11" s="1"/>
  <c r="B4" i="11"/>
  <c r="Q4" i="11" s="1"/>
  <c r="AF4" i="11" s="1"/>
  <c r="B5" i="11"/>
  <c r="Q5" i="11" s="1"/>
  <c r="AF5" i="11" s="1"/>
  <c r="B6" i="11"/>
  <c r="Q6" i="11" s="1"/>
  <c r="AF6" i="11" s="1"/>
  <c r="B7" i="11"/>
  <c r="Q7" i="11" s="1"/>
  <c r="AF7" i="11" s="1"/>
  <c r="B8" i="11"/>
  <c r="Q8" i="11" s="1"/>
  <c r="AF8" i="11" s="1"/>
  <c r="B9" i="11"/>
  <c r="Q9" i="11" s="1"/>
  <c r="AF9" i="11" s="1"/>
  <c r="B10" i="11"/>
  <c r="Q10" i="11" s="1"/>
  <c r="AF10" i="11" s="1"/>
  <c r="B11" i="11"/>
  <c r="Q11" i="11" s="1"/>
  <c r="AF11" i="11" s="1"/>
  <c r="B12" i="11"/>
  <c r="Q12" i="11" s="1"/>
  <c r="AF12" i="11" s="1"/>
  <c r="B13" i="11"/>
  <c r="Q13" i="11" s="1"/>
  <c r="AF13" i="11" s="1"/>
  <c r="B14" i="11"/>
  <c r="Q14" i="11" s="1"/>
  <c r="AF14" i="11" s="1"/>
  <c r="B15" i="11"/>
  <c r="Q15" i="11" s="1"/>
  <c r="AF15" i="11" s="1"/>
  <c r="B16" i="11"/>
  <c r="Q16" i="11" s="1"/>
  <c r="AF16" i="11" s="1"/>
  <c r="B17" i="11"/>
  <c r="Q17" i="11" s="1"/>
  <c r="AF17" i="11" s="1"/>
  <c r="B18" i="11"/>
  <c r="Q18" i="11" s="1"/>
  <c r="AF18" i="11" s="1"/>
  <c r="B19" i="11"/>
  <c r="Q19" i="11" s="1"/>
  <c r="AF19" i="11" s="1"/>
  <c r="B20" i="11"/>
  <c r="Q20" i="11" s="1"/>
  <c r="AF20" i="11" s="1"/>
  <c r="B21" i="11"/>
  <c r="Q21" i="11" s="1"/>
  <c r="AF21" i="11" s="1"/>
  <c r="B22" i="11"/>
  <c r="Q22" i="11" s="1"/>
  <c r="AF22" i="11" s="1"/>
  <c r="B23" i="11"/>
  <c r="Q23" i="11" s="1"/>
  <c r="AF23" i="11" s="1"/>
  <c r="B24" i="11"/>
  <c r="Q24" i="11" s="1"/>
  <c r="AF24" i="11" s="1"/>
  <c r="B25" i="11"/>
  <c r="Q25" i="11" s="1"/>
  <c r="AF25" i="11" s="1"/>
  <c r="B26" i="11"/>
  <c r="Q26" i="11" s="1"/>
  <c r="AF26" i="11" s="1"/>
  <c r="B27" i="11"/>
  <c r="Q27" i="11" s="1"/>
  <c r="AF27" i="11" s="1"/>
  <c r="B28" i="11"/>
  <c r="Q28" i="11" s="1"/>
  <c r="AF28" i="11" s="1"/>
  <c r="B29" i="11"/>
  <c r="Q29" i="11" s="1"/>
  <c r="AF29" i="11" s="1"/>
  <c r="B30" i="11"/>
  <c r="Q30" i="11" s="1"/>
  <c r="AF30" i="11" s="1"/>
  <c r="B31" i="11"/>
  <c r="Q31" i="11" s="1"/>
  <c r="AF31" i="11" s="1"/>
  <c r="B32" i="11"/>
  <c r="Q32" i="11" s="1"/>
  <c r="AF32" i="11" s="1"/>
  <c r="B33" i="11"/>
  <c r="Q33" i="11" s="1"/>
  <c r="AF33" i="11" s="1"/>
  <c r="B34" i="11"/>
  <c r="Q34" i="11" s="1"/>
  <c r="AF34" i="11" s="1"/>
  <c r="B35" i="11"/>
  <c r="Q35" i="11" s="1"/>
  <c r="AF35" i="11" s="1"/>
  <c r="B36" i="11"/>
  <c r="Q36" i="11" s="1"/>
  <c r="AF36" i="11" s="1"/>
  <c r="B37" i="11"/>
  <c r="Q37" i="11" s="1"/>
  <c r="AF37" i="11" s="1"/>
  <c r="B38" i="11"/>
  <c r="Q38" i="11" s="1"/>
  <c r="AF38" i="11" s="1"/>
  <c r="B39" i="11"/>
  <c r="Q39" i="11" s="1"/>
  <c r="AF39" i="11" s="1"/>
  <c r="B40" i="11"/>
  <c r="Q40" i="11" s="1"/>
  <c r="AF40" i="11" s="1"/>
  <c r="B41" i="11"/>
  <c r="Q41" i="11" s="1"/>
  <c r="AF41" i="11" s="1"/>
  <c r="B42" i="11"/>
  <c r="Q42" i="11" s="1"/>
  <c r="AF42" i="11" s="1"/>
  <c r="B43" i="11"/>
  <c r="Q43" i="11" s="1"/>
  <c r="AF43" i="11" s="1"/>
  <c r="B44" i="11"/>
  <c r="Q44" i="11" s="1"/>
  <c r="AF44" i="11" s="1"/>
  <c r="B45" i="11"/>
  <c r="Q45" i="11" s="1"/>
  <c r="AF45" i="11" s="1"/>
  <c r="B46" i="11"/>
  <c r="Q46" i="11" s="1"/>
  <c r="AF46" i="11" s="1"/>
  <c r="B47" i="11"/>
  <c r="Q47" i="11" s="1"/>
  <c r="AF47" i="11" s="1"/>
  <c r="B48" i="11"/>
  <c r="Q48" i="11" s="1"/>
  <c r="AF48" i="11" s="1"/>
  <c r="B49" i="11"/>
  <c r="Q49" i="11" s="1"/>
  <c r="AF49" i="11" s="1"/>
  <c r="B50" i="11"/>
  <c r="Q50" i="11" s="1"/>
  <c r="AF50" i="11" s="1"/>
  <c r="B51" i="11"/>
  <c r="Q51" i="11" s="1"/>
  <c r="AF51" i="11" s="1"/>
  <c r="B52" i="11"/>
  <c r="Q52" i="11" s="1"/>
  <c r="AF52" i="11" s="1"/>
  <c r="B53" i="11"/>
  <c r="Q53" i="11" s="1"/>
  <c r="AF53" i="11" s="1"/>
  <c r="B54" i="11"/>
  <c r="Q54" i="11" s="1"/>
  <c r="AF54" i="11" s="1"/>
  <c r="B55" i="11"/>
  <c r="Q55" i="11" s="1"/>
  <c r="AF55" i="11" s="1"/>
  <c r="B56" i="11"/>
  <c r="Q56" i="11" s="1"/>
  <c r="AF56" i="11" s="1"/>
  <c r="B57" i="11"/>
  <c r="Q57" i="11" s="1"/>
  <c r="AF57" i="11" s="1"/>
  <c r="B58" i="11"/>
  <c r="Q58" i="11" s="1"/>
  <c r="AF58" i="11" s="1"/>
  <c r="B59" i="11"/>
  <c r="Q59" i="11" s="1"/>
  <c r="AF59" i="11" s="1"/>
  <c r="B60" i="11"/>
  <c r="Q60" i="11" s="1"/>
  <c r="AF60" i="11" s="1"/>
  <c r="B61" i="11"/>
  <c r="Q61" i="11" s="1"/>
  <c r="AF61" i="11" s="1"/>
  <c r="B62" i="11"/>
  <c r="Q62" i="11" s="1"/>
  <c r="AF62" i="11" s="1"/>
  <c r="B63" i="11"/>
  <c r="Q63" i="11" s="1"/>
  <c r="AF63" i="11" s="1"/>
  <c r="B64" i="11"/>
  <c r="Q64" i="11" s="1"/>
  <c r="AF64" i="11" s="1"/>
  <c r="B65" i="11"/>
  <c r="Q65" i="11" s="1"/>
  <c r="AF65" i="11" s="1"/>
  <c r="B66" i="11"/>
  <c r="Q66" i="11" s="1"/>
  <c r="AF66" i="11" s="1"/>
  <c r="B67" i="11"/>
  <c r="Q67" i="11" s="1"/>
  <c r="AF67" i="11" s="1"/>
  <c r="B68" i="11"/>
  <c r="Q68" i="11" s="1"/>
  <c r="AF68" i="11" s="1"/>
  <c r="B69" i="11"/>
  <c r="Q69" i="11" s="1"/>
  <c r="AF69" i="11" s="1"/>
  <c r="B70" i="11"/>
  <c r="Q70" i="11" s="1"/>
  <c r="AF70" i="11" s="1"/>
  <c r="B71" i="11"/>
  <c r="Q71" i="11" s="1"/>
  <c r="AF71" i="11" s="1"/>
  <c r="B72" i="11"/>
  <c r="Q72" i="11" s="1"/>
  <c r="AF72" i="11" s="1"/>
  <c r="B73" i="11"/>
  <c r="Q73" i="11" s="1"/>
  <c r="AF73" i="11" s="1"/>
  <c r="B74" i="11"/>
  <c r="Q74" i="11" s="1"/>
  <c r="AF74" i="11" s="1"/>
  <c r="B75" i="11"/>
  <c r="Q75" i="11" s="1"/>
  <c r="AF75" i="11" s="1"/>
  <c r="B76" i="11"/>
  <c r="Q76" i="11" s="1"/>
  <c r="AF76" i="11" s="1"/>
  <c r="B77" i="11"/>
  <c r="Q77" i="11" s="1"/>
  <c r="AF77" i="11" s="1"/>
  <c r="B78" i="11"/>
  <c r="Q78" i="11" s="1"/>
  <c r="AF78" i="11" s="1"/>
  <c r="B79" i="11"/>
  <c r="Q79" i="11" s="1"/>
  <c r="AF79" i="11" s="1"/>
  <c r="B80" i="11"/>
  <c r="Q80" i="11" s="1"/>
  <c r="AF80" i="11" s="1"/>
  <c r="B81" i="11"/>
  <c r="Q81" i="11" s="1"/>
  <c r="AF81" i="11" s="1"/>
  <c r="B82" i="11"/>
  <c r="Q82" i="11" s="1"/>
  <c r="AF82" i="11" s="1"/>
  <c r="B83" i="11"/>
  <c r="Q83" i="11" s="1"/>
  <c r="AF83" i="11" s="1"/>
  <c r="B84" i="11"/>
  <c r="Q84" i="11" s="1"/>
  <c r="AF84" i="11" s="1"/>
  <c r="B85" i="11"/>
  <c r="Q85" i="11" s="1"/>
  <c r="AF85" i="11" s="1"/>
  <c r="B86" i="11"/>
  <c r="Q86" i="11" s="1"/>
  <c r="AF86" i="11" s="1"/>
  <c r="B87" i="11"/>
  <c r="Q87" i="11" s="1"/>
  <c r="AF87" i="11" s="1"/>
  <c r="B88" i="11"/>
  <c r="Q88" i="11" s="1"/>
  <c r="AF88" i="11" s="1"/>
  <c r="B89" i="11"/>
  <c r="Q89" i="11" s="1"/>
  <c r="AF89" i="11" s="1"/>
  <c r="B90" i="11"/>
  <c r="Q90" i="11" s="1"/>
  <c r="AF90" i="11" s="1"/>
  <c r="B91" i="11"/>
  <c r="Q91" i="11" s="1"/>
  <c r="AF91" i="11" s="1"/>
  <c r="B92" i="11"/>
  <c r="Q92" i="11" s="1"/>
  <c r="AF92" i="11" s="1"/>
  <c r="B93" i="11"/>
  <c r="Q93" i="11" s="1"/>
  <c r="AF93" i="11" s="1"/>
  <c r="B94" i="11"/>
  <c r="Q94" i="11" s="1"/>
  <c r="AF94" i="11" s="1"/>
  <c r="B95" i="11"/>
  <c r="Q95" i="11" s="1"/>
  <c r="AF95" i="11" s="1"/>
  <c r="B96" i="11"/>
  <c r="Q96" i="11" s="1"/>
  <c r="AF96" i="11" s="1"/>
  <c r="B97" i="11"/>
  <c r="Q97" i="11" s="1"/>
  <c r="AF97" i="11" s="1"/>
  <c r="B98" i="11"/>
  <c r="Q98" i="11" s="1"/>
  <c r="AF98" i="11" s="1"/>
  <c r="B99" i="11"/>
  <c r="Q99" i="11" s="1"/>
  <c r="AF99" i="11" s="1"/>
  <c r="B100" i="11"/>
  <c r="Q100" i="11" s="1"/>
  <c r="AF100" i="11" s="1"/>
  <c r="B101" i="11"/>
  <c r="Q101" i="11" s="1"/>
  <c r="AF101" i="11" s="1"/>
  <c r="B102" i="11"/>
  <c r="Q102" i="11" s="1"/>
  <c r="AF102" i="11" s="1"/>
  <c r="B103" i="11"/>
  <c r="Q103" i="11" s="1"/>
  <c r="AF103" i="11" s="1"/>
  <c r="B104" i="11"/>
  <c r="Q104" i="11" s="1"/>
  <c r="AF104" i="11" s="1"/>
  <c r="B105" i="11"/>
  <c r="Q105" i="11" s="1"/>
  <c r="AF105" i="11" s="1"/>
  <c r="B106" i="11"/>
  <c r="Q106" i="11" s="1"/>
  <c r="AF106" i="11" s="1"/>
  <c r="B107" i="11"/>
  <c r="Q107" i="11" s="1"/>
  <c r="AF107" i="11" s="1"/>
  <c r="B108" i="11"/>
  <c r="Q108" i="11" s="1"/>
  <c r="AF108" i="11" s="1"/>
  <c r="B109" i="11"/>
  <c r="Q109" i="11" s="1"/>
  <c r="AF109" i="11" s="1"/>
  <c r="B110" i="11"/>
  <c r="Q110" i="11" s="1"/>
  <c r="AF110" i="11" s="1"/>
  <c r="B111" i="11"/>
  <c r="Q111" i="11" s="1"/>
  <c r="AF111" i="11" s="1"/>
  <c r="B112" i="11"/>
  <c r="Q112" i="11" s="1"/>
  <c r="AF112" i="11" s="1"/>
  <c r="B113" i="11"/>
  <c r="Q113" i="11" s="1"/>
  <c r="AF113" i="11" s="1"/>
  <c r="B114" i="11"/>
  <c r="Q114" i="11" s="1"/>
  <c r="AF114" i="11" s="1"/>
  <c r="B115" i="11"/>
  <c r="Q115" i="11" s="1"/>
  <c r="AF115" i="11" s="1"/>
  <c r="B116" i="11"/>
  <c r="Q116" i="11" s="1"/>
  <c r="AF116" i="11" s="1"/>
  <c r="B117" i="11"/>
  <c r="Q117" i="11" s="1"/>
  <c r="AF117" i="11" s="1"/>
  <c r="B118" i="11"/>
  <c r="Q118" i="11" s="1"/>
  <c r="AF118" i="11" s="1"/>
  <c r="B119" i="11"/>
  <c r="Q119" i="11" s="1"/>
  <c r="AF119" i="11" s="1"/>
  <c r="B120" i="11"/>
  <c r="Q120" i="11" s="1"/>
  <c r="AF120" i="11" s="1"/>
  <c r="B121" i="11"/>
  <c r="Q121" i="11" s="1"/>
  <c r="AF121" i="11" s="1"/>
  <c r="B122" i="11"/>
  <c r="Q122" i="11" s="1"/>
  <c r="AF122" i="11" s="1"/>
  <c r="B123" i="11"/>
  <c r="Q123" i="11" s="1"/>
  <c r="AF123" i="11" s="1"/>
  <c r="B124" i="11"/>
  <c r="Q124" i="11" s="1"/>
  <c r="AF124" i="11" s="1"/>
  <c r="B125" i="11"/>
  <c r="Q125" i="11" s="1"/>
  <c r="AF125" i="11" s="1"/>
  <c r="B126" i="11"/>
  <c r="Q126" i="11" s="1"/>
  <c r="AF126" i="11" s="1"/>
  <c r="B127" i="11"/>
  <c r="Q127" i="11" s="1"/>
  <c r="AF127" i="11" s="1"/>
  <c r="B128" i="11"/>
  <c r="Q128" i="11" s="1"/>
  <c r="AF128" i="11" s="1"/>
  <c r="B129" i="11"/>
  <c r="Q129" i="11" s="1"/>
  <c r="AF129" i="11" s="1"/>
  <c r="B130" i="11"/>
  <c r="Q130" i="11" s="1"/>
  <c r="AF130" i="11" s="1"/>
  <c r="B131" i="11"/>
  <c r="Q131" i="11" s="1"/>
  <c r="AF131" i="11" s="1"/>
  <c r="B132" i="11"/>
  <c r="Q132" i="11" s="1"/>
  <c r="AF132" i="11" s="1"/>
  <c r="B133" i="11"/>
  <c r="Q133" i="11" s="1"/>
  <c r="AF133" i="11" s="1"/>
  <c r="B134" i="11"/>
  <c r="Q134" i="11" s="1"/>
  <c r="AF134" i="11" s="1"/>
  <c r="B135" i="11"/>
  <c r="Q135" i="11" s="1"/>
  <c r="AF135" i="11" s="1"/>
  <c r="B136" i="11"/>
  <c r="Q136" i="11" s="1"/>
  <c r="AF136" i="11" s="1"/>
  <c r="B137" i="11"/>
  <c r="Q137" i="11" s="1"/>
  <c r="AF137" i="11" s="1"/>
  <c r="B138" i="11"/>
  <c r="Q138" i="11" s="1"/>
  <c r="AF138" i="11" s="1"/>
  <c r="B139" i="11"/>
  <c r="Q139" i="11" s="1"/>
  <c r="AF139" i="11" s="1"/>
  <c r="B140" i="11"/>
  <c r="Q140" i="11" s="1"/>
  <c r="AF140" i="11" s="1"/>
  <c r="B141" i="11"/>
  <c r="Q141" i="11" s="1"/>
  <c r="AF141" i="11" s="1"/>
  <c r="B142" i="11"/>
  <c r="Q142" i="11" s="1"/>
  <c r="AF142" i="11" s="1"/>
  <c r="B143" i="11"/>
  <c r="Q143" i="11" s="1"/>
  <c r="AF143" i="11" s="1"/>
  <c r="B144" i="11"/>
  <c r="Q144" i="11" s="1"/>
  <c r="AF144" i="11" s="1"/>
  <c r="B145" i="11"/>
  <c r="Q145" i="11" s="1"/>
  <c r="AF145" i="11" s="1"/>
  <c r="B146" i="11"/>
  <c r="Q146" i="11" s="1"/>
  <c r="AF146" i="11" s="1"/>
  <c r="B147" i="11"/>
  <c r="Q147" i="11" s="1"/>
  <c r="AF147" i="11" s="1"/>
  <c r="B148" i="11"/>
  <c r="Q148" i="11" s="1"/>
  <c r="AF148" i="11" s="1"/>
  <c r="B149" i="11"/>
  <c r="Q149" i="11" s="1"/>
  <c r="AF149" i="11" s="1"/>
  <c r="B150" i="11"/>
  <c r="Q150" i="11" s="1"/>
  <c r="AF150" i="11" s="1"/>
  <c r="B151" i="11"/>
  <c r="Q151" i="11" s="1"/>
  <c r="AF151" i="11" s="1"/>
  <c r="B152" i="11"/>
  <c r="Q152" i="11" s="1"/>
  <c r="AF152" i="11" s="1"/>
  <c r="B153" i="11"/>
  <c r="Q153" i="11" s="1"/>
  <c r="AF153" i="11" s="1"/>
  <c r="B154" i="11"/>
  <c r="Q154" i="11" s="1"/>
  <c r="AF154" i="11" s="1"/>
  <c r="B155" i="11"/>
  <c r="Q155" i="11" s="1"/>
  <c r="AF155" i="11" s="1"/>
  <c r="B156" i="11"/>
  <c r="Q156" i="11" s="1"/>
  <c r="AF156" i="11" s="1"/>
  <c r="B157" i="11"/>
  <c r="Q157" i="11" s="1"/>
  <c r="AF157" i="11" s="1"/>
  <c r="B158" i="11"/>
  <c r="Q158" i="11" s="1"/>
  <c r="AF158" i="11" s="1"/>
  <c r="B159" i="11"/>
  <c r="Q159" i="11" s="1"/>
  <c r="AF159" i="11" s="1"/>
  <c r="B160" i="11"/>
  <c r="Q160" i="11" s="1"/>
  <c r="AF160" i="11" s="1"/>
  <c r="B161" i="11"/>
  <c r="Q161" i="11" s="1"/>
  <c r="AF161" i="11" s="1"/>
  <c r="B162" i="11"/>
  <c r="Q162" i="11" s="1"/>
  <c r="AF162" i="11" s="1"/>
  <c r="B163" i="11"/>
  <c r="Q163" i="11" s="1"/>
  <c r="AF163" i="11" s="1"/>
  <c r="B164" i="11"/>
  <c r="Q164" i="11" s="1"/>
  <c r="AF164" i="11" s="1"/>
  <c r="B165" i="11"/>
  <c r="Q165" i="11" s="1"/>
  <c r="AF165" i="11" s="1"/>
  <c r="B166" i="11"/>
  <c r="Q166" i="11" s="1"/>
  <c r="AF166" i="11" s="1"/>
  <c r="B167" i="11"/>
  <c r="Q167" i="11" s="1"/>
  <c r="AF167" i="11" s="1"/>
  <c r="B168" i="11"/>
  <c r="Q168" i="11" s="1"/>
  <c r="AF168" i="11" s="1"/>
  <c r="B169" i="11"/>
  <c r="Q169" i="11" s="1"/>
  <c r="AF169" i="11" s="1"/>
  <c r="B170" i="11"/>
  <c r="Q170" i="11" s="1"/>
  <c r="AF170" i="11" s="1"/>
  <c r="B171" i="11"/>
  <c r="Q171" i="11" s="1"/>
  <c r="AF171" i="11" s="1"/>
  <c r="B172" i="11"/>
  <c r="Q172" i="11" s="1"/>
  <c r="AF172" i="11" s="1"/>
  <c r="B173" i="11"/>
  <c r="Q173" i="11" s="1"/>
  <c r="AF173" i="11" s="1"/>
  <c r="B174" i="11"/>
  <c r="Q174" i="11" s="1"/>
  <c r="AF174" i="11" s="1"/>
  <c r="B175" i="11"/>
  <c r="Q175" i="11" s="1"/>
  <c r="AF175" i="11" s="1"/>
  <c r="B176" i="11"/>
  <c r="Q176" i="11" s="1"/>
  <c r="AF176" i="11" s="1"/>
  <c r="B177" i="11"/>
  <c r="Q177" i="11" s="1"/>
  <c r="AF177" i="11" s="1"/>
  <c r="B178" i="11"/>
  <c r="Q178" i="11" s="1"/>
  <c r="AF178" i="11" s="1"/>
  <c r="B179" i="11"/>
  <c r="Q179" i="11" s="1"/>
  <c r="AF179" i="11" s="1"/>
  <c r="B180" i="11"/>
  <c r="Q180" i="11" s="1"/>
  <c r="AF180" i="11" s="1"/>
  <c r="B181" i="11"/>
  <c r="Q181" i="11" s="1"/>
  <c r="AF181" i="11" s="1"/>
  <c r="B182" i="11"/>
  <c r="Q182" i="11" s="1"/>
  <c r="AF182" i="11" s="1"/>
  <c r="B183" i="11"/>
  <c r="Q183" i="11" s="1"/>
  <c r="AF183" i="11" s="1"/>
  <c r="B184" i="11"/>
  <c r="Q184" i="11" s="1"/>
  <c r="AF184" i="11" s="1"/>
  <c r="B185" i="11"/>
  <c r="Q185" i="11" s="1"/>
  <c r="AF185" i="11" s="1"/>
  <c r="B186" i="11"/>
  <c r="Q186" i="11" s="1"/>
  <c r="AF186" i="11" s="1"/>
  <c r="B187" i="11"/>
  <c r="Q187" i="11" s="1"/>
  <c r="AF187" i="11" s="1"/>
  <c r="B188" i="11"/>
  <c r="Q188" i="11" s="1"/>
  <c r="AF188" i="11" s="1"/>
  <c r="B189" i="11"/>
  <c r="Q189" i="11" s="1"/>
  <c r="AF189" i="11" s="1"/>
  <c r="B190" i="11"/>
  <c r="Q190" i="11" s="1"/>
  <c r="AF190" i="11" s="1"/>
  <c r="B191" i="11"/>
  <c r="Q191" i="11" s="1"/>
  <c r="AF191" i="11" s="1"/>
  <c r="B192" i="11"/>
  <c r="Q192" i="11" s="1"/>
  <c r="AF192" i="11" s="1"/>
  <c r="B193" i="11"/>
  <c r="Q193" i="11" s="1"/>
  <c r="AF193" i="11" s="1"/>
  <c r="B194" i="11"/>
  <c r="Q194" i="11" s="1"/>
  <c r="AF194" i="11" s="1"/>
  <c r="B195" i="11"/>
  <c r="Q195" i="11" s="1"/>
  <c r="AF195" i="11" s="1"/>
  <c r="B196" i="11"/>
  <c r="Q196" i="11" s="1"/>
  <c r="AF196" i="11" s="1"/>
  <c r="B197" i="11"/>
  <c r="Q197" i="11" s="1"/>
  <c r="AF197" i="11" s="1"/>
  <c r="B198" i="11"/>
  <c r="Q198" i="11" s="1"/>
  <c r="AF198" i="11" s="1"/>
  <c r="B199" i="11"/>
  <c r="Q199" i="11" s="1"/>
  <c r="AF199" i="11" s="1"/>
  <c r="B200" i="11"/>
  <c r="Q200" i="11" s="1"/>
  <c r="AF200" i="11" s="1"/>
  <c r="B201" i="11"/>
  <c r="Q201" i="11" s="1"/>
  <c r="AF201" i="11" s="1"/>
  <c r="B202" i="11"/>
  <c r="Q202" i="11" s="1"/>
  <c r="AF202" i="11" s="1"/>
  <c r="B203" i="11"/>
  <c r="Q203" i="11" s="1"/>
  <c r="AF203" i="11" s="1"/>
  <c r="B204" i="11"/>
  <c r="Q204" i="11" s="1"/>
  <c r="AF204" i="11" s="1"/>
  <c r="B205" i="11"/>
  <c r="Q205" i="11" s="1"/>
  <c r="AF205" i="11" s="1"/>
  <c r="B206" i="11"/>
  <c r="Q206" i="11" s="1"/>
  <c r="AF206" i="11" s="1"/>
  <c r="B207" i="11"/>
  <c r="Q207" i="11" s="1"/>
  <c r="AF207" i="11" s="1"/>
  <c r="B208" i="11"/>
  <c r="Q208" i="11" s="1"/>
  <c r="AF208" i="11" s="1"/>
  <c r="B209" i="11"/>
  <c r="Q209" i="11" s="1"/>
  <c r="AF209" i="11" s="1"/>
  <c r="B210" i="11"/>
  <c r="Q210" i="11" s="1"/>
  <c r="AF210" i="11" s="1"/>
  <c r="B211" i="11"/>
  <c r="Q211" i="11" s="1"/>
  <c r="AF211" i="11" s="1"/>
  <c r="B212" i="11"/>
  <c r="Q212" i="11" s="1"/>
  <c r="AF212" i="11" s="1"/>
  <c r="B213" i="11"/>
  <c r="Q213" i="11" s="1"/>
  <c r="AF213" i="11" s="1"/>
  <c r="B214" i="11"/>
  <c r="Q214" i="11" s="1"/>
  <c r="AF214" i="11" s="1"/>
  <c r="B215" i="11"/>
  <c r="Q215" i="11" s="1"/>
  <c r="AF215" i="11" s="1"/>
  <c r="B216" i="11"/>
  <c r="Q216" i="11" s="1"/>
  <c r="AF216" i="11" s="1"/>
  <c r="B217" i="11"/>
  <c r="Q217" i="11" s="1"/>
  <c r="AF217" i="11" s="1"/>
  <c r="B218" i="11"/>
  <c r="Q218" i="11" s="1"/>
  <c r="AF218" i="11" s="1"/>
  <c r="B219" i="11"/>
  <c r="Q219" i="11" s="1"/>
  <c r="AF219" i="11" s="1"/>
  <c r="B220" i="11"/>
  <c r="Q220" i="11" s="1"/>
  <c r="AF220" i="11" s="1"/>
  <c r="B221" i="11"/>
  <c r="Q221" i="11" s="1"/>
  <c r="AF221" i="11" s="1"/>
  <c r="B222" i="11"/>
  <c r="Q222" i="11" s="1"/>
  <c r="AF222" i="11" s="1"/>
  <c r="B223" i="11"/>
  <c r="Q223" i="11" s="1"/>
  <c r="AF223" i="11" s="1"/>
  <c r="B224" i="11"/>
  <c r="Q224" i="11" s="1"/>
  <c r="AF224" i="11" s="1"/>
  <c r="B225" i="11"/>
  <c r="Q225" i="11" s="1"/>
  <c r="AF225" i="11" s="1"/>
  <c r="B226" i="11"/>
  <c r="Q226" i="11" s="1"/>
  <c r="AF226" i="11" s="1"/>
  <c r="B227" i="11"/>
  <c r="Q227" i="11" s="1"/>
  <c r="AF227" i="11" s="1"/>
  <c r="B228" i="11"/>
  <c r="Q228" i="11" s="1"/>
  <c r="AF228" i="11" s="1"/>
  <c r="B229" i="11"/>
  <c r="Q229" i="11" s="1"/>
  <c r="AF229" i="11" s="1"/>
  <c r="B230" i="11"/>
  <c r="Q230" i="11" s="1"/>
  <c r="AF230" i="11" s="1"/>
  <c r="B231" i="11"/>
  <c r="Q231" i="11" s="1"/>
  <c r="AF231" i="11" s="1"/>
  <c r="B232" i="11"/>
  <c r="Q232" i="11" s="1"/>
  <c r="AF232" i="11" s="1"/>
  <c r="B233" i="11"/>
  <c r="Q233" i="11" s="1"/>
  <c r="AF233" i="11" s="1"/>
  <c r="B234" i="11"/>
  <c r="Q234" i="11" s="1"/>
  <c r="AF234" i="11" s="1"/>
  <c r="B235" i="11"/>
  <c r="Q235" i="11" s="1"/>
  <c r="AF235" i="11" s="1"/>
  <c r="B236" i="11"/>
  <c r="Q236" i="11" s="1"/>
  <c r="AF236" i="11" s="1"/>
  <c r="B237" i="11"/>
  <c r="Q237" i="11" s="1"/>
  <c r="AF237" i="11" s="1"/>
  <c r="B238" i="11"/>
  <c r="Q238" i="11" s="1"/>
  <c r="AF238" i="11" s="1"/>
  <c r="B239" i="11"/>
  <c r="Q239" i="11" s="1"/>
  <c r="AF239" i="11" s="1"/>
  <c r="B240" i="11"/>
  <c r="Q240" i="11" s="1"/>
  <c r="AF240" i="11" s="1"/>
  <c r="B241" i="11"/>
  <c r="Q241" i="11" s="1"/>
  <c r="AF241" i="11" s="1"/>
  <c r="B242" i="11"/>
  <c r="Q242" i="11" s="1"/>
  <c r="AF242" i="11" s="1"/>
  <c r="B243" i="11"/>
  <c r="Q243" i="11" s="1"/>
  <c r="AF243" i="11" s="1"/>
  <c r="B244" i="11"/>
  <c r="Q244" i="11" s="1"/>
  <c r="AF244" i="11" s="1"/>
  <c r="B245" i="11"/>
  <c r="Q245" i="11" s="1"/>
  <c r="AF245" i="11" s="1"/>
  <c r="B246" i="11"/>
  <c r="Q246" i="11" s="1"/>
  <c r="AF246" i="11" s="1"/>
  <c r="B247" i="11"/>
  <c r="Q247" i="11" s="1"/>
  <c r="AF247" i="11" s="1"/>
  <c r="B248" i="11"/>
  <c r="Q248" i="11" s="1"/>
  <c r="AF248" i="11" s="1"/>
  <c r="B249" i="11"/>
  <c r="Q249" i="11" s="1"/>
  <c r="AF249" i="11" s="1"/>
  <c r="B250" i="11"/>
  <c r="Q250" i="11" s="1"/>
  <c r="AF250" i="11" s="1"/>
  <c r="B251" i="11"/>
  <c r="Q251" i="11" s="1"/>
  <c r="AF251" i="11" s="1"/>
  <c r="B252" i="11"/>
  <c r="Q252" i="11" s="1"/>
  <c r="AF252" i="11" s="1"/>
  <c r="B253" i="11"/>
  <c r="Q253" i="11" s="1"/>
  <c r="AF253" i="11" s="1"/>
  <c r="B254" i="11"/>
  <c r="Q254" i="11" s="1"/>
  <c r="AF254" i="11" s="1"/>
  <c r="B255" i="11"/>
  <c r="Q255" i="11" s="1"/>
  <c r="AF255" i="11" s="1"/>
  <c r="B256" i="11"/>
  <c r="Q256" i="11" s="1"/>
  <c r="AF256" i="11" s="1"/>
  <c r="B257" i="11"/>
  <c r="Q257" i="11" s="1"/>
  <c r="AF257" i="11" s="1"/>
  <c r="B258" i="11"/>
  <c r="Q258" i="11" s="1"/>
  <c r="AF258" i="11" s="1"/>
  <c r="B259" i="11"/>
  <c r="Q259" i="11" s="1"/>
  <c r="AF259" i="11" s="1"/>
  <c r="B260" i="11"/>
  <c r="Q260" i="11" s="1"/>
  <c r="AF260" i="11" s="1"/>
  <c r="B261" i="11"/>
  <c r="Q261" i="11" s="1"/>
  <c r="AF261" i="11" s="1"/>
  <c r="B262" i="11"/>
  <c r="Q262" i="11" s="1"/>
  <c r="AF262" i="11" s="1"/>
  <c r="B263" i="11"/>
  <c r="Q263" i="11" s="1"/>
  <c r="AF263" i="11" s="1"/>
  <c r="B264" i="11"/>
  <c r="Q264" i="11" s="1"/>
  <c r="AF264" i="11" s="1"/>
  <c r="B265" i="11"/>
  <c r="Q265" i="11" s="1"/>
  <c r="AF265" i="11" s="1"/>
  <c r="B266" i="11"/>
  <c r="Q266" i="11" s="1"/>
  <c r="AF266" i="11" s="1"/>
  <c r="B267" i="11"/>
  <c r="Q267" i="11" s="1"/>
  <c r="AF267" i="11" s="1"/>
  <c r="B268" i="11"/>
  <c r="Q268" i="11" s="1"/>
  <c r="AF268" i="11" s="1"/>
  <c r="B269" i="11"/>
  <c r="Q269" i="11" s="1"/>
  <c r="AF269" i="11" s="1"/>
  <c r="B270" i="11"/>
  <c r="Q270" i="11" s="1"/>
  <c r="AF270" i="11" s="1"/>
  <c r="B271" i="11"/>
  <c r="Q271" i="11" s="1"/>
  <c r="AF271" i="11" s="1"/>
  <c r="B272" i="11"/>
  <c r="Q272" i="11" s="1"/>
  <c r="AF272" i="11" s="1"/>
  <c r="B273" i="11"/>
  <c r="Q273" i="11" s="1"/>
  <c r="AF273" i="11" s="1"/>
  <c r="B274" i="11"/>
  <c r="Q274" i="11" s="1"/>
  <c r="AF274" i="11" s="1"/>
  <c r="B275" i="11"/>
  <c r="Q275" i="11" s="1"/>
  <c r="AF275" i="11" s="1"/>
  <c r="B276" i="11"/>
  <c r="Q276" i="11" s="1"/>
  <c r="AF276" i="11" s="1"/>
  <c r="B277" i="11"/>
  <c r="Q277" i="11" s="1"/>
  <c r="AF277" i="11" s="1"/>
  <c r="B278" i="11"/>
  <c r="Q278" i="11" s="1"/>
  <c r="AF278" i="11" s="1"/>
  <c r="B279" i="11"/>
  <c r="Q279" i="11" s="1"/>
  <c r="AF279" i="11" s="1"/>
  <c r="B280" i="11"/>
  <c r="Q280" i="11" s="1"/>
  <c r="AF280" i="11" s="1"/>
  <c r="B281" i="11"/>
  <c r="Q281" i="11" s="1"/>
  <c r="AF281" i="11" s="1"/>
  <c r="B282" i="11"/>
  <c r="Q282" i="11" s="1"/>
  <c r="AF282" i="11" s="1"/>
  <c r="B283" i="11"/>
  <c r="Q283" i="11" s="1"/>
  <c r="AF283" i="11" s="1"/>
  <c r="B284" i="11"/>
  <c r="Q284" i="11" s="1"/>
  <c r="AF284" i="11" s="1"/>
  <c r="B285" i="11"/>
  <c r="Q285" i="11" s="1"/>
  <c r="AF285" i="11" s="1"/>
  <c r="B286" i="11"/>
  <c r="Q286" i="11" s="1"/>
  <c r="AF286" i="11" s="1"/>
  <c r="B287" i="11"/>
  <c r="Q287" i="11" s="1"/>
  <c r="AF287" i="11" s="1"/>
  <c r="B288" i="11"/>
  <c r="Q288" i="11" s="1"/>
  <c r="AF288" i="11" s="1"/>
  <c r="B289" i="11"/>
  <c r="Q289" i="11" s="1"/>
  <c r="AF289" i="11" s="1"/>
  <c r="B290" i="11"/>
  <c r="Q290" i="11" s="1"/>
  <c r="AF290" i="11" s="1"/>
  <c r="B291" i="11"/>
  <c r="Q291" i="11" s="1"/>
  <c r="AF291" i="11" s="1"/>
  <c r="B292" i="11"/>
  <c r="Q292" i="11" s="1"/>
  <c r="AF292" i="11" s="1"/>
  <c r="B293" i="11"/>
  <c r="Q293" i="11" s="1"/>
  <c r="AF293" i="11" s="1"/>
  <c r="B294" i="11"/>
  <c r="Q294" i="11" s="1"/>
  <c r="AF294" i="11" s="1"/>
  <c r="B295" i="11"/>
  <c r="Q295" i="11" s="1"/>
  <c r="AF295" i="11" s="1"/>
  <c r="B296" i="11"/>
  <c r="Q296" i="11" s="1"/>
  <c r="AF296" i="11" s="1"/>
  <c r="B297" i="11"/>
  <c r="Q297" i="11" s="1"/>
  <c r="AF297" i="11" s="1"/>
  <c r="B298" i="11"/>
  <c r="Q298" i="11" s="1"/>
  <c r="AF298" i="11" s="1"/>
  <c r="B299" i="11"/>
  <c r="Q299" i="11" s="1"/>
  <c r="AF299" i="11" s="1"/>
  <c r="B300" i="11"/>
  <c r="Q300" i="11" s="1"/>
  <c r="AF300" i="11" s="1"/>
  <c r="B301" i="11"/>
  <c r="Q301" i="11" s="1"/>
  <c r="AF301" i="11" s="1"/>
  <c r="B302" i="11"/>
  <c r="Q302" i="11" s="1"/>
  <c r="AF302" i="11" s="1"/>
  <c r="B303" i="11"/>
  <c r="Q303" i="11" s="1"/>
  <c r="AF303" i="11" s="1"/>
  <c r="B304" i="11"/>
  <c r="Q304" i="11" s="1"/>
  <c r="AF304" i="11" s="1"/>
  <c r="B305" i="11"/>
  <c r="Q305" i="11" s="1"/>
  <c r="AF305" i="11" s="1"/>
  <c r="B306" i="11"/>
  <c r="Q306" i="11" s="1"/>
  <c r="AF306" i="11" s="1"/>
  <c r="B307" i="11"/>
  <c r="Q307" i="11" s="1"/>
  <c r="AF307" i="11" s="1"/>
  <c r="B308" i="11"/>
  <c r="Q308" i="11" s="1"/>
  <c r="AF308" i="11" s="1"/>
  <c r="B309" i="11"/>
  <c r="Q309" i="11" s="1"/>
  <c r="AF309" i="11" s="1"/>
  <c r="B310" i="11"/>
  <c r="Q310" i="11" s="1"/>
  <c r="AF310" i="11" s="1"/>
  <c r="B311" i="11"/>
  <c r="Q311" i="11" s="1"/>
  <c r="AF311" i="11" s="1"/>
  <c r="B312" i="11"/>
  <c r="Q312" i="11" s="1"/>
  <c r="AF312" i="11" s="1"/>
  <c r="B313" i="11"/>
  <c r="Q313" i="11" s="1"/>
  <c r="AF313" i="11" s="1"/>
  <c r="B314" i="11"/>
  <c r="Q314" i="11" s="1"/>
  <c r="AF314" i="11" s="1"/>
  <c r="B315" i="11"/>
  <c r="Q315" i="11" s="1"/>
  <c r="AF315" i="11" s="1"/>
  <c r="B316" i="11"/>
  <c r="Q316" i="11" s="1"/>
  <c r="AF316" i="11" s="1"/>
  <c r="B317" i="11"/>
  <c r="Q317" i="11" s="1"/>
  <c r="AF317" i="11" s="1"/>
  <c r="B318" i="11"/>
  <c r="Q318" i="11" s="1"/>
  <c r="AF318" i="11" s="1"/>
  <c r="B319" i="11"/>
  <c r="Q319" i="11" s="1"/>
  <c r="AF319" i="11" s="1"/>
  <c r="B320" i="11"/>
  <c r="Q320" i="11" s="1"/>
  <c r="AF320" i="11" s="1"/>
  <c r="B321" i="11"/>
  <c r="Q321" i="11" s="1"/>
  <c r="AF321" i="11" s="1"/>
  <c r="B322" i="11"/>
  <c r="Q322" i="11" s="1"/>
  <c r="AF322" i="11" s="1"/>
  <c r="B323" i="11"/>
  <c r="Q323" i="11" s="1"/>
  <c r="AF323" i="11" s="1"/>
  <c r="B324" i="11"/>
  <c r="Q324" i="11" s="1"/>
  <c r="AF324" i="11" s="1"/>
  <c r="B325" i="11"/>
  <c r="Q325" i="11" s="1"/>
  <c r="AF325" i="11" s="1"/>
  <c r="B326" i="11"/>
  <c r="Q326" i="11" s="1"/>
  <c r="AF326" i="11" s="1"/>
  <c r="B327" i="11"/>
  <c r="Q327" i="11" s="1"/>
  <c r="AF327" i="11" s="1"/>
  <c r="B328" i="11"/>
  <c r="Q328" i="11" s="1"/>
  <c r="AF328" i="11" s="1"/>
  <c r="B329" i="11"/>
  <c r="Q329" i="11" s="1"/>
  <c r="AF329" i="11" s="1"/>
  <c r="B330" i="11"/>
  <c r="Q330" i="11" s="1"/>
  <c r="AF330" i="11" s="1"/>
  <c r="B331" i="11"/>
  <c r="Q331" i="11" s="1"/>
  <c r="AF331" i="11" s="1"/>
  <c r="B332" i="11"/>
  <c r="Q332" i="11" s="1"/>
  <c r="AF332" i="11" s="1"/>
  <c r="B333" i="11"/>
  <c r="Q333" i="11" s="1"/>
  <c r="AF333" i="11" s="1"/>
  <c r="B334" i="11"/>
  <c r="Q334" i="11" s="1"/>
  <c r="AF334" i="11" s="1"/>
  <c r="B335" i="11"/>
  <c r="Q335" i="11" s="1"/>
  <c r="AF335" i="11" s="1"/>
  <c r="B336" i="11"/>
  <c r="Q336" i="11" s="1"/>
  <c r="AF336" i="11" s="1"/>
  <c r="B337" i="11"/>
  <c r="Q337" i="11" s="1"/>
  <c r="AF337" i="11" s="1"/>
  <c r="B338" i="11"/>
  <c r="Q338" i="11" s="1"/>
  <c r="AF338" i="11" s="1"/>
  <c r="B339" i="11"/>
  <c r="Q339" i="11" s="1"/>
  <c r="AF339" i="11" s="1"/>
  <c r="B340" i="11"/>
  <c r="Q340" i="11" s="1"/>
  <c r="AF340" i="11" s="1"/>
  <c r="B341" i="11"/>
  <c r="Q341" i="11" s="1"/>
  <c r="AF341" i="11" s="1"/>
  <c r="B342" i="11"/>
  <c r="Q342" i="11" s="1"/>
  <c r="AF342" i="11" s="1"/>
  <c r="B343" i="11"/>
  <c r="Q343" i="11" s="1"/>
  <c r="AF343" i="11" s="1"/>
  <c r="B344" i="11"/>
  <c r="Q344" i="11" s="1"/>
  <c r="AF344" i="11" s="1"/>
  <c r="B345" i="11"/>
  <c r="Q345" i="11" s="1"/>
  <c r="AF345" i="11" s="1"/>
  <c r="B346" i="11"/>
  <c r="Q346" i="11" s="1"/>
  <c r="AF346" i="11" s="1"/>
  <c r="B347" i="11"/>
  <c r="Q347" i="11" s="1"/>
  <c r="AF347" i="11" s="1"/>
  <c r="B348" i="11"/>
  <c r="Q348" i="11" s="1"/>
  <c r="AF348" i="11" s="1"/>
  <c r="B349" i="11"/>
  <c r="Q349" i="11" s="1"/>
  <c r="AF349" i="11" s="1"/>
  <c r="B350" i="11"/>
  <c r="Q350" i="11" s="1"/>
  <c r="AF350" i="11" s="1"/>
  <c r="B351" i="11"/>
  <c r="Q351" i="11" s="1"/>
  <c r="AF351" i="11" s="1"/>
  <c r="B2" i="11"/>
  <c r="Q2" i="11" s="1"/>
  <c r="AF2" i="11" s="1"/>
  <c r="I6" i="11"/>
  <c r="S6" i="11" s="1"/>
  <c r="AH6" i="11" s="1"/>
  <c r="I7" i="11"/>
  <c r="S7" i="11" s="1"/>
  <c r="AH7" i="11" s="1"/>
  <c r="I8" i="11"/>
  <c r="S8" i="11" s="1"/>
  <c r="AH8" i="11" s="1"/>
  <c r="I9" i="11"/>
  <c r="S9" i="11" s="1"/>
  <c r="AH9" i="11" s="1"/>
  <c r="I10" i="11"/>
  <c r="S10" i="11" s="1"/>
  <c r="AH10" i="11" s="1"/>
  <c r="I11" i="11"/>
  <c r="S11" i="11" s="1"/>
  <c r="AH11" i="11" s="1"/>
  <c r="I12" i="11"/>
  <c r="S12" i="11" s="1"/>
  <c r="AH12" i="11" s="1"/>
  <c r="I13" i="11"/>
  <c r="S13" i="11" s="1"/>
  <c r="AH13" i="11" s="1"/>
  <c r="I14" i="11"/>
  <c r="S14" i="11" s="1"/>
  <c r="AH14" i="11" s="1"/>
  <c r="I15" i="11"/>
  <c r="S15" i="11" s="1"/>
  <c r="AH15" i="11" s="1"/>
  <c r="I16" i="11"/>
  <c r="S16" i="11" s="1"/>
  <c r="AH16" i="11" s="1"/>
  <c r="I17" i="11"/>
  <c r="S17" i="11" s="1"/>
  <c r="AH17" i="11" s="1"/>
  <c r="I18" i="11"/>
  <c r="S18" i="11" s="1"/>
  <c r="AH18" i="11" s="1"/>
  <c r="I19" i="11"/>
  <c r="S19" i="11" s="1"/>
  <c r="AH19" i="11" s="1"/>
  <c r="I20" i="11"/>
  <c r="S20" i="11" s="1"/>
  <c r="AH20" i="11" s="1"/>
  <c r="I21" i="11"/>
  <c r="S21" i="11" s="1"/>
  <c r="AH21" i="11" s="1"/>
  <c r="I22" i="11"/>
  <c r="S22" i="11" s="1"/>
  <c r="AH22" i="11" s="1"/>
  <c r="I23" i="11"/>
  <c r="S23" i="11" s="1"/>
  <c r="AH23" i="11" s="1"/>
  <c r="I24" i="11"/>
  <c r="S24" i="11" s="1"/>
  <c r="AH24" i="11" s="1"/>
  <c r="I25" i="11"/>
  <c r="S25" i="11" s="1"/>
  <c r="AH25" i="11" s="1"/>
  <c r="I26" i="11"/>
  <c r="S26" i="11" s="1"/>
  <c r="AH26" i="11" s="1"/>
  <c r="I27" i="11"/>
  <c r="S27" i="11" s="1"/>
  <c r="AH27" i="11" s="1"/>
  <c r="I28" i="11"/>
  <c r="S28" i="11" s="1"/>
  <c r="AH28" i="11" s="1"/>
  <c r="I29" i="11"/>
  <c r="S29" i="11" s="1"/>
  <c r="AH29" i="11" s="1"/>
  <c r="I30" i="11"/>
  <c r="S30" i="11" s="1"/>
  <c r="AH30" i="11" s="1"/>
  <c r="I31" i="11"/>
  <c r="S31" i="11" s="1"/>
  <c r="AH31" i="11" s="1"/>
  <c r="I32" i="11"/>
  <c r="S32" i="11" s="1"/>
  <c r="AH32" i="11" s="1"/>
  <c r="I33" i="11"/>
  <c r="S33" i="11" s="1"/>
  <c r="AH33" i="11" s="1"/>
  <c r="I34" i="11"/>
  <c r="S34" i="11" s="1"/>
  <c r="AH34" i="11" s="1"/>
  <c r="I35" i="11"/>
  <c r="S35" i="11" s="1"/>
  <c r="AH35" i="11" s="1"/>
  <c r="I36" i="11"/>
  <c r="S36" i="11" s="1"/>
  <c r="AH36" i="11" s="1"/>
  <c r="I37" i="11"/>
  <c r="S37" i="11" s="1"/>
  <c r="AH37" i="11" s="1"/>
  <c r="I38" i="11"/>
  <c r="S38" i="11" s="1"/>
  <c r="AH38" i="11" s="1"/>
  <c r="I39" i="11"/>
  <c r="S39" i="11" s="1"/>
  <c r="AH39" i="11" s="1"/>
  <c r="I40" i="11"/>
  <c r="S40" i="11" s="1"/>
  <c r="AH40" i="11" s="1"/>
  <c r="I41" i="11"/>
  <c r="S41" i="11" s="1"/>
  <c r="AH41" i="11" s="1"/>
  <c r="I42" i="11"/>
  <c r="S42" i="11" s="1"/>
  <c r="AH42" i="11" s="1"/>
  <c r="I43" i="11"/>
  <c r="S43" i="11" s="1"/>
  <c r="AH43" i="11" s="1"/>
  <c r="I44" i="11"/>
  <c r="S44" i="11" s="1"/>
  <c r="AH44" i="11" s="1"/>
  <c r="I45" i="11"/>
  <c r="S45" i="11" s="1"/>
  <c r="AH45" i="11" s="1"/>
  <c r="I46" i="11"/>
  <c r="S46" i="11" s="1"/>
  <c r="AH46" i="11" s="1"/>
  <c r="I47" i="11"/>
  <c r="S47" i="11" s="1"/>
  <c r="AH47" i="11" s="1"/>
  <c r="I48" i="11"/>
  <c r="S48" i="11" s="1"/>
  <c r="AH48" i="11" s="1"/>
  <c r="I49" i="11"/>
  <c r="S49" i="11" s="1"/>
  <c r="AH49" i="11" s="1"/>
  <c r="I50" i="11"/>
  <c r="S50" i="11" s="1"/>
  <c r="AH50" i="11" s="1"/>
  <c r="I51" i="11"/>
  <c r="S51" i="11" s="1"/>
  <c r="AH51" i="11" s="1"/>
  <c r="I52" i="11"/>
  <c r="S52" i="11" s="1"/>
  <c r="AH52" i="11" s="1"/>
  <c r="I53" i="11"/>
  <c r="S53" i="11" s="1"/>
  <c r="AH53" i="11" s="1"/>
  <c r="I54" i="11"/>
  <c r="S54" i="11" s="1"/>
  <c r="AH54" i="11" s="1"/>
  <c r="I55" i="11"/>
  <c r="S55" i="11" s="1"/>
  <c r="AH55" i="11" s="1"/>
  <c r="I56" i="11"/>
  <c r="S56" i="11" s="1"/>
  <c r="AH56" i="11" s="1"/>
  <c r="I57" i="11"/>
  <c r="S57" i="11" s="1"/>
  <c r="AH57" i="11" s="1"/>
  <c r="I58" i="11"/>
  <c r="S58" i="11" s="1"/>
  <c r="AH58" i="11" s="1"/>
  <c r="I59" i="11"/>
  <c r="S59" i="11" s="1"/>
  <c r="AH59" i="11" s="1"/>
  <c r="I60" i="11"/>
  <c r="S60" i="11" s="1"/>
  <c r="AH60" i="11" s="1"/>
  <c r="I61" i="11"/>
  <c r="S61" i="11" s="1"/>
  <c r="AH61" i="11" s="1"/>
  <c r="I62" i="11"/>
  <c r="S62" i="11" s="1"/>
  <c r="AH62" i="11" s="1"/>
  <c r="I63" i="11"/>
  <c r="S63" i="11" s="1"/>
  <c r="AH63" i="11" s="1"/>
  <c r="I64" i="11"/>
  <c r="S64" i="11" s="1"/>
  <c r="AH64" i="11" s="1"/>
  <c r="I65" i="11"/>
  <c r="S65" i="11" s="1"/>
  <c r="AH65" i="11" s="1"/>
  <c r="I66" i="11"/>
  <c r="S66" i="11" s="1"/>
  <c r="AH66" i="11" s="1"/>
  <c r="I67" i="11"/>
  <c r="S67" i="11" s="1"/>
  <c r="AH67" i="11" s="1"/>
  <c r="I68" i="11"/>
  <c r="S68" i="11" s="1"/>
  <c r="AH68" i="11" s="1"/>
  <c r="I69" i="11"/>
  <c r="S69" i="11" s="1"/>
  <c r="AH69" i="11" s="1"/>
  <c r="I70" i="11"/>
  <c r="S70" i="11" s="1"/>
  <c r="AH70" i="11" s="1"/>
  <c r="I71" i="11"/>
  <c r="S71" i="11" s="1"/>
  <c r="AH71" i="11" s="1"/>
  <c r="I72" i="11"/>
  <c r="S72" i="11" s="1"/>
  <c r="AH72" i="11" s="1"/>
  <c r="I73" i="11"/>
  <c r="S73" i="11" s="1"/>
  <c r="AH73" i="11" s="1"/>
  <c r="I74" i="11"/>
  <c r="S74" i="11" s="1"/>
  <c r="AH74" i="11" s="1"/>
  <c r="I75" i="11"/>
  <c r="S75" i="11" s="1"/>
  <c r="AH75" i="11" s="1"/>
  <c r="I76" i="11"/>
  <c r="S76" i="11" s="1"/>
  <c r="AH76" i="11" s="1"/>
  <c r="I77" i="11"/>
  <c r="S77" i="11" s="1"/>
  <c r="AH77" i="11" s="1"/>
  <c r="I78" i="11"/>
  <c r="S78" i="11" s="1"/>
  <c r="AH78" i="11" s="1"/>
  <c r="I79" i="11"/>
  <c r="S79" i="11" s="1"/>
  <c r="AH79" i="11" s="1"/>
  <c r="I80" i="11"/>
  <c r="S80" i="11" s="1"/>
  <c r="AH80" i="11" s="1"/>
  <c r="I81" i="11"/>
  <c r="S81" i="11" s="1"/>
  <c r="AH81" i="11" s="1"/>
  <c r="I82" i="11"/>
  <c r="S82" i="11" s="1"/>
  <c r="AH82" i="11" s="1"/>
  <c r="I83" i="11"/>
  <c r="S83" i="11" s="1"/>
  <c r="AH83" i="11" s="1"/>
  <c r="I84" i="11"/>
  <c r="S84" i="11" s="1"/>
  <c r="AH84" i="11" s="1"/>
  <c r="I85" i="11"/>
  <c r="S85" i="11" s="1"/>
  <c r="AH85" i="11" s="1"/>
  <c r="I86" i="11"/>
  <c r="S86" i="11" s="1"/>
  <c r="AH86" i="11" s="1"/>
  <c r="I87" i="11"/>
  <c r="S87" i="11" s="1"/>
  <c r="AH87" i="11" s="1"/>
  <c r="I88" i="11"/>
  <c r="S88" i="11" s="1"/>
  <c r="AH88" i="11" s="1"/>
  <c r="I89" i="11"/>
  <c r="S89" i="11" s="1"/>
  <c r="AH89" i="11" s="1"/>
  <c r="I90" i="11"/>
  <c r="S90" i="11" s="1"/>
  <c r="AH90" i="11" s="1"/>
  <c r="I91" i="11"/>
  <c r="S91" i="11" s="1"/>
  <c r="AH91" i="11" s="1"/>
  <c r="I92" i="11"/>
  <c r="S92" i="11" s="1"/>
  <c r="AH92" i="11" s="1"/>
  <c r="I93" i="11"/>
  <c r="S93" i="11" s="1"/>
  <c r="AH93" i="11" s="1"/>
  <c r="I94" i="11"/>
  <c r="S94" i="11" s="1"/>
  <c r="AH94" i="11" s="1"/>
  <c r="I95" i="11"/>
  <c r="S95" i="11" s="1"/>
  <c r="AH95" i="11" s="1"/>
  <c r="I96" i="11"/>
  <c r="S96" i="11" s="1"/>
  <c r="AH96" i="11" s="1"/>
  <c r="I97" i="11"/>
  <c r="S97" i="11" s="1"/>
  <c r="AH97" i="11" s="1"/>
  <c r="I98" i="11"/>
  <c r="S98" i="11" s="1"/>
  <c r="AH98" i="11" s="1"/>
  <c r="I99" i="11"/>
  <c r="S99" i="11" s="1"/>
  <c r="AH99" i="11" s="1"/>
  <c r="I100" i="11"/>
  <c r="S100" i="11" s="1"/>
  <c r="AH100" i="11" s="1"/>
  <c r="I101" i="11"/>
  <c r="S101" i="11" s="1"/>
  <c r="AH101" i="11" s="1"/>
  <c r="I102" i="11"/>
  <c r="S102" i="11" s="1"/>
  <c r="AH102" i="11" s="1"/>
  <c r="I103" i="11"/>
  <c r="S103" i="11" s="1"/>
  <c r="AH103" i="11" s="1"/>
  <c r="I104" i="11"/>
  <c r="S104" i="11" s="1"/>
  <c r="AH104" i="11" s="1"/>
  <c r="I105" i="11"/>
  <c r="S105" i="11" s="1"/>
  <c r="AH105" i="11" s="1"/>
  <c r="I106" i="11"/>
  <c r="S106" i="11" s="1"/>
  <c r="AH106" i="11" s="1"/>
  <c r="I107" i="11"/>
  <c r="S107" i="11" s="1"/>
  <c r="AH107" i="11" s="1"/>
  <c r="I108" i="11"/>
  <c r="S108" i="11" s="1"/>
  <c r="AH108" i="11" s="1"/>
  <c r="I109" i="11"/>
  <c r="S109" i="11" s="1"/>
  <c r="AH109" i="11" s="1"/>
  <c r="I110" i="11"/>
  <c r="S110" i="11" s="1"/>
  <c r="AH110" i="11" s="1"/>
  <c r="I111" i="11"/>
  <c r="S111" i="11" s="1"/>
  <c r="AH111" i="11" s="1"/>
  <c r="I112" i="11"/>
  <c r="S112" i="11" s="1"/>
  <c r="AH112" i="11" s="1"/>
  <c r="I113" i="11"/>
  <c r="S113" i="11" s="1"/>
  <c r="AH113" i="11" s="1"/>
  <c r="I114" i="11"/>
  <c r="S114" i="11" s="1"/>
  <c r="AH114" i="11" s="1"/>
  <c r="I115" i="11"/>
  <c r="S115" i="11" s="1"/>
  <c r="AH115" i="11" s="1"/>
  <c r="I116" i="11"/>
  <c r="S116" i="11" s="1"/>
  <c r="AH116" i="11" s="1"/>
  <c r="I117" i="11"/>
  <c r="S117" i="11" s="1"/>
  <c r="AH117" i="11" s="1"/>
  <c r="I118" i="11"/>
  <c r="S118" i="11" s="1"/>
  <c r="AH118" i="11" s="1"/>
  <c r="I119" i="11"/>
  <c r="S119" i="11" s="1"/>
  <c r="AH119" i="11" s="1"/>
  <c r="I120" i="11"/>
  <c r="S120" i="11" s="1"/>
  <c r="AH120" i="11" s="1"/>
  <c r="I121" i="11"/>
  <c r="S121" i="11" s="1"/>
  <c r="AH121" i="11" s="1"/>
  <c r="I122" i="11"/>
  <c r="S122" i="11" s="1"/>
  <c r="AH122" i="11" s="1"/>
  <c r="I123" i="11"/>
  <c r="S123" i="11" s="1"/>
  <c r="AH123" i="11" s="1"/>
  <c r="I124" i="11"/>
  <c r="S124" i="11" s="1"/>
  <c r="AH124" i="11" s="1"/>
  <c r="I125" i="11"/>
  <c r="S125" i="11" s="1"/>
  <c r="AH125" i="11" s="1"/>
  <c r="I126" i="11"/>
  <c r="S126" i="11" s="1"/>
  <c r="AH126" i="11" s="1"/>
  <c r="I127" i="11"/>
  <c r="S127" i="11" s="1"/>
  <c r="AH127" i="11" s="1"/>
  <c r="I128" i="11"/>
  <c r="S128" i="11" s="1"/>
  <c r="AH128" i="11" s="1"/>
  <c r="I129" i="11"/>
  <c r="S129" i="11" s="1"/>
  <c r="AH129" i="11" s="1"/>
  <c r="I130" i="11"/>
  <c r="S130" i="11" s="1"/>
  <c r="AH130" i="11" s="1"/>
  <c r="I131" i="11"/>
  <c r="S131" i="11" s="1"/>
  <c r="AH131" i="11" s="1"/>
  <c r="I132" i="11"/>
  <c r="S132" i="11" s="1"/>
  <c r="AH132" i="11" s="1"/>
  <c r="I133" i="11"/>
  <c r="S133" i="11" s="1"/>
  <c r="AH133" i="11" s="1"/>
  <c r="I134" i="11"/>
  <c r="S134" i="11" s="1"/>
  <c r="AH134" i="11" s="1"/>
  <c r="I135" i="11"/>
  <c r="S135" i="11" s="1"/>
  <c r="AH135" i="11" s="1"/>
  <c r="I136" i="11"/>
  <c r="S136" i="11" s="1"/>
  <c r="AH136" i="11" s="1"/>
  <c r="I137" i="11"/>
  <c r="S137" i="11" s="1"/>
  <c r="AH137" i="11" s="1"/>
  <c r="I138" i="11"/>
  <c r="S138" i="11" s="1"/>
  <c r="AH138" i="11" s="1"/>
  <c r="I139" i="11"/>
  <c r="S139" i="11" s="1"/>
  <c r="AH139" i="11" s="1"/>
  <c r="I140" i="11"/>
  <c r="S140" i="11" s="1"/>
  <c r="AH140" i="11" s="1"/>
  <c r="I141" i="11"/>
  <c r="S141" i="11" s="1"/>
  <c r="AH141" i="11" s="1"/>
  <c r="I142" i="11"/>
  <c r="S142" i="11" s="1"/>
  <c r="AH142" i="11" s="1"/>
  <c r="I143" i="11"/>
  <c r="S143" i="11" s="1"/>
  <c r="AH143" i="11" s="1"/>
  <c r="I144" i="11"/>
  <c r="S144" i="11" s="1"/>
  <c r="AH144" i="11" s="1"/>
  <c r="I145" i="11"/>
  <c r="S145" i="11" s="1"/>
  <c r="AH145" i="11" s="1"/>
  <c r="I146" i="11"/>
  <c r="S146" i="11" s="1"/>
  <c r="AH146" i="11" s="1"/>
  <c r="I147" i="11"/>
  <c r="S147" i="11" s="1"/>
  <c r="AH147" i="11" s="1"/>
  <c r="I148" i="11"/>
  <c r="S148" i="11" s="1"/>
  <c r="AH148" i="11" s="1"/>
  <c r="I149" i="11"/>
  <c r="S149" i="11" s="1"/>
  <c r="AH149" i="11" s="1"/>
  <c r="I150" i="11"/>
  <c r="S150" i="11" s="1"/>
  <c r="AH150" i="11" s="1"/>
  <c r="I151" i="11"/>
  <c r="S151" i="11" s="1"/>
  <c r="AH151" i="11" s="1"/>
  <c r="I152" i="11"/>
  <c r="S152" i="11" s="1"/>
  <c r="AH152" i="11" s="1"/>
  <c r="I153" i="11"/>
  <c r="S153" i="11" s="1"/>
  <c r="AH153" i="11" s="1"/>
  <c r="I154" i="11"/>
  <c r="S154" i="11" s="1"/>
  <c r="AH154" i="11" s="1"/>
  <c r="I155" i="11"/>
  <c r="S155" i="11" s="1"/>
  <c r="AH155" i="11" s="1"/>
  <c r="I156" i="11"/>
  <c r="S156" i="11" s="1"/>
  <c r="AH156" i="11" s="1"/>
  <c r="I157" i="11"/>
  <c r="S157" i="11" s="1"/>
  <c r="AH157" i="11" s="1"/>
  <c r="I158" i="11"/>
  <c r="S158" i="11" s="1"/>
  <c r="AH158" i="11" s="1"/>
  <c r="I159" i="11"/>
  <c r="S159" i="11" s="1"/>
  <c r="AH159" i="11" s="1"/>
  <c r="I160" i="11"/>
  <c r="S160" i="11" s="1"/>
  <c r="AH160" i="11" s="1"/>
  <c r="I161" i="11"/>
  <c r="S161" i="11" s="1"/>
  <c r="AH161" i="11" s="1"/>
  <c r="I162" i="11"/>
  <c r="S162" i="11" s="1"/>
  <c r="AH162" i="11" s="1"/>
  <c r="I163" i="11"/>
  <c r="S163" i="11" s="1"/>
  <c r="AH163" i="11" s="1"/>
  <c r="I164" i="11"/>
  <c r="S164" i="11" s="1"/>
  <c r="AH164" i="11" s="1"/>
  <c r="I165" i="11"/>
  <c r="S165" i="11" s="1"/>
  <c r="AH165" i="11" s="1"/>
  <c r="I166" i="11"/>
  <c r="S166" i="11" s="1"/>
  <c r="AH166" i="11" s="1"/>
  <c r="I167" i="11"/>
  <c r="S167" i="11" s="1"/>
  <c r="AH167" i="11" s="1"/>
  <c r="I168" i="11"/>
  <c r="S168" i="11" s="1"/>
  <c r="AH168" i="11" s="1"/>
  <c r="I169" i="11"/>
  <c r="S169" i="11" s="1"/>
  <c r="AH169" i="11" s="1"/>
  <c r="I170" i="11"/>
  <c r="S170" i="11" s="1"/>
  <c r="AH170" i="11" s="1"/>
  <c r="I171" i="11"/>
  <c r="S171" i="11" s="1"/>
  <c r="AH171" i="11" s="1"/>
  <c r="I172" i="11"/>
  <c r="S172" i="11" s="1"/>
  <c r="AH172" i="11" s="1"/>
  <c r="I173" i="11"/>
  <c r="S173" i="11" s="1"/>
  <c r="AH173" i="11" s="1"/>
  <c r="I174" i="11"/>
  <c r="S174" i="11" s="1"/>
  <c r="AH174" i="11" s="1"/>
  <c r="I175" i="11"/>
  <c r="S175" i="11" s="1"/>
  <c r="AH175" i="11" s="1"/>
  <c r="I176" i="11"/>
  <c r="S176" i="11" s="1"/>
  <c r="AH176" i="11" s="1"/>
  <c r="I177" i="11"/>
  <c r="S177" i="11" s="1"/>
  <c r="AH177" i="11" s="1"/>
  <c r="I178" i="11"/>
  <c r="S178" i="11" s="1"/>
  <c r="AH178" i="11" s="1"/>
  <c r="I179" i="11"/>
  <c r="S179" i="11" s="1"/>
  <c r="AH179" i="11" s="1"/>
  <c r="I180" i="11"/>
  <c r="S180" i="11" s="1"/>
  <c r="AH180" i="11" s="1"/>
  <c r="I181" i="11"/>
  <c r="S181" i="11" s="1"/>
  <c r="AH181" i="11" s="1"/>
  <c r="I182" i="11"/>
  <c r="S182" i="11" s="1"/>
  <c r="AH182" i="11" s="1"/>
  <c r="I183" i="11"/>
  <c r="S183" i="11" s="1"/>
  <c r="AH183" i="11" s="1"/>
  <c r="I184" i="11"/>
  <c r="S184" i="11" s="1"/>
  <c r="AH184" i="11" s="1"/>
  <c r="I185" i="11"/>
  <c r="S185" i="11" s="1"/>
  <c r="AH185" i="11" s="1"/>
  <c r="I186" i="11"/>
  <c r="S186" i="11" s="1"/>
  <c r="AH186" i="11" s="1"/>
  <c r="I187" i="11"/>
  <c r="S187" i="11" s="1"/>
  <c r="AH187" i="11" s="1"/>
  <c r="I188" i="11"/>
  <c r="S188" i="11" s="1"/>
  <c r="AH188" i="11" s="1"/>
  <c r="I189" i="11"/>
  <c r="S189" i="11" s="1"/>
  <c r="AH189" i="11" s="1"/>
  <c r="I190" i="11"/>
  <c r="S190" i="11" s="1"/>
  <c r="AH190" i="11" s="1"/>
  <c r="I191" i="11"/>
  <c r="S191" i="11" s="1"/>
  <c r="AH191" i="11" s="1"/>
  <c r="I192" i="11"/>
  <c r="S192" i="11" s="1"/>
  <c r="AH192" i="11" s="1"/>
  <c r="I193" i="11"/>
  <c r="S193" i="11" s="1"/>
  <c r="AH193" i="11" s="1"/>
  <c r="I194" i="11"/>
  <c r="S194" i="11" s="1"/>
  <c r="AH194" i="11" s="1"/>
  <c r="I195" i="11"/>
  <c r="S195" i="11" s="1"/>
  <c r="AH195" i="11" s="1"/>
  <c r="I196" i="11"/>
  <c r="S196" i="11" s="1"/>
  <c r="AH196" i="11" s="1"/>
  <c r="I197" i="11"/>
  <c r="S197" i="11" s="1"/>
  <c r="AH197" i="11" s="1"/>
  <c r="I198" i="11"/>
  <c r="S198" i="11" s="1"/>
  <c r="AH198" i="11" s="1"/>
  <c r="I199" i="11"/>
  <c r="S199" i="11" s="1"/>
  <c r="AH199" i="11" s="1"/>
  <c r="I200" i="11"/>
  <c r="S200" i="11" s="1"/>
  <c r="AH200" i="11" s="1"/>
  <c r="I201" i="11"/>
  <c r="S201" i="11" s="1"/>
  <c r="AH201" i="11" s="1"/>
  <c r="I202" i="11"/>
  <c r="S202" i="11" s="1"/>
  <c r="AH202" i="11" s="1"/>
  <c r="I203" i="11"/>
  <c r="S203" i="11" s="1"/>
  <c r="AH203" i="11" s="1"/>
  <c r="I204" i="11"/>
  <c r="S204" i="11" s="1"/>
  <c r="AH204" i="11" s="1"/>
  <c r="I205" i="11"/>
  <c r="S205" i="11" s="1"/>
  <c r="AH205" i="11" s="1"/>
  <c r="I206" i="11"/>
  <c r="S206" i="11" s="1"/>
  <c r="AH206" i="11" s="1"/>
  <c r="I207" i="11"/>
  <c r="S207" i="11" s="1"/>
  <c r="AH207" i="11" s="1"/>
  <c r="I208" i="11"/>
  <c r="S208" i="11" s="1"/>
  <c r="AH208" i="11" s="1"/>
  <c r="I209" i="11"/>
  <c r="S209" i="11" s="1"/>
  <c r="AH209" i="11" s="1"/>
  <c r="I210" i="11"/>
  <c r="S210" i="11" s="1"/>
  <c r="AH210" i="11" s="1"/>
  <c r="I211" i="11"/>
  <c r="S211" i="11" s="1"/>
  <c r="AH211" i="11" s="1"/>
  <c r="I212" i="11"/>
  <c r="S212" i="11" s="1"/>
  <c r="AH212" i="11" s="1"/>
  <c r="I213" i="11"/>
  <c r="S213" i="11" s="1"/>
  <c r="AH213" i="11" s="1"/>
  <c r="I214" i="11"/>
  <c r="S214" i="11" s="1"/>
  <c r="AH214" i="11" s="1"/>
  <c r="I215" i="11"/>
  <c r="S215" i="11" s="1"/>
  <c r="AH215" i="11" s="1"/>
  <c r="I216" i="11"/>
  <c r="S216" i="11" s="1"/>
  <c r="AH216" i="11" s="1"/>
  <c r="I217" i="11"/>
  <c r="S217" i="11" s="1"/>
  <c r="AH217" i="11" s="1"/>
  <c r="I218" i="11"/>
  <c r="S218" i="11" s="1"/>
  <c r="AH218" i="11" s="1"/>
  <c r="I219" i="11"/>
  <c r="S219" i="11" s="1"/>
  <c r="AH219" i="11" s="1"/>
  <c r="I220" i="11"/>
  <c r="S220" i="11" s="1"/>
  <c r="AH220" i="11" s="1"/>
  <c r="I221" i="11"/>
  <c r="S221" i="11" s="1"/>
  <c r="AH221" i="11" s="1"/>
  <c r="I222" i="11"/>
  <c r="S222" i="11" s="1"/>
  <c r="AH222" i="11" s="1"/>
  <c r="I223" i="11"/>
  <c r="S223" i="11" s="1"/>
  <c r="AH223" i="11" s="1"/>
  <c r="I224" i="11"/>
  <c r="S224" i="11" s="1"/>
  <c r="AH224" i="11" s="1"/>
  <c r="I225" i="11"/>
  <c r="S225" i="11" s="1"/>
  <c r="AH225" i="11" s="1"/>
  <c r="I226" i="11"/>
  <c r="S226" i="11" s="1"/>
  <c r="AH226" i="11" s="1"/>
  <c r="I227" i="11"/>
  <c r="S227" i="11" s="1"/>
  <c r="AH227" i="11" s="1"/>
  <c r="I228" i="11"/>
  <c r="S228" i="11" s="1"/>
  <c r="AH228" i="11" s="1"/>
  <c r="I229" i="11"/>
  <c r="S229" i="11" s="1"/>
  <c r="AH229" i="11" s="1"/>
  <c r="I230" i="11"/>
  <c r="S230" i="11" s="1"/>
  <c r="AH230" i="11" s="1"/>
  <c r="I231" i="11"/>
  <c r="S231" i="11" s="1"/>
  <c r="AH231" i="11" s="1"/>
  <c r="I232" i="11"/>
  <c r="S232" i="11" s="1"/>
  <c r="AH232" i="11" s="1"/>
  <c r="I233" i="11"/>
  <c r="S233" i="11" s="1"/>
  <c r="AH233" i="11" s="1"/>
  <c r="I234" i="11"/>
  <c r="S234" i="11" s="1"/>
  <c r="AH234" i="11" s="1"/>
  <c r="I235" i="11"/>
  <c r="S235" i="11" s="1"/>
  <c r="AH235" i="11" s="1"/>
  <c r="I236" i="11"/>
  <c r="S236" i="11" s="1"/>
  <c r="AH236" i="11" s="1"/>
  <c r="I237" i="11"/>
  <c r="S237" i="11" s="1"/>
  <c r="AH237" i="11" s="1"/>
  <c r="I238" i="11"/>
  <c r="S238" i="11" s="1"/>
  <c r="AH238" i="11" s="1"/>
  <c r="I239" i="11"/>
  <c r="S239" i="11" s="1"/>
  <c r="AH239" i="11" s="1"/>
  <c r="I240" i="11"/>
  <c r="S240" i="11" s="1"/>
  <c r="AH240" i="11" s="1"/>
  <c r="I241" i="11"/>
  <c r="S241" i="11" s="1"/>
  <c r="AH241" i="11" s="1"/>
  <c r="I242" i="11"/>
  <c r="S242" i="11" s="1"/>
  <c r="AH242" i="11" s="1"/>
  <c r="I243" i="11"/>
  <c r="S243" i="11" s="1"/>
  <c r="AH243" i="11" s="1"/>
  <c r="I244" i="11"/>
  <c r="S244" i="11" s="1"/>
  <c r="AH244" i="11" s="1"/>
  <c r="I245" i="11"/>
  <c r="S245" i="11" s="1"/>
  <c r="AH245" i="11" s="1"/>
  <c r="I246" i="11"/>
  <c r="S246" i="11" s="1"/>
  <c r="AH246" i="11" s="1"/>
  <c r="I247" i="11"/>
  <c r="S247" i="11" s="1"/>
  <c r="AH247" i="11" s="1"/>
  <c r="I248" i="11"/>
  <c r="S248" i="11" s="1"/>
  <c r="AH248" i="11" s="1"/>
  <c r="I249" i="11"/>
  <c r="S249" i="11" s="1"/>
  <c r="AH249" i="11" s="1"/>
  <c r="I250" i="11"/>
  <c r="S250" i="11" s="1"/>
  <c r="AH250" i="11" s="1"/>
  <c r="I251" i="11"/>
  <c r="S251" i="11" s="1"/>
  <c r="AH251" i="11" s="1"/>
  <c r="I252" i="11"/>
  <c r="S252" i="11" s="1"/>
  <c r="AH252" i="11" s="1"/>
  <c r="I253" i="11"/>
  <c r="S253" i="11" s="1"/>
  <c r="AH253" i="11" s="1"/>
  <c r="I254" i="11"/>
  <c r="S254" i="11" s="1"/>
  <c r="AH254" i="11" s="1"/>
  <c r="I255" i="11"/>
  <c r="S255" i="11" s="1"/>
  <c r="AH255" i="11" s="1"/>
  <c r="I256" i="11"/>
  <c r="S256" i="11" s="1"/>
  <c r="AH256" i="11" s="1"/>
  <c r="I257" i="11"/>
  <c r="S257" i="11" s="1"/>
  <c r="AH257" i="11" s="1"/>
  <c r="I258" i="11"/>
  <c r="S258" i="11" s="1"/>
  <c r="AH258" i="11" s="1"/>
  <c r="I259" i="11"/>
  <c r="S259" i="11" s="1"/>
  <c r="AH259" i="11" s="1"/>
  <c r="I260" i="11"/>
  <c r="S260" i="11" s="1"/>
  <c r="AH260" i="11" s="1"/>
  <c r="I261" i="11"/>
  <c r="S261" i="11" s="1"/>
  <c r="AH261" i="11" s="1"/>
  <c r="I262" i="11"/>
  <c r="S262" i="11" s="1"/>
  <c r="AH262" i="11" s="1"/>
  <c r="I263" i="11"/>
  <c r="S263" i="11" s="1"/>
  <c r="AH263" i="11" s="1"/>
  <c r="I264" i="11"/>
  <c r="S264" i="11" s="1"/>
  <c r="AH264" i="11" s="1"/>
  <c r="I265" i="11"/>
  <c r="S265" i="11" s="1"/>
  <c r="AH265" i="11" s="1"/>
  <c r="I266" i="11"/>
  <c r="S266" i="11" s="1"/>
  <c r="AH266" i="11" s="1"/>
  <c r="I267" i="11"/>
  <c r="S267" i="11" s="1"/>
  <c r="AH267" i="11" s="1"/>
  <c r="I268" i="11"/>
  <c r="S268" i="11" s="1"/>
  <c r="AH268" i="11" s="1"/>
  <c r="I269" i="11"/>
  <c r="S269" i="11" s="1"/>
  <c r="AH269" i="11" s="1"/>
  <c r="I270" i="11"/>
  <c r="S270" i="11" s="1"/>
  <c r="AH270" i="11" s="1"/>
  <c r="I271" i="11"/>
  <c r="S271" i="11" s="1"/>
  <c r="AH271" i="11" s="1"/>
  <c r="I272" i="11"/>
  <c r="S272" i="11" s="1"/>
  <c r="AH272" i="11" s="1"/>
  <c r="I273" i="11"/>
  <c r="S273" i="11" s="1"/>
  <c r="AH273" i="11" s="1"/>
  <c r="I274" i="11"/>
  <c r="S274" i="11" s="1"/>
  <c r="AH274" i="11" s="1"/>
  <c r="I275" i="11"/>
  <c r="S275" i="11" s="1"/>
  <c r="AH275" i="11" s="1"/>
  <c r="I276" i="11"/>
  <c r="S276" i="11" s="1"/>
  <c r="AH276" i="11" s="1"/>
  <c r="I277" i="11"/>
  <c r="S277" i="11" s="1"/>
  <c r="AH277" i="11" s="1"/>
  <c r="I278" i="11"/>
  <c r="S278" i="11" s="1"/>
  <c r="AH278" i="11" s="1"/>
  <c r="I279" i="11"/>
  <c r="S279" i="11" s="1"/>
  <c r="AH279" i="11" s="1"/>
  <c r="I280" i="11"/>
  <c r="S280" i="11" s="1"/>
  <c r="AH280" i="11" s="1"/>
  <c r="I281" i="11"/>
  <c r="S281" i="11" s="1"/>
  <c r="AH281" i="11" s="1"/>
  <c r="I282" i="11"/>
  <c r="S282" i="11" s="1"/>
  <c r="AH282" i="11" s="1"/>
  <c r="I283" i="11"/>
  <c r="S283" i="11" s="1"/>
  <c r="AH283" i="11" s="1"/>
  <c r="I284" i="11"/>
  <c r="S284" i="11" s="1"/>
  <c r="AH284" i="11" s="1"/>
  <c r="I285" i="11"/>
  <c r="S285" i="11" s="1"/>
  <c r="AH285" i="11" s="1"/>
  <c r="I286" i="11"/>
  <c r="S286" i="11" s="1"/>
  <c r="AH286" i="11" s="1"/>
  <c r="I287" i="11"/>
  <c r="S287" i="11" s="1"/>
  <c r="AH287" i="11" s="1"/>
  <c r="I288" i="11"/>
  <c r="S288" i="11" s="1"/>
  <c r="AH288" i="11" s="1"/>
  <c r="I289" i="11"/>
  <c r="S289" i="11" s="1"/>
  <c r="AH289" i="11" s="1"/>
  <c r="I290" i="11"/>
  <c r="S290" i="11" s="1"/>
  <c r="AH290" i="11" s="1"/>
  <c r="I291" i="11"/>
  <c r="S291" i="11" s="1"/>
  <c r="AH291" i="11" s="1"/>
  <c r="I292" i="11"/>
  <c r="S292" i="11" s="1"/>
  <c r="AH292" i="11" s="1"/>
  <c r="I293" i="11"/>
  <c r="S293" i="11" s="1"/>
  <c r="AH293" i="11" s="1"/>
  <c r="I294" i="11"/>
  <c r="S294" i="11" s="1"/>
  <c r="AH294" i="11" s="1"/>
  <c r="I295" i="11"/>
  <c r="S295" i="11" s="1"/>
  <c r="AH295" i="11" s="1"/>
  <c r="I296" i="11"/>
  <c r="S296" i="11" s="1"/>
  <c r="AH296" i="11" s="1"/>
  <c r="I297" i="11"/>
  <c r="S297" i="11" s="1"/>
  <c r="AH297" i="11" s="1"/>
  <c r="I298" i="11"/>
  <c r="S298" i="11" s="1"/>
  <c r="AH298" i="11" s="1"/>
  <c r="I299" i="11"/>
  <c r="S299" i="11" s="1"/>
  <c r="AH299" i="11" s="1"/>
  <c r="I300" i="11"/>
  <c r="S300" i="11" s="1"/>
  <c r="AH300" i="11" s="1"/>
  <c r="I301" i="11"/>
  <c r="S301" i="11" s="1"/>
  <c r="AH301" i="11" s="1"/>
  <c r="I302" i="11"/>
  <c r="S302" i="11" s="1"/>
  <c r="AH302" i="11" s="1"/>
  <c r="I303" i="11"/>
  <c r="S303" i="11" s="1"/>
  <c r="AH303" i="11" s="1"/>
  <c r="I304" i="11"/>
  <c r="S304" i="11" s="1"/>
  <c r="AH304" i="11" s="1"/>
  <c r="I305" i="11"/>
  <c r="S305" i="11" s="1"/>
  <c r="AH305" i="11" s="1"/>
  <c r="I306" i="11"/>
  <c r="S306" i="11" s="1"/>
  <c r="AH306" i="11" s="1"/>
  <c r="I307" i="11"/>
  <c r="S307" i="11" s="1"/>
  <c r="AH307" i="11" s="1"/>
  <c r="I308" i="11"/>
  <c r="S308" i="11" s="1"/>
  <c r="AH308" i="11" s="1"/>
  <c r="I309" i="11"/>
  <c r="S309" i="11" s="1"/>
  <c r="AH309" i="11" s="1"/>
  <c r="I310" i="11"/>
  <c r="S310" i="11" s="1"/>
  <c r="AH310" i="11" s="1"/>
  <c r="I311" i="11"/>
  <c r="S311" i="11" s="1"/>
  <c r="AH311" i="11" s="1"/>
  <c r="I312" i="11"/>
  <c r="S312" i="11" s="1"/>
  <c r="AH312" i="11" s="1"/>
  <c r="I313" i="11"/>
  <c r="S313" i="11" s="1"/>
  <c r="AH313" i="11" s="1"/>
  <c r="I314" i="11"/>
  <c r="S314" i="11" s="1"/>
  <c r="AH314" i="11" s="1"/>
  <c r="I315" i="11"/>
  <c r="S315" i="11" s="1"/>
  <c r="AH315" i="11" s="1"/>
  <c r="I316" i="11"/>
  <c r="S316" i="11" s="1"/>
  <c r="AH316" i="11" s="1"/>
  <c r="I317" i="11"/>
  <c r="S317" i="11" s="1"/>
  <c r="AH317" i="11" s="1"/>
  <c r="I318" i="11"/>
  <c r="S318" i="11" s="1"/>
  <c r="AH318" i="11" s="1"/>
  <c r="I319" i="11"/>
  <c r="S319" i="11" s="1"/>
  <c r="AH319" i="11" s="1"/>
  <c r="I320" i="11"/>
  <c r="S320" i="11" s="1"/>
  <c r="AH320" i="11" s="1"/>
  <c r="I321" i="11"/>
  <c r="S321" i="11" s="1"/>
  <c r="AH321" i="11" s="1"/>
  <c r="I322" i="11"/>
  <c r="S322" i="11" s="1"/>
  <c r="AH322" i="11" s="1"/>
  <c r="I323" i="11"/>
  <c r="S323" i="11" s="1"/>
  <c r="AH323" i="11" s="1"/>
  <c r="I324" i="11"/>
  <c r="S324" i="11" s="1"/>
  <c r="AH324" i="11" s="1"/>
  <c r="I325" i="11"/>
  <c r="S325" i="11" s="1"/>
  <c r="AH325" i="11" s="1"/>
  <c r="I326" i="11"/>
  <c r="S326" i="11" s="1"/>
  <c r="AH326" i="11" s="1"/>
  <c r="I327" i="11"/>
  <c r="S327" i="11" s="1"/>
  <c r="AH327" i="11" s="1"/>
  <c r="I328" i="11"/>
  <c r="S328" i="11" s="1"/>
  <c r="AH328" i="11" s="1"/>
  <c r="I329" i="11"/>
  <c r="S329" i="11" s="1"/>
  <c r="AH329" i="11" s="1"/>
  <c r="I330" i="11"/>
  <c r="S330" i="11" s="1"/>
  <c r="AH330" i="11" s="1"/>
  <c r="I331" i="11"/>
  <c r="S331" i="11" s="1"/>
  <c r="AH331" i="11" s="1"/>
  <c r="I332" i="11"/>
  <c r="S332" i="11" s="1"/>
  <c r="AH332" i="11" s="1"/>
  <c r="I333" i="11"/>
  <c r="S333" i="11" s="1"/>
  <c r="AH333" i="11" s="1"/>
  <c r="I334" i="11"/>
  <c r="S334" i="11" s="1"/>
  <c r="AH334" i="11" s="1"/>
  <c r="I335" i="11"/>
  <c r="S335" i="11" s="1"/>
  <c r="AH335" i="11" s="1"/>
  <c r="I336" i="11"/>
  <c r="S336" i="11" s="1"/>
  <c r="AH336" i="11" s="1"/>
  <c r="I337" i="11"/>
  <c r="S337" i="11" s="1"/>
  <c r="AH337" i="11" s="1"/>
  <c r="I338" i="11"/>
  <c r="S338" i="11" s="1"/>
  <c r="AH338" i="11" s="1"/>
  <c r="I339" i="11"/>
  <c r="S339" i="11" s="1"/>
  <c r="AH339" i="11" s="1"/>
  <c r="I340" i="11"/>
  <c r="S340" i="11" s="1"/>
  <c r="AH340" i="11" s="1"/>
  <c r="I341" i="11"/>
  <c r="S341" i="11" s="1"/>
  <c r="AH341" i="11" s="1"/>
  <c r="I342" i="11"/>
  <c r="S342" i="11" s="1"/>
  <c r="AH342" i="11" s="1"/>
  <c r="I343" i="11"/>
  <c r="S343" i="11" s="1"/>
  <c r="AH343" i="11" s="1"/>
  <c r="I344" i="11"/>
  <c r="S344" i="11" s="1"/>
  <c r="AH344" i="11" s="1"/>
  <c r="I345" i="11"/>
  <c r="S345" i="11" s="1"/>
  <c r="AH345" i="11" s="1"/>
  <c r="I346" i="11"/>
  <c r="S346" i="11" s="1"/>
  <c r="AH346" i="11" s="1"/>
  <c r="I347" i="11"/>
  <c r="S347" i="11" s="1"/>
  <c r="AH347" i="11" s="1"/>
  <c r="I348" i="11"/>
  <c r="S348" i="11" s="1"/>
  <c r="AH348" i="11" s="1"/>
  <c r="I349" i="11"/>
  <c r="S349" i="11" s="1"/>
  <c r="AH349" i="11" s="1"/>
  <c r="I350" i="11"/>
  <c r="S350" i="11" s="1"/>
  <c r="AH350" i="11" s="1"/>
  <c r="I351" i="11"/>
  <c r="S351" i="11" s="1"/>
  <c r="AH351" i="11" s="1"/>
  <c r="I3" i="11"/>
  <c r="S3" i="11" s="1"/>
  <c r="AH3" i="11" s="1"/>
  <c r="I4" i="11"/>
  <c r="S4" i="11" s="1"/>
  <c r="AH4" i="11" s="1"/>
  <c r="I5" i="11"/>
  <c r="S5" i="11" s="1"/>
  <c r="AH5" i="11" s="1"/>
  <c r="Z351" i="11"/>
  <c r="P351" i="11"/>
  <c r="AE351" i="11" s="1"/>
  <c r="N351" i="11"/>
  <c r="AC351" i="11" s="1"/>
  <c r="O351" i="11"/>
  <c r="AD351" i="11" s="1"/>
  <c r="Z350" i="11"/>
  <c r="P350" i="11"/>
  <c r="AE350" i="11" s="1"/>
  <c r="N350" i="11"/>
  <c r="AC350" i="11" s="1"/>
  <c r="O350" i="11"/>
  <c r="AD350" i="11" s="1"/>
  <c r="Z349" i="11"/>
  <c r="P349" i="11"/>
  <c r="AE349" i="11" s="1"/>
  <c r="N349" i="11"/>
  <c r="AC349" i="11" s="1"/>
  <c r="O349" i="11"/>
  <c r="AD349" i="11" s="1"/>
  <c r="Z348" i="11"/>
  <c r="P348" i="11"/>
  <c r="AE348" i="11" s="1"/>
  <c r="N348" i="11"/>
  <c r="AC348" i="11" s="1"/>
  <c r="O348" i="11"/>
  <c r="AD348" i="11" s="1"/>
  <c r="Z347" i="11"/>
  <c r="P347" i="11"/>
  <c r="AE347" i="11" s="1"/>
  <c r="N347" i="11"/>
  <c r="AC347" i="11" s="1"/>
  <c r="O347" i="11"/>
  <c r="AD347" i="11" s="1"/>
  <c r="Z346" i="11"/>
  <c r="P346" i="11"/>
  <c r="AE346" i="11" s="1"/>
  <c r="N346" i="11"/>
  <c r="AC346" i="11" s="1"/>
  <c r="O346" i="11"/>
  <c r="AD346" i="11" s="1"/>
  <c r="Z345" i="11"/>
  <c r="P345" i="11"/>
  <c r="AE345" i="11" s="1"/>
  <c r="N345" i="11"/>
  <c r="AC345" i="11" s="1"/>
  <c r="O345" i="11"/>
  <c r="AD345" i="11" s="1"/>
  <c r="Z344" i="11"/>
  <c r="P344" i="11"/>
  <c r="AE344" i="11" s="1"/>
  <c r="N344" i="11"/>
  <c r="AC344" i="11" s="1"/>
  <c r="O344" i="11"/>
  <c r="AD344" i="11" s="1"/>
  <c r="Z343" i="11"/>
  <c r="P343" i="11"/>
  <c r="AE343" i="11" s="1"/>
  <c r="N343" i="11"/>
  <c r="AC343" i="11" s="1"/>
  <c r="O343" i="11"/>
  <c r="AD343" i="11" s="1"/>
  <c r="Z342" i="11"/>
  <c r="P342" i="11"/>
  <c r="AE342" i="11" s="1"/>
  <c r="N342" i="11"/>
  <c r="AC342" i="11" s="1"/>
  <c r="O342" i="11"/>
  <c r="AD342" i="11" s="1"/>
  <c r="Z341" i="11"/>
  <c r="P341" i="11"/>
  <c r="AE341" i="11" s="1"/>
  <c r="N341" i="11"/>
  <c r="AC341" i="11" s="1"/>
  <c r="O341" i="11"/>
  <c r="AD341" i="11" s="1"/>
  <c r="Z340" i="11"/>
  <c r="P340" i="11"/>
  <c r="AE340" i="11" s="1"/>
  <c r="N340" i="11"/>
  <c r="AC340" i="11" s="1"/>
  <c r="O340" i="11"/>
  <c r="AD340" i="11" s="1"/>
  <c r="Z339" i="11"/>
  <c r="P339" i="11"/>
  <c r="AE339" i="11" s="1"/>
  <c r="N339" i="11"/>
  <c r="AC339" i="11" s="1"/>
  <c r="O339" i="11"/>
  <c r="AD339" i="11" s="1"/>
  <c r="Z338" i="11"/>
  <c r="P338" i="11"/>
  <c r="AE338" i="11" s="1"/>
  <c r="N338" i="11"/>
  <c r="AC338" i="11" s="1"/>
  <c r="O338" i="11"/>
  <c r="AD338" i="11" s="1"/>
  <c r="Z337" i="11"/>
  <c r="P337" i="11"/>
  <c r="AE337" i="11" s="1"/>
  <c r="N337" i="11"/>
  <c r="AC337" i="11" s="1"/>
  <c r="O337" i="11"/>
  <c r="AD337" i="11" s="1"/>
  <c r="Z336" i="11"/>
  <c r="P336" i="11"/>
  <c r="AE336" i="11" s="1"/>
  <c r="N336" i="11"/>
  <c r="AC336" i="11" s="1"/>
  <c r="O336" i="11"/>
  <c r="AD336" i="11" s="1"/>
  <c r="Z335" i="11"/>
  <c r="P335" i="11"/>
  <c r="AE335" i="11" s="1"/>
  <c r="N335" i="11"/>
  <c r="AC335" i="11" s="1"/>
  <c r="O335" i="11"/>
  <c r="AD335" i="11" s="1"/>
  <c r="Z334" i="11"/>
  <c r="P334" i="11"/>
  <c r="AE334" i="11" s="1"/>
  <c r="N334" i="11"/>
  <c r="AC334" i="11" s="1"/>
  <c r="O334" i="11"/>
  <c r="AD334" i="11" s="1"/>
  <c r="Z333" i="11"/>
  <c r="P333" i="11"/>
  <c r="AE333" i="11" s="1"/>
  <c r="N333" i="11"/>
  <c r="AC333" i="11" s="1"/>
  <c r="O333" i="11"/>
  <c r="AD333" i="11" s="1"/>
  <c r="Z332" i="11"/>
  <c r="P332" i="11"/>
  <c r="AE332" i="11" s="1"/>
  <c r="N332" i="11"/>
  <c r="AC332" i="11" s="1"/>
  <c r="O332" i="11"/>
  <c r="AD332" i="11" s="1"/>
  <c r="Z331" i="11"/>
  <c r="P331" i="11"/>
  <c r="AE331" i="11" s="1"/>
  <c r="N331" i="11"/>
  <c r="AC331" i="11" s="1"/>
  <c r="O331" i="11"/>
  <c r="AD331" i="11" s="1"/>
  <c r="Z330" i="11"/>
  <c r="P330" i="11"/>
  <c r="AE330" i="11" s="1"/>
  <c r="N330" i="11"/>
  <c r="AC330" i="11" s="1"/>
  <c r="O330" i="11"/>
  <c r="AD330" i="11" s="1"/>
  <c r="Z329" i="11"/>
  <c r="P329" i="11"/>
  <c r="AE329" i="11" s="1"/>
  <c r="N329" i="11"/>
  <c r="AC329" i="11" s="1"/>
  <c r="O329" i="11"/>
  <c r="AD329" i="11" s="1"/>
  <c r="Z328" i="11"/>
  <c r="P328" i="11"/>
  <c r="AE328" i="11" s="1"/>
  <c r="N328" i="11"/>
  <c r="AC328" i="11" s="1"/>
  <c r="O328" i="11"/>
  <c r="AD328" i="11" s="1"/>
  <c r="Z327" i="11"/>
  <c r="P327" i="11"/>
  <c r="AE327" i="11" s="1"/>
  <c r="N327" i="11"/>
  <c r="AC327" i="11" s="1"/>
  <c r="O327" i="11"/>
  <c r="AD327" i="11" s="1"/>
  <c r="Z326" i="11"/>
  <c r="P326" i="11"/>
  <c r="AE326" i="11" s="1"/>
  <c r="N326" i="11"/>
  <c r="AC326" i="11" s="1"/>
  <c r="O326" i="11"/>
  <c r="AD326" i="11" s="1"/>
  <c r="Z325" i="11"/>
  <c r="P325" i="11"/>
  <c r="AE325" i="11" s="1"/>
  <c r="N325" i="11"/>
  <c r="AC325" i="11" s="1"/>
  <c r="O325" i="11"/>
  <c r="AD325" i="11" s="1"/>
  <c r="Z324" i="11"/>
  <c r="P324" i="11"/>
  <c r="AE324" i="11" s="1"/>
  <c r="N324" i="11"/>
  <c r="AC324" i="11" s="1"/>
  <c r="O324" i="11"/>
  <c r="AD324" i="11" s="1"/>
  <c r="Z323" i="11"/>
  <c r="P323" i="11"/>
  <c r="AE323" i="11" s="1"/>
  <c r="N323" i="11"/>
  <c r="AC323" i="11" s="1"/>
  <c r="O323" i="11"/>
  <c r="AD323" i="11" s="1"/>
  <c r="Z322" i="11"/>
  <c r="P322" i="11"/>
  <c r="AE322" i="11" s="1"/>
  <c r="N322" i="11"/>
  <c r="AC322" i="11" s="1"/>
  <c r="O322" i="11"/>
  <c r="AD322" i="11" s="1"/>
  <c r="Z321" i="11"/>
  <c r="P321" i="11"/>
  <c r="AE321" i="11" s="1"/>
  <c r="N321" i="11"/>
  <c r="AC321" i="11" s="1"/>
  <c r="O321" i="11"/>
  <c r="AD321" i="11" s="1"/>
  <c r="Z320" i="11"/>
  <c r="P320" i="11"/>
  <c r="AE320" i="11" s="1"/>
  <c r="N320" i="11"/>
  <c r="AC320" i="11" s="1"/>
  <c r="O320" i="11"/>
  <c r="AD320" i="11" s="1"/>
  <c r="Z319" i="11"/>
  <c r="P319" i="11"/>
  <c r="AE319" i="11" s="1"/>
  <c r="N319" i="11"/>
  <c r="AC319" i="11" s="1"/>
  <c r="O319" i="11"/>
  <c r="AD319" i="11" s="1"/>
  <c r="Z318" i="11"/>
  <c r="P318" i="11"/>
  <c r="AE318" i="11" s="1"/>
  <c r="N318" i="11"/>
  <c r="AC318" i="11" s="1"/>
  <c r="O318" i="11"/>
  <c r="AD318" i="11" s="1"/>
  <c r="Z317" i="11"/>
  <c r="P317" i="11"/>
  <c r="AE317" i="11" s="1"/>
  <c r="N317" i="11"/>
  <c r="AC317" i="11" s="1"/>
  <c r="O317" i="11"/>
  <c r="AD317" i="11" s="1"/>
  <c r="Z316" i="11"/>
  <c r="P316" i="11"/>
  <c r="AE316" i="11" s="1"/>
  <c r="N316" i="11"/>
  <c r="AC316" i="11" s="1"/>
  <c r="O316" i="11"/>
  <c r="AD316" i="11" s="1"/>
  <c r="Z315" i="11"/>
  <c r="P315" i="11"/>
  <c r="AE315" i="11" s="1"/>
  <c r="N315" i="11"/>
  <c r="AC315" i="11" s="1"/>
  <c r="O315" i="11"/>
  <c r="AD315" i="11" s="1"/>
  <c r="Z314" i="11"/>
  <c r="P314" i="11"/>
  <c r="AE314" i="11" s="1"/>
  <c r="N314" i="11"/>
  <c r="AC314" i="11" s="1"/>
  <c r="O314" i="11"/>
  <c r="AD314" i="11" s="1"/>
  <c r="Z313" i="11"/>
  <c r="P313" i="11"/>
  <c r="AE313" i="11" s="1"/>
  <c r="N313" i="11"/>
  <c r="AC313" i="11" s="1"/>
  <c r="O313" i="11"/>
  <c r="AD313" i="11" s="1"/>
  <c r="Z312" i="11"/>
  <c r="P312" i="11"/>
  <c r="AE312" i="11" s="1"/>
  <c r="N312" i="11"/>
  <c r="AC312" i="11" s="1"/>
  <c r="O312" i="11"/>
  <c r="AD312" i="11" s="1"/>
  <c r="Z311" i="11"/>
  <c r="P311" i="11"/>
  <c r="AE311" i="11" s="1"/>
  <c r="N311" i="11"/>
  <c r="AC311" i="11" s="1"/>
  <c r="O311" i="11"/>
  <c r="AD311" i="11" s="1"/>
  <c r="Z310" i="11"/>
  <c r="P310" i="11"/>
  <c r="AE310" i="11" s="1"/>
  <c r="N310" i="11"/>
  <c r="AC310" i="11" s="1"/>
  <c r="O310" i="11"/>
  <c r="AD310" i="11" s="1"/>
  <c r="Z309" i="11"/>
  <c r="P309" i="11"/>
  <c r="AE309" i="11" s="1"/>
  <c r="N309" i="11"/>
  <c r="AC309" i="11" s="1"/>
  <c r="O309" i="11"/>
  <c r="AD309" i="11" s="1"/>
  <c r="Z308" i="11"/>
  <c r="P308" i="11"/>
  <c r="AE308" i="11" s="1"/>
  <c r="N308" i="11"/>
  <c r="AC308" i="11" s="1"/>
  <c r="O308" i="11"/>
  <c r="AD308" i="11" s="1"/>
  <c r="Z307" i="11"/>
  <c r="P307" i="11"/>
  <c r="AE307" i="11" s="1"/>
  <c r="N307" i="11"/>
  <c r="AC307" i="11" s="1"/>
  <c r="O307" i="11"/>
  <c r="AD307" i="11" s="1"/>
  <c r="Z306" i="11"/>
  <c r="P306" i="11"/>
  <c r="AE306" i="11" s="1"/>
  <c r="N306" i="11"/>
  <c r="AC306" i="11" s="1"/>
  <c r="O306" i="11"/>
  <c r="AD306" i="11" s="1"/>
  <c r="Z305" i="11"/>
  <c r="P305" i="11"/>
  <c r="AE305" i="11" s="1"/>
  <c r="N305" i="11"/>
  <c r="AC305" i="11" s="1"/>
  <c r="O305" i="11"/>
  <c r="AD305" i="11" s="1"/>
  <c r="Z304" i="11"/>
  <c r="P304" i="11"/>
  <c r="AE304" i="11" s="1"/>
  <c r="N304" i="11"/>
  <c r="AC304" i="11" s="1"/>
  <c r="O304" i="11"/>
  <c r="AD304" i="11" s="1"/>
  <c r="Z303" i="11"/>
  <c r="P303" i="11"/>
  <c r="AE303" i="11" s="1"/>
  <c r="N303" i="11"/>
  <c r="AC303" i="11" s="1"/>
  <c r="O303" i="11"/>
  <c r="AD303" i="11" s="1"/>
  <c r="Z302" i="11"/>
  <c r="P302" i="11"/>
  <c r="AE302" i="11" s="1"/>
  <c r="N302" i="11"/>
  <c r="AC302" i="11" s="1"/>
  <c r="O302" i="11"/>
  <c r="AD302" i="11" s="1"/>
  <c r="Z301" i="11"/>
  <c r="P301" i="11"/>
  <c r="AE301" i="11" s="1"/>
  <c r="N301" i="11"/>
  <c r="AC301" i="11" s="1"/>
  <c r="O301" i="11"/>
  <c r="AD301" i="11" s="1"/>
  <c r="Z300" i="11"/>
  <c r="P300" i="11"/>
  <c r="AE300" i="11" s="1"/>
  <c r="N300" i="11"/>
  <c r="AC300" i="11" s="1"/>
  <c r="O300" i="11"/>
  <c r="AD300" i="11" s="1"/>
  <c r="Z299" i="11"/>
  <c r="P299" i="11"/>
  <c r="AE299" i="11" s="1"/>
  <c r="N299" i="11"/>
  <c r="AC299" i="11" s="1"/>
  <c r="O299" i="11"/>
  <c r="AD299" i="11" s="1"/>
  <c r="Z298" i="11"/>
  <c r="P298" i="11"/>
  <c r="AE298" i="11" s="1"/>
  <c r="N298" i="11"/>
  <c r="AC298" i="11" s="1"/>
  <c r="O298" i="11"/>
  <c r="AD298" i="11" s="1"/>
  <c r="Z297" i="11"/>
  <c r="P297" i="11"/>
  <c r="AE297" i="11" s="1"/>
  <c r="N297" i="11"/>
  <c r="AC297" i="11" s="1"/>
  <c r="O297" i="11"/>
  <c r="AD297" i="11" s="1"/>
  <c r="Z296" i="11"/>
  <c r="P296" i="11"/>
  <c r="AE296" i="11" s="1"/>
  <c r="N296" i="11"/>
  <c r="AC296" i="11" s="1"/>
  <c r="O296" i="11"/>
  <c r="AD296" i="11" s="1"/>
  <c r="Z295" i="11"/>
  <c r="P295" i="11"/>
  <c r="AE295" i="11" s="1"/>
  <c r="N295" i="11"/>
  <c r="AC295" i="11" s="1"/>
  <c r="O295" i="11"/>
  <c r="AD295" i="11" s="1"/>
  <c r="Z294" i="11"/>
  <c r="P294" i="11"/>
  <c r="AE294" i="11" s="1"/>
  <c r="N294" i="11"/>
  <c r="AC294" i="11" s="1"/>
  <c r="O294" i="11"/>
  <c r="AD294" i="11" s="1"/>
  <c r="Z293" i="11"/>
  <c r="P293" i="11"/>
  <c r="AE293" i="11" s="1"/>
  <c r="N293" i="11"/>
  <c r="AC293" i="11" s="1"/>
  <c r="O293" i="11"/>
  <c r="AD293" i="11" s="1"/>
  <c r="Z292" i="11"/>
  <c r="P292" i="11"/>
  <c r="AE292" i="11" s="1"/>
  <c r="N292" i="11"/>
  <c r="AC292" i="11" s="1"/>
  <c r="O292" i="11"/>
  <c r="AD292" i="11" s="1"/>
  <c r="Z291" i="11"/>
  <c r="P291" i="11"/>
  <c r="AE291" i="11" s="1"/>
  <c r="N291" i="11"/>
  <c r="AC291" i="11" s="1"/>
  <c r="O291" i="11"/>
  <c r="AD291" i="11" s="1"/>
  <c r="Z290" i="11"/>
  <c r="P290" i="11"/>
  <c r="AE290" i="11" s="1"/>
  <c r="N290" i="11"/>
  <c r="AC290" i="11" s="1"/>
  <c r="O290" i="11"/>
  <c r="AD290" i="11" s="1"/>
  <c r="Z289" i="11"/>
  <c r="P289" i="11"/>
  <c r="AE289" i="11" s="1"/>
  <c r="N289" i="11"/>
  <c r="AC289" i="11" s="1"/>
  <c r="O289" i="11"/>
  <c r="AD289" i="11" s="1"/>
  <c r="Z288" i="11"/>
  <c r="P288" i="11"/>
  <c r="AE288" i="11" s="1"/>
  <c r="N288" i="11"/>
  <c r="AC288" i="11" s="1"/>
  <c r="O288" i="11"/>
  <c r="AD288" i="11" s="1"/>
  <c r="Z287" i="11"/>
  <c r="P287" i="11"/>
  <c r="AE287" i="11" s="1"/>
  <c r="N287" i="11"/>
  <c r="AC287" i="11" s="1"/>
  <c r="O287" i="11"/>
  <c r="AD287" i="11" s="1"/>
  <c r="Z286" i="11"/>
  <c r="P286" i="11"/>
  <c r="AE286" i="11" s="1"/>
  <c r="N286" i="11"/>
  <c r="AC286" i="11" s="1"/>
  <c r="O286" i="11"/>
  <c r="AD286" i="11" s="1"/>
  <c r="Z285" i="11"/>
  <c r="P285" i="11"/>
  <c r="AE285" i="11" s="1"/>
  <c r="N285" i="11"/>
  <c r="AC285" i="11" s="1"/>
  <c r="O285" i="11"/>
  <c r="AD285" i="11" s="1"/>
  <c r="Z284" i="11"/>
  <c r="P284" i="11"/>
  <c r="AE284" i="11" s="1"/>
  <c r="N284" i="11"/>
  <c r="AC284" i="11" s="1"/>
  <c r="O284" i="11"/>
  <c r="AD284" i="11" s="1"/>
  <c r="Z283" i="11"/>
  <c r="P283" i="11"/>
  <c r="AE283" i="11" s="1"/>
  <c r="N283" i="11"/>
  <c r="AC283" i="11" s="1"/>
  <c r="O283" i="11"/>
  <c r="AD283" i="11" s="1"/>
  <c r="Z282" i="11"/>
  <c r="P282" i="11"/>
  <c r="AE282" i="11" s="1"/>
  <c r="N282" i="11"/>
  <c r="AC282" i="11" s="1"/>
  <c r="O282" i="11"/>
  <c r="AD282" i="11" s="1"/>
  <c r="Z281" i="11"/>
  <c r="P281" i="11"/>
  <c r="AE281" i="11" s="1"/>
  <c r="N281" i="11"/>
  <c r="AC281" i="11" s="1"/>
  <c r="O281" i="11"/>
  <c r="AD281" i="11" s="1"/>
  <c r="Z280" i="11"/>
  <c r="P280" i="11"/>
  <c r="AE280" i="11" s="1"/>
  <c r="N280" i="11"/>
  <c r="AC280" i="11" s="1"/>
  <c r="O280" i="11"/>
  <c r="AD280" i="11" s="1"/>
  <c r="Z279" i="11"/>
  <c r="P279" i="11"/>
  <c r="AE279" i="11" s="1"/>
  <c r="N279" i="11"/>
  <c r="AC279" i="11" s="1"/>
  <c r="O279" i="11"/>
  <c r="AD279" i="11" s="1"/>
  <c r="Z278" i="11"/>
  <c r="P278" i="11"/>
  <c r="AE278" i="11" s="1"/>
  <c r="N278" i="11"/>
  <c r="AC278" i="11" s="1"/>
  <c r="O278" i="11"/>
  <c r="AD278" i="11" s="1"/>
  <c r="Z277" i="11"/>
  <c r="P277" i="11"/>
  <c r="AE277" i="11" s="1"/>
  <c r="N277" i="11"/>
  <c r="AC277" i="11" s="1"/>
  <c r="O277" i="11"/>
  <c r="AD277" i="11" s="1"/>
  <c r="Z276" i="11"/>
  <c r="P276" i="11"/>
  <c r="AE276" i="11" s="1"/>
  <c r="N276" i="11"/>
  <c r="AC276" i="11" s="1"/>
  <c r="O276" i="11"/>
  <c r="AD276" i="11" s="1"/>
  <c r="Z275" i="11"/>
  <c r="P275" i="11"/>
  <c r="AE275" i="11" s="1"/>
  <c r="N275" i="11"/>
  <c r="AC275" i="11" s="1"/>
  <c r="O275" i="11"/>
  <c r="AD275" i="11" s="1"/>
  <c r="Z274" i="11"/>
  <c r="P274" i="11"/>
  <c r="AE274" i="11" s="1"/>
  <c r="N274" i="11"/>
  <c r="AC274" i="11" s="1"/>
  <c r="O274" i="11"/>
  <c r="AD274" i="11" s="1"/>
  <c r="Z273" i="11"/>
  <c r="P273" i="11"/>
  <c r="AE273" i="11" s="1"/>
  <c r="N273" i="11"/>
  <c r="AC273" i="11" s="1"/>
  <c r="O273" i="11"/>
  <c r="AD273" i="11" s="1"/>
  <c r="Z272" i="11"/>
  <c r="P272" i="11"/>
  <c r="AE272" i="11" s="1"/>
  <c r="N272" i="11"/>
  <c r="AC272" i="11" s="1"/>
  <c r="O272" i="11"/>
  <c r="AD272" i="11" s="1"/>
  <c r="Z271" i="11"/>
  <c r="P271" i="11"/>
  <c r="AE271" i="11" s="1"/>
  <c r="N271" i="11"/>
  <c r="AC271" i="11" s="1"/>
  <c r="O271" i="11"/>
  <c r="AD271" i="11" s="1"/>
  <c r="Z270" i="11"/>
  <c r="P270" i="11"/>
  <c r="AE270" i="11" s="1"/>
  <c r="N270" i="11"/>
  <c r="AC270" i="11" s="1"/>
  <c r="O270" i="11"/>
  <c r="AD270" i="11" s="1"/>
  <c r="Z269" i="11"/>
  <c r="P269" i="11"/>
  <c r="AE269" i="11" s="1"/>
  <c r="N269" i="11"/>
  <c r="AC269" i="11" s="1"/>
  <c r="O269" i="11"/>
  <c r="AD269" i="11" s="1"/>
  <c r="Z268" i="11"/>
  <c r="P268" i="11"/>
  <c r="AE268" i="11" s="1"/>
  <c r="N268" i="11"/>
  <c r="AC268" i="11" s="1"/>
  <c r="O268" i="11"/>
  <c r="AD268" i="11" s="1"/>
  <c r="Z267" i="11"/>
  <c r="P267" i="11"/>
  <c r="AE267" i="11" s="1"/>
  <c r="N267" i="11"/>
  <c r="AC267" i="11" s="1"/>
  <c r="O267" i="11"/>
  <c r="AD267" i="11" s="1"/>
  <c r="Z266" i="11"/>
  <c r="P266" i="11"/>
  <c r="AE266" i="11" s="1"/>
  <c r="N266" i="11"/>
  <c r="AC266" i="11" s="1"/>
  <c r="O266" i="11"/>
  <c r="AD266" i="11" s="1"/>
  <c r="Z265" i="11"/>
  <c r="P265" i="11"/>
  <c r="AE265" i="11" s="1"/>
  <c r="N265" i="11"/>
  <c r="AC265" i="11" s="1"/>
  <c r="O265" i="11"/>
  <c r="AD265" i="11" s="1"/>
  <c r="Z264" i="11"/>
  <c r="P264" i="11"/>
  <c r="AE264" i="11" s="1"/>
  <c r="N264" i="11"/>
  <c r="AC264" i="11" s="1"/>
  <c r="O264" i="11"/>
  <c r="AD264" i="11" s="1"/>
  <c r="Z263" i="11"/>
  <c r="P263" i="11"/>
  <c r="AE263" i="11" s="1"/>
  <c r="N263" i="11"/>
  <c r="AC263" i="11" s="1"/>
  <c r="O263" i="11"/>
  <c r="AD263" i="11" s="1"/>
  <c r="Z262" i="11"/>
  <c r="P262" i="11"/>
  <c r="AE262" i="11" s="1"/>
  <c r="N262" i="11"/>
  <c r="AC262" i="11" s="1"/>
  <c r="O262" i="11"/>
  <c r="AD262" i="11" s="1"/>
  <c r="Z261" i="11"/>
  <c r="P261" i="11"/>
  <c r="AE261" i="11" s="1"/>
  <c r="N261" i="11"/>
  <c r="AC261" i="11" s="1"/>
  <c r="O261" i="11"/>
  <c r="AD261" i="11" s="1"/>
  <c r="Z260" i="11"/>
  <c r="P260" i="11"/>
  <c r="AE260" i="11" s="1"/>
  <c r="N260" i="11"/>
  <c r="AC260" i="11" s="1"/>
  <c r="O260" i="11"/>
  <c r="AD260" i="11" s="1"/>
  <c r="Z259" i="11"/>
  <c r="P259" i="11"/>
  <c r="AE259" i="11" s="1"/>
  <c r="N259" i="11"/>
  <c r="AC259" i="11" s="1"/>
  <c r="O259" i="11"/>
  <c r="AD259" i="11" s="1"/>
  <c r="Z258" i="11"/>
  <c r="P258" i="11"/>
  <c r="AE258" i="11" s="1"/>
  <c r="N258" i="11"/>
  <c r="AC258" i="11" s="1"/>
  <c r="O258" i="11"/>
  <c r="AD258" i="11" s="1"/>
  <c r="Z257" i="11"/>
  <c r="P257" i="11"/>
  <c r="AE257" i="11" s="1"/>
  <c r="N257" i="11"/>
  <c r="AC257" i="11" s="1"/>
  <c r="O257" i="11"/>
  <c r="AD257" i="11" s="1"/>
  <c r="Z256" i="11"/>
  <c r="P256" i="11"/>
  <c r="AE256" i="11" s="1"/>
  <c r="N256" i="11"/>
  <c r="AC256" i="11" s="1"/>
  <c r="O256" i="11"/>
  <c r="AD256" i="11" s="1"/>
  <c r="Z255" i="11"/>
  <c r="P255" i="11"/>
  <c r="AE255" i="11" s="1"/>
  <c r="N255" i="11"/>
  <c r="AC255" i="11" s="1"/>
  <c r="O255" i="11"/>
  <c r="AD255" i="11" s="1"/>
  <c r="Z254" i="11"/>
  <c r="P254" i="11"/>
  <c r="AE254" i="11" s="1"/>
  <c r="N254" i="11"/>
  <c r="AC254" i="11" s="1"/>
  <c r="O254" i="11"/>
  <c r="AD254" i="11" s="1"/>
  <c r="Z253" i="11"/>
  <c r="P253" i="11"/>
  <c r="AE253" i="11" s="1"/>
  <c r="N253" i="11"/>
  <c r="AC253" i="11" s="1"/>
  <c r="O253" i="11"/>
  <c r="AD253" i="11" s="1"/>
  <c r="Z252" i="11"/>
  <c r="P252" i="11"/>
  <c r="AE252" i="11" s="1"/>
  <c r="N252" i="11"/>
  <c r="AC252" i="11" s="1"/>
  <c r="O252" i="11"/>
  <c r="AD252" i="11" s="1"/>
  <c r="Z251" i="11"/>
  <c r="P251" i="11"/>
  <c r="AE251" i="11" s="1"/>
  <c r="N251" i="11"/>
  <c r="AC251" i="11" s="1"/>
  <c r="O251" i="11"/>
  <c r="AD251" i="11" s="1"/>
  <c r="Z250" i="11"/>
  <c r="P250" i="11"/>
  <c r="AE250" i="11" s="1"/>
  <c r="N250" i="11"/>
  <c r="AC250" i="11" s="1"/>
  <c r="O250" i="11"/>
  <c r="AD250" i="11" s="1"/>
  <c r="Z249" i="11"/>
  <c r="P249" i="11"/>
  <c r="AE249" i="11" s="1"/>
  <c r="N249" i="11"/>
  <c r="AC249" i="11" s="1"/>
  <c r="O249" i="11"/>
  <c r="AD249" i="11" s="1"/>
  <c r="Z248" i="11"/>
  <c r="P248" i="11"/>
  <c r="AE248" i="11" s="1"/>
  <c r="N248" i="11"/>
  <c r="AC248" i="11" s="1"/>
  <c r="O248" i="11"/>
  <c r="AD248" i="11" s="1"/>
  <c r="Z247" i="11"/>
  <c r="P247" i="11"/>
  <c r="AE247" i="11" s="1"/>
  <c r="N247" i="11"/>
  <c r="AC247" i="11" s="1"/>
  <c r="O247" i="11"/>
  <c r="AD247" i="11" s="1"/>
  <c r="Z246" i="11"/>
  <c r="P246" i="11"/>
  <c r="AE246" i="11" s="1"/>
  <c r="N246" i="11"/>
  <c r="AC246" i="11" s="1"/>
  <c r="O246" i="11"/>
  <c r="AD246" i="11" s="1"/>
  <c r="Z245" i="11"/>
  <c r="P245" i="11"/>
  <c r="AE245" i="11" s="1"/>
  <c r="N245" i="11"/>
  <c r="AC245" i="11" s="1"/>
  <c r="O245" i="11"/>
  <c r="AD245" i="11" s="1"/>
  <c r="Z244" i="11"/>
  <c r="P244" i="11"/>
  <c r="AE244" i="11" s="1"/>
  <c r="N244" i="11"/>
  <c r="AC244" i="11" s="1"/>
  <c r="O244" i="11"/>
  <c r="AD244" i="11" s="1"/>
  <c r="Z243" i="11"/>
  <c r="P243" i="11"/>
  <c r="AE243" i="11" s="1"/>
  <c r="N243" i="11"/>
  <c r="AC243" i="11" s="1"/>
  <c r="O243" i="11"/>
  <c r="AD243" i="11" s="1"/>
  <c r="Z242" i="11"/>
  <c r="P242" i="11"/>
  <c r="AE242" i="11" s="1"/>
  <c r="N242" i="11"/>
  <c r="AC242" i="11" s="1"/>
  <c r="O242" i="11"/>
  <c r="AD242" i="11" s="1"/>
  <c r="Z241" i="11"/>
  <c r="P241" i="11"/>
  <c r="AE241" i="11" s="1"/>
  <c r="N241" i="11"/>
  <c r="AC241" i="11" s="1"/>
  <c r="O241" i="11"/>
  <c r="AD241" i="11" s="1"/>
  <c r="Z240" i="11"/>
  <c r="P240" i="11"/>
  <c r="AE240" i="11" s="1"/>
  <c r="N240" i="11"/>
  <c r="AC240" i="11" s="1"/>
  <c r="O240" i="11"/>
  <c r="AD240" i="11" s="1"/>
  <c r="Z239" i="11"/>
  <c r="P239" i="11"/>
  <c r="AE239" i="11" s="1"/>
  <c r="N239" i="11"/>
  <c r="AC239" i="11" s="1"/>
  <c r="O239" i="11"/>
  <c r="AD239" i="11" s="1"/>
  <c r="Z238" i="11"/>
  <c r="P238" i="11"/>
  <c r="AE238" i="11" s="1"/>
  <c r="N238" i="11"/>
  <c r="AC238" i="11" s="1"/>
  <c r="O238" i="11"/>
  <c r="AD238" i="11" s="1"/>
  <c r="Z237" i="11"/>
  <c r="P237" i="11"/>
  <c r="AE237" i="11" s="1"/>
  <c r="N237" i="11"/>
  <c r="AC237" i="11" s="1"/>
  <c r="O237" i="11"/>
  <c r="AD237" i="11" s="1"/>
  <c r="Z236" i="11"/>
  <c r="P236" i="11"/>
  <c r="AE236" i="11" s="1"/>
  <c r="N236" i="11"/>
  <c r="AC236" i="11" s="1"/>
  <c r="O236" i="11"/>
  <c r="AD236" i="11" s="1"/>
  <c r="Z235" i="11"/>
  <c r="P235" i="11"/>
  <c r="AE235" i="11" s="1"/>
  <c r="N235" i="11"/>
  <c r="AC235" i="11" s="1"/>
  <c r="O235" i="11"/>
  <c r="AD235" i="11" s="1"/>
  <c r="Z234" i="11"/>
  <c r="P234" i="11"/>
  <c r="AE234" i="11" s="1"/>
  <c r="N234" i="11"/>
  <c r="AC234" i="11" s="1"/>
  <c r="O234" i="11"/>
  <c r="AD234" i="11" s="1"/>
  <c r="Z233" i="11"/>
  <c r="P233" i="11"/>
  <c r="AE233" i="11" s="1"/>
  <c r="N233" i="11"/>
  <c r="AC233" i="11" s="1"/>
  <c r="O233" i="11"/>
  <c r="AD233" i="11" s="1"/>
  <c r="Z232" i="11"/>
  <c r="P232" i="11"/>
  <c r="AE232" i="11" s="1"/>
  <c r="N232" i="11"/>
  <c r="AC232" i="11" s="1"/>
  <c r="O232" i="11"/>
  <c r="AD232" i="11" s="1"/>
  <c r="Z231" i="11"/>
  <c r="P231" i="11"/>
  <c r="AE231" i="11" s="1"/>
  <c r="N231" i="11"/>
  <c r="AC231" i="11" s="1"/>
  <c r="O231" i="11"/>
  <c r="AD231" i="11" s="1"/>
  <c r="Z230" i="11"/>
  <c r="P230" i="11"/>
  <c r="AE230" i="11" s="1"/>
  <c r="N230" i="11"/>
  <c r="AC230" i="11" s="1"/>
  <c r="O230" i="11"/>
  <c r="AD230" i="11" s="1"/>
  <c r="Z229" i="11"/>
  <c r="P229" i="11"/>
  <c r="AE229" i="11" s="1"/>
  <c r="N229" i="11"/>
  <c r="AC229" i="11" s="1"/>
  <c r="O229" i="11"/>
  <c r="AD229" i="11" s="1"/>
  <c r="Z228" i="11"/>
  <c r="P228" i="11"/>
  <c r="AE228" i="11" s="1"/>
  <c r="N228" i="11"/>
  <c r="AC228" i="11" s="1"/>
  <c r="O228" i="11"/>
  <c r="AD228" i="11" s="1"/>
  <c r="Z227" i="11"/>
  <c r="P227" i="11"/>
  <c r="AE227" i="11" s="1"/>
  <c r="N227" i="11"/>
  <c r="AC227" i="11" s="1"/>
  <c r="O227" i="11"/>
  <c r="AD227" i="11" s="1"/>
  <c r="Z226" i="11"/>
  <c r="P226" i="11"/>
  <c r="AE226" i="11" s="1"/>
  <c r="N226" i="11"/>
  <c r="AC226" i="11" s="1"/>
  <c r="O226" i="11"/>
  <c r="AD226" i="11" s="1"/>
  <c r="Z225" i="11"/>
  <c r="P225" i="11"/>
  <c r="AE225" i="11" s="1"/>
  <c r="N225" i="11"/>
  <c r="AC225" i="11" s="1"/>
  <c r="O225" i="11"/>
  <c r="AD225" i="11" s="1"/>
  <c r="Z224" i="11"/>
  <c r="P224" i="11"/>
  <c r="AE224" i="11" s="1"/>
  <c r="N224" i="11"/>
  <c r="AC224" i="11" s="1"/>
  <c r="O224" i="11"/>
  <c r="AD224" i="11" s="1"/>
  <c r="Z223" i="11"/>
  <c r="P223" i="11"/>
  <c r="AE223" i="11" s="1"/>
  <c r="N223" i="11"/>
  <c r="AC223" i="11" s="1"/>
  <c r="O223" i="11"/>
  <c r="AD223" i="11" s="1"/>
  <c r="Z222" i="11"/>
  <c r="P222" i="11"/>
  <c r="AE222" i="11" s="1"/>
  <c r="N222" i="11"/>
  <c r="AC222" i="11" s="1"/>
  <c r="O222" i="11"/>
  <c r="AD222" i="11" s="1"/>
  <c r="Z221" i="11"/>
  <c r="P221" i="11"/>
  <c r="AE221" i="11" s="1"/>
  <c r="N221" i="11"/>
  <c r="AC221" i="11" s="1"/>
  <c r="O221" i="11"/>
  <c r="AD221" i="11" s="1"/>
  <c r="Z220" i="11"/>
  <c r="P220" i="11"/>
  <c r="AE220" i="11" s="1"/>
  <c r="N220" i="11"/>
  <c r="AC220" i="11" s="1"/>
  <c r="O220" i="11"/>
  <c r="AD220" i="11" s="1"/>
  <c r="Z219" i="11"/>
  <c r="P219" i="11"/>
  <c r="AE219" i="11" s="1"/>
  <c r="N219" i="11"/>
  <c r="AC219" i="11" s="1"/>
  <c r="O219" i="11"/>
  <c r="AD219" i="11" s="1"/>
  <c r="Z218" i="11"/>
  <c r="P218" i="11"/>
  <c r="AE218" i="11" s="1"/>
  <c r="N218" i="11"/>
  <c r="AC218" i="11" s="1"/>
  <c r="O218" i="11"/>
  <c r="AD218" i="11" s="1"/>
  <c r="Z217" i="11"/>
  <c r="P217" i="11"/>
  <c r="AE217" i="11" s="1"/>
  <c r="N217" i="11"/>
  <c r="AC217" i="11" s="1"/>
  <c r="O217" i="11"/>
  <c r="AD217" i="11" s="1"/>
  <c r="Z216" i="11"/>
  <c r="P216" i="11"/>
  <c r="AE216" i="11" s="1"/>
  <c r="N216" i="11"/>
  <c r="AC216" i="11" s="1"/>
  <c r="O216" i="11"/>
  <c r="AD216" i="11" s="1"/>
  <c r="Z215" i="11"/>
  <c r="P215" i="11"/>
  <c r="AE215" i="11" s="1"/>
  <c r="N215" i="11"/>
  <c r="AC215" i="11" s="1"/>
  <c r="O215" i="11"/>
  <c r="AD215" i="11" s="1"/>
  <c r="Z214" i="11"/>
  <c r="P214" i="11"/>
  <c r="AE214" i="11" s="1"/>
  <c r="N214" i="11"/>
  <c r="AC214" i="11" s="1"/>
  <c r="O214" i="11"/>
  <c r="AD214" i="11" s="1"/>
  <c r="Z213" i="11"/>
  <c r="P213" i="11"/>
  <c r="AE213" i="11" s="1"/>
  <c r="N213" i="11"/>
  <c r="AC213" i="11" s="1"/>
  <c r="O213" i="11"/>
  <c r="AD213" i="11" s="1"/>
  <c r="Z212" i="11"/>
  <c r="P212" i="11"/>
  <c r="AE212" i="11" s="1"/>
  <c r="N212" i="11"/>
  <c r="AC212" i="11" s="1"/>
  <c r="O212" i="11"/>
  <c r="AD212" i="11" s="1"/>
  <c r="Z211" i="11"/>
  <c r="P211" i="11"/>
  <c r="AE211" i="11" s="1"/>
  <c r="N211" i="11"/>
  <c r="AC211" i="11" s="1"/>
  <c r="O211" i="11"/>
  <c r="AD211" i="11" s="1"/>
  <c r="Z210" i="11"/>
  <c r="P210" i="11"/>
  <c r="AE210" i="11" s="1"/>
  <c r="N210" i="11"/>
  <c r="AC210" i="11" s="1"/>
  <c r="O210" i="11"/>
  <c r="AD210" i="11" s="1"/>
  <c r="Z209" i="11"/>
  <c r="P209" i="11"/>
  <c r="AE209" i="11" s="1"/>
  <c r="N209" i="11"/>
  <c r="AC209" i="11" s="1"/>
  <c r="O209" i="11"/>
  <c r="AD209" i="11" s="1"/>
  <c r="Z208" i="11"/>
  <c r="P208" i="11"/>
  <c r="AE208" i="11" s="1"/>
  <c r="N208" i="11"/>
  <c r="AC208" i="11" s="1"/>
  <c r="O208" i="11"/>
  <c r="AD208" i="11" s="1"/>
  <c r="Z207" i="11"/>
  <c r="P207" i="11"/>
  <c r="AE207" i="11" s="1"/>
  <c r="N207" i="11"/>
  <c r="AC207" i="11" s="1"/>
  <c r="O207" i="11"/>
  <c r="AD207" i="11" s="1"/>
  <c r="Z206" i="11"/>
  <c r="P206" i="11"/>
  <c r="AE206" i="11" s="1"/>
  <c r="N206" i="11"/>
  <c r="AC206" i="11" s="1"/>
  <c r="O206" i="11"/>
  <c r="AD206" i="11" s="1"/>
  <c r="Z205" i="11"/>
  <c r="P205" i="11"/>
  <c r="AE205" i="11" s="1"/>
  <c r="N205" i="11"/>
  <c r="AC205" i="11" s="1"/>
  <c r="O205" i="11"/>
  <c r="AD205" i="11" s="1"/>
  <c r="Z204" i="11"/>
  <c r="P204" i="11"/>
  <c r="AE204" i="11" s="1"/>
  <c r="N204" i="11"/>
  <c r="AC204" i="11" s="1"/>
  <c r="O204" i="11"/>
  <c r="AD204" i="11" s="1"/>
  <c r="Z203" i="11"/>
  <c r="P203" i="11"/>
  <c r="AE203" i="11" s="1"/>
  <c r="N203" i="11"/>
  <c r="AC203" i="11" s="1"/>
  <c r="O203" i="11"/>
  <c r="AD203" i="11" s="1"/>
  <c r="Z202" i="11"/>
  <c r="P202" i="11"/>
  <c r="AE202" i="11" s="1"/>
  <c r="N202" i="11"/>
  <c r="AC202" i="11" s="1"/>
  <c r="O202" i="11"/>
  <c r="AD202" i="11" s="1"/>
  <c r="Z201" i="11"/>
  <c r="P201" i="11"/>
  <c r="AE201" i="11" s="1"/>
  <c r="N201" i="11"/>
  <c r="AC201" i="11" s="1"/>
  <c r="O201" i="11"/>
  <c r="AD201" i="11" s="1"/>
  <c r="Z200" i="11"/>
  <c r="P200" i="11"/>
  <c r="AE200" i="11" s="1"/>
  <c r="N200" i="11"/>
  <c r="AC200" i="11" s="1"/>
  <c r="O200" i="11"/>
  <c r="AD200" i="11" s="1"/>
  <c r="Z199" i="11"/>
  <c r="P199" i="11"/>
  <c r="AE199" i="11" s="1"/>
  <c r="N199" i="11"/>
  <c r="AC199" i="11" s="1"/>
  <c r="O199" i="11"/>
  <c r="AD199" i="11" s="1"/>
  <c r="Z198" i="11"/>
  <c r="P198" i="11"/>
  <c r="AE198" i="11" s="1"/>
  <c r="N198" i="11"/>
  <c r="AC198" i="11" s="1"/>
  <c r="O198" i="11"/>
  <c r="AD198" i="11" s="1"/>
  <c r="Z197" i="11"/>
  <c r="P197" i="11"/>
  <c r="AE197" i="11" s="1"/>
  <c r="N197" i="11"/>
  <c r="AC197" i="11" s="1"/>
  <c r="O197" i="11"/>
  <c r="AD197" i="11" s="1"/>
  <c r="Z196" i="11"/>
  <c r="P196" i="11"/>
  <c r="AE196" i="11" s="1"/>
  <c r="N196" i="11"/>
  <c r="AC196" i="11" s="1"/>
  <c r="O196" i="11"/>
  <c r="AD196" i="11" s="1"/>
  <c r="Z195" i="11"/>
  <c r="P195" i="11"/>
  <c r="AE195" i="11" s="1"/>
  <c r="N195" i="11"/>
  <c r="AC195" i="11" s="1"/>
  <c r="O195" i="11"/>
  <c r="AD195" i="11" s="1"/>
  <c r="Z194" i="11"/>
  <c r="P194" i="11"/>
  <c r="AE194" i="11" s="1"/>
  <c r="N194" i="11"/>
  <c r="AC194" i="11" s="1"/>
  <c r="O194" i="11"/>
  <c r="AD194" i="11" s="1"/>
  <c r="Z193" i="11"/>
  <c r="P193" i="11"/>
  <c r="AE193" i="11" s="1"/>
  <c r="N193" i="11"/>
  <c r="AC193" i="11" s="1"/>
  <c r="O193" i="11"/>
  <c r="AD193" i="11" s="1"/>
  <c r="Z192" i="11"/>
  <c r="P192" i="11"/>
  <c r="AE192" i="11" s="1"/>
  <c r="N192" i="11"/>
  <c r="AC192" i="11" s="1"/>
  <c r="O192" i="11"/>
  <c r="AD192" i="11" s="1"/>
  <c r="Z191" i="11"/>
  <c r="P191" i="11"/>
  <c r="AE191" i="11" s="1"/>
  <c r="N191" i="11"/>
  <c r="AC191" i="11" s="1"/>
  <c r="O191" i="11"/>
  <c r="AD191" i="11" s="1"/>
  <c r="Z190" i="11"/>
  <c r="P190" i="11"/>
  <c r="AE190" i="11" s="1"/>
  <c r="N190" i="11"/>
  <c r="AC190" i="11" s="1"/>
  <c r="O190" i="11"/>
  <c r="AD190" i="11" s="1"/>
  <c r="Z189" i="11"/>
  <c r="P189" i="11"/>
  <c r="AE189" i="11" s="1"/>
  <c r="N189" i="11"/>
  <c r="AC189" i="11" s="1"/>
  <c r="O189" i="11"/>
  <c r="AD189" i="11" s="1"/>
  <c r="Z188" i="11"/>
  <c r="P188" i="11"/>
  <c r="AE188" i="11" s="1"/>
  <c r="N188" i="11"/>
  <c r="AC188" i="11" s="1"/>
  <c r="O188" i="11"/>
  <c r="AD188" i="11" s="1"/>
  <c r="Z187" i="11"/>
  <c r="P187" i="11"/>
  <c r="AE187" i="11" s="1"/>
  <c r="N187" i="11"/>
  <c r="AC187" i="11" s="1"/>
  <c r="O187" i="11"/>
  <c r="AD187" i="11" s="1"/>
  <c r="Z186" i="11"/>
  <c r="P186" i="11"/>
  <c r="AE186" i="11" s="1"/>
  <c r="N186" i="11"/>
  <c r="AC186" i="11" s="1"/>
  <c r="O186" i="11"/>
  <c r="AD186" i="11" s="1"/>
  <c r="Z185" i="11"/>
  <c r="P185" i="11"/>
  <c r="AE185" i="11" s="1"/>
  <c r="N185" i="11"/>
  <c r="AC185" i="11" s="1"/>
  <c r="O185" i="11"/>
  <c r="AD185" i="11" s="1"/>
  <c r="Z184" i="11"/>
  <c r="P184" i="11"/>
  <c r="AE184" i="11" s="1"/>
  <c r="N184" i="11"/>
  <c r="AC184" i="11" s="1"/>
  <c r="O184" i="11"/>
  <c r="AD184" i="11" s="1"/>
  <c r="Z183" i="11"/>
  <c r="P183" i="11"/>
  <c r="AE183" i="11" s="1"/>
  <c r="N183" i="11"/>
  <c r="AC183" i="11" s="1"/>
  <c r="O183" i="11"/>
  <c r="AD183" i="11" s="1"/>
  <c r="Z182" i="11"/>
  <c r="P182" i="11"/>
  <c r="AE182" i="11" s="1"/>
  <c r="N182" i="11"/>
  <c r="AC182" i="11" s="1"/>
  <c r="O182" i="11"/>
  <c r="AD182" i="11" s="1"/>
  <c r="Z181" i="11"/>
  <c r="P181" i="11"/>
  <c r="AE181" i="11" s="1"/>
  <c r="N181" i="11"/>
  <c r="AC181" i="11" s="1"/>
  <c r="O181" i="11"/>
  <c r="AD181" i="11" s="1"/>
  <c r="Z180" i="11"/>
  <c r="P180" i="11"/>
  <c r="AE180" i="11" s="1"/>
  <c r="N180" i="11"/>
  <c r="AC180" i="11" s="1"/>
  <c r="O180" i="11"/>
  <c r="AD180" i="11" s="1"/>
  <c r="Z179" i="11"/>
  <c r="P179" i="11"/>
  <c r="AE179" i="11" s="1"/>
  <c r="N179" i="11"/>
  <c r="AC179" i="11" s="1"/>
  <c r="O179" i="11"/>
  <c r="AD179" i="11" s="1"/>
  <c r="Z178" i="11"/>
  <c r="P178" i="11"/>
  <c r="AE178" i="11" s="1"/>
  <c r="N178" i="11"/>
  <c r="AC178" i="11" s="1"/>
  <c r="O178" i="11"/>
  <c r="AD178" i="11" s="1"/>
  <c r="Z177" i="11"/>
  <c r="P177" i="11"/>
  <c r="AE177" i="11" s="1"/>
  <c r="N177" i="11"/>
  <c r="AC177" i="11" s="1"/>
  <c r="O177" i="11"/>
  <c r="AD177" i="11" s="1"/>
  <c r="Z176" i="11"/>
  <c r="P176" i="11"/>
  <c r="AE176" i="11" s="1"/>
  <c r="N176" i="11"/>
  <c r="AC176" i="11" s="1"/>
  <c r="O176" i="11"/>
  <c r="AD176" i="11" s="1"/>
  <c r="Z175" i="11"/>
  <c r="P175" i="11"/>
  <c r="AE175" i="11" s="1"/>
  <c r="N175" i="11"/>
  <c r="AC175" i="11" s="1"/>
  <c r="O175" i="11"/>
  <c r="AD175" i="11" s="1"/>
  <c r="Z174" i="11"/>
  <c r="P174" i="11"/>
  <c r="AE174" i="11" s="1"/>
  <c r="N174" i="11"/>
  <c r="AC174" i="11" s="1"/>
  <c r="O174" i="11"/>
  <c r="AD174" i="11" s="1"/>
  <c r="Z173" i="11"/>
  <c r="P173" i="11"/>
  <c r="AE173" i="11" s="1"/>
  <c r="N173" i="11"/>
  <c r="AC173" i="11" s="1"/>
  <c r="O173" i="11"/>
  <c r="AD173" i="11" s="1"/>
  <c r="Z172" i="11"/>
  <c r="P172" i="11"/>
  <c r="AE172" i="11" s="1"/>
  <c r="N172" i="11"/>
  <c r="AC172" i="11" s="1"/>
  <c r="O172" i="11"/>
  <c r="AD172" i="11" s="1"/>
  <c r="Z171" i="11"/>
  <c r="P171" i="11"/>
  <c r="AE171" i="11" s="1"/>
  <c r="N171" i="11"/>
  <c r="AC171" i="11" s="1"/>
  <c r="O171" i="11"/>
  <c r="AD171" i="11" s="1"/>
  <c r="Z170" i="11"/>
  <c r="P170" i="11"/>
  <c r="AE170" i="11" s="1"/>
  <c r="N170" i="11"/>
  <c r="AC170" i="11" s="1"/>
  <c r="O170" i="11"/>
  <c r="AD170" i="11" s="1"/>
  <c r="Z169" i="11"/>
  <c r="P169" i="11"/>
  <c r="AE169" i="11" s="1"/>
  <c r="N169" i="11"/>
  <c r="AC169" i="11" s="1"/>
  <c r="O169" i="11"/>
  <c r="AD169" i="11" s="1"/>
  <c r="Z168" i="11"/>
  <c r="P168" i="11"/>
  <c r="AE168" i="11" s="1"/>
  <c r="N168" i="11"/>
  <c r="AC168" i="11" s="1"/>
  <c r="O168" i="11"/>
  <c r="AD168" i="11" s="1"/>
  <c r="Z167" i="11"/>
  <c r="P167" i="11"/>
  <c r="AE167" i="11" s="1"/>
  <c r="N167" i="11"/>
  <c r="AC167" i="11" s="1"/>
  <c r="O167" i="11"/>
  <c r="AD167" i="11" s="1"/>
  <c r="Z166" i="11"/>
  <c r="P166" i="11"/>
  <c r="AE166" i="11" s="1"/>
  <c r="N166" i="11"/>
  <c r="AC166" i="11" s="1"/>
  <c r="O166" i="11"/>
  <c r="AD166" i="11" s="1"/>
  <c r="Z165" i="11"/>
  <c r="P165" i="11"/>
  <c r="AE165" i="11" s="1"/>
  <c r="N165" i="11"/>
  <c r="AC165" i="11" s="1"/>
  <c r="O165" i="11"/>
  <c r="AD165" i="11" s="1"/>
  <c r="Z164" i="11"/>
  <c r="P164" i="11"/>
  <c r="AE164" i="11" s="1"/>
  <c r="N164" i="11"/>
  <c r="AC164" i="11" s="1"/>
  <c r="O164" i="11"/>
  <c r="AD164" i="11" s="1"/>
  <c r="Z163" i="11"/>
  <c r="P163" i="11"/>
  <c r="AE163" i="11" s="1"/>
  <c r="N163" i="11"/>
  <c r="AC163" i="11" s="1"/>
  <c r="O163" i="11"/>
  <c r="AD163" i="11" s="1"/>
  <c r="Z162" i="11"/>
  <c r="P162" i="11"/>
  <c r="AE162" i="11" s="1"/>
  <c r="N162" i="11"/>
  <c r="AC162" i="11" s="1"/>
  <c r="O162" i="11"/>
  <c r="AD162" i="11" s="1"/>
  <c r="Z161" i="11"/>
  <c r="P161" i="11"/>
  <c r="AE161" i="11" s="1"/>
  <c r="N161" i="11"/>
  <c r="AC161" i="11" s="1"/>
  <c r="O161" i="11"/>
  <c r="AD161" i="11" s="1"/>
  <c r="Z160" i="11"/>
  <c r="P160" i="11"/>
  <c r="AE160" i="11" s="1"/>
  <c r="N160" i="11"/>
  <c r="AC160" i="11" s="1"/>
  <c r="O160" i="11"/>
  <c r="AD160" i="11" s="1"/>
  <c r="Z159" i="11"/>
  <c r="P159" i="11"/>
  <c r="AE159" i="11" s="1"/>
  <c r="N159" i="11"/>
  <c r="AC159" i="11" s="1"/>
  <c r="O159" i="11"/>
  <c r="AD159" i="11" s="1"/>
  <c r="Z158" i="11"/>
  <c r="P158" i="11"/>
  <c r="AE158" i="11" s="1"/>
  <c r="N158" i="11"/>
  <c r="AC158" i="11" s="1"/>
  <c r="O158" i="11"/>
  <c r="AD158" i="11" s="1"/>
  <c r="Z157" i="11"/>
  <c r="P157" i="11"/>
  <c r="AE157" i="11" s="1"/>
  <c r="N157" i="11"/>
  <c r="AC157" i="11" s="1"/>
  <c r="O157" i="11"/>
  <c r="AD157" i="11" s="1"/>
  <c r="Z156" i="11"/>
  <c r="P156" i="11"/>
  <c r="AE156" i="11" s="1"/>
  <c r="N156" i="11"/>
  <c r="AC156" i="11" s="1"/>
  <c r="O156" i="11"/>
  <c r="AD156" i="11" s="1"/>
  <c r="Z155" i="11"/>
  <c r="P155" i="11"/>
  <c r="AE155" i="11" s="1"/>
  <c r="N155" i="11"/>
  <c r="AC155" i="11" s="1"/>
  <c r="O155" i="11"/>
  <c r="AD155" i="11" s="1"/>
  <c r="Z154" i="11"/>
  <c r="P154" i="11"/>
  <c r="AE154" i="11" s="1"/>
  <c r="N154" i="11"/>
  <c r="AC154" i="11" s="1"/>
  <c r="O154" i="11"/>
  <c r="AD154" i="11" s="1"/>
  <c r="Z153" i="11"/>
  <c r="P153" i="11"/>
  <c r="AE153" i="11" s="1"/>
  <c r="N153" i="11"/>
  <c r="AC153" i="11" s="1"/>
  <c r="O153" i="11"/>
  <c r="AD153" i="11" s="1"/>
  <c r="Z152" i="11"/>
  <c r="P152" i="11"/>
  <c r="AE152" i="11" s="1"/>
  <c r="N152" i="11"/>
  <c r="AC152" i="11" s="1"/>
  <c r="O152" i="11"/>
  <c r="AD152" i="11" s="1"/>
  <c r="Z151" i="11"/>
  <c r="P151" i="11"/>
  <c r="AE151" i="11" s="1"/>
  <c r="N151" i="11"/>
  <c r="AC151" i="11" s="1"/>
  <c r="O151" i="11"/>
  <c r="AD151" i="11" s="1"/>
  <c r="Z150" i="11"/>
  <c r="P150" i="11"/>
  <c r="AE150" i="11" s="1"/>
  <c r="N150" i="11"/>
  <c r="AC150" i="11" s="1"/>
  <c r="O150" i="11"/>
  <c r="AD150" i="11" s="1"/>
  <c r="Z149" i="11"/>
  <c r="P149" i="11"/>
  <c r="AE149" i="11" s="1"/>
  <c r="N149" i="11"/>
  <c r="AC149" i="11" s="1"/>
  <c r="O149" i="11"/>
  <c r="AD149" i="11" s="1"/>
  <c r="Z148" i="11"/>
  <c r="P148" i="11"/>
  <c r="AE148" i="11" s="1"/>
  <c r="N148" i="11"/>
  <c r="AC148" i="11" s="1"/>
  <c r="O148" i="11"/>
  <c r="AD148" i="11" s="1"/>
  <c r="Z147" i="11"/>
  <c r="P147" i="11"/>
  <c r="AE147" i="11" s="1"/>
  <c r="N147" i="11"/>
  <c r="AC147" i="11" s="1"/>
  <c r="O147" i="11"/>
  <c r="AD147" i="11" s="1"/>
  <c r="Z146" i="11"/>
  <c r="P146" i="11"/>
  <c r="AE146" i="11" s="1"/>
  <c r="N146" i="11"/>
  <c r="AC146" i="11" s="1"/>
  <c r="O146" i="11"/>
  <c r="AD146" i="11" s="1"/>
  <c r="Z145" i="11"/>
  <c r="P145" i="11"/>
  <c r="AE145" i="11" s="1"/>
  <c r="N145" i="11"/>
  <c r="AC145" i="11" s="1"/>
  <c r="O145" i="11"/>
  <c r="AD145" i="11" s="1"/>
  <c r="Z144" i="11"/>
  <c r="P144" i="11"/>
  <c r="AE144" i="11" s="1"/>
  <c r="N144" i="11"/>
  <c r="AC144" i="11" s="1"/>
  <c r="O144" i="11"/>
  <c r="AD144" i="11" s="1"/>
  <c r="Z143" i="11"/>
  <c r="P143" i="11"/>
  <c r="AE143" i="11" s="1"/>
  <c r="N143" i="11"/>
  <c r="AC143" i="11" s="1"/>
  <c r="O143" i="11"/>
  <c r="AD143" i="11" s="1"/>
  <c r="Z142" i="11"/>
  <c r="P142" i="11"/>
  <c r="AE142" i="11" s="1"/>
  <c r="N142" i="11"/>
  <c r="AC142" i="11" s="1"/>
  <c r="O142" i="11"/>
  <c r="AD142" i="11" s="1"/>
  <c r="Z141" i="11"/>
  <c r="P141" i="11"/>
  <c r="AE141" i="11" s="1"/>
  <c r="N141" i="11"/>
  <c r="AC141" i="11" s="1"/>
  <c r="O141" i="11"/>
  <c r="AD141" i="11" s="1"/>
  <c r="Z140" i="11"/>
  <c r="P140" i="11"/>
  <c r="AE140" i="11" s="1"/>
  <c r="N140" i="11"/>
  <c r="AC140" i="11" s="1"/>
  <c r="O140" i="11"/>
  <c r="AD140" i="11" s="1"/>
  <c r="Z139" i="11"/>
  <c r="P139" i="11"/>
  <c r="AE139" i="11" s="1"/>
  <c r="N139" i="11"/>
  <c r="AC139" i="11" s="1"/>
  <c r="O139" i="11"/>
  <c r="AD139" i="11" s="1"/>
  <c r="Z138" i="11"/>
  <c r="P138" i="11"/>
  <c r="AE138" i="11" s="1"/>
  <c r="N138" i="11"/>
  <c r="AC138" i="11" s="1"/>
  <c r="O138" i="11"/>
  <c r="AD138" i="11" s="1"/>
  <c r="Z137" i="11"/>
  <c r="P137" i="11"/>
  <c r="AE137" i="11" s="1"/>
  <c r="N137" i="11"/>
  <c r="AC137" i="11" s="1"/>
  <c r="O137" i="11"/>
  <c r="AD137" i="11" s="1"/>
  <c r="Z136" i="11"/>
  <c r="P136" i="11"/>
  <c r="AE136" i="11" s="1"/>
  <c r="N136" i="11"/>
  <c r="AC136" i="11" s="1"/>
  <c r="O136" i="11"/>
  <c r="AD136" i="11" s="1"/>
  <c r="Z135" i="11"/>
  <c r="P135" i="11"/>
  <c r="AE135" i="11" s="1"/>
  <c r="N135" i="11"/>
  <c r="AC135" i="11" s="1"/>
  <c r="O135" i="11"/>
  <c r="AD135" i="11" s="1"/>
  <c r="Z134" i="11"/>
  <c r="P134" i="11"/>
  <c r="AE134" i="11" s="1"/>
  <c r="N134" i="11"/>
  <c r="AC134" i="11" s="1"/>
  <c r="O134" i="11"/>
  <c r="AD134" i="11" s="1"/>
  <c r="Z133" i="11"/>
  <c r="P133" i="11"/>
  <c r="AE133" i="11" s="1"/>
  <c r="N133" i="11"/>
  <c r="AC133" i="11" s="1"/>
  <c r="O133" i="11"/>
  <c r="AD133" i="11" s="1"/>
  <c r="Z132" i="11"/>
  <c r="P132" i="11"/>
  <c r="AE132" i="11" s="1"/>
  <c r="N132" i="11"/>
  <c r="AC132" i="11" s="1"/>
  <c r="O132" i="11"/>
  <c r="AD132" i="11" s="1"/>
  <c r="Z131" i="11"/>
  <c r="P131" i="11"/>
  <c r="AE131" i="11" s="1"/>
  <c r="N131" i="11"/>
  <c r="AC131" i="11" s="1"/>
  <c r="O131" i="11"/>
  <c r="AD131" i="11" s="1"/>
  <c r="Z130" i="11"/>
  <c r="P130" i="11"/>
  <c r="AE130" i="11" s="1"/>
  <c r="N130" i="11"/>
  <c r="AC130" i="11" s="1"/>
  <c r="O130" i="11"/>
  <c r="AD130" i="11" s="1"/>
  <c r="Z129" i="11"/>
  <c r="P129" i="11"/>
  <c r="AE129" i="11" s="1"/>
  <c r="N129" i="11"/>
  <c r="AC129" i="11" s="1"/>
  <c r="O129" i="11"/>
  <c r="AD129" i="11" s="1"/>
  <c r="Z128" i="11"/>
  <c r="P128" i="11"/>
  <c r="AE128" i="11" s="1"/>
  <c r="N128" i="11"/>
  <c r="AC128" i="11" s="1"/>
  <c r="O128" i="11"/>
  <c r="AD128" i="11" s="1"/>
  <c r="Z127" i="11"/>
  <c r="P127" i="11"/>
  <c r="AE127" i="11" s="1"/>
  <c r="N127" i="11"/>
  <c r="AC127" i="11" s="1"/>
  <c r="O127" i="11"/>
  <c r="AD127" i="11" s="1"/>
  <c r="Z126" i="11"/>
  <c r="P126" i="11"/>
  <c r="AE126" i="11" s="1"/>
  <c r="N126" i="11"/>
  <c r="AC126" i="11" s="1"/>
  <c r="O126" i="11"/>
  <c r="AD126" i="11" s="1"/>
  <c r="Z125" i="11"/>
  <c r="P125" i="11"/>
  <c r="AE125" i="11" s="1"/>
  <c r="N125" i="11"/>
  <c r="AC125" i="11" s="1"/>
  <c r="O125" i="11"/>
  <c r="AD125" i="11" s="1"/>
  <c r="Z124" i="11"/>
  <c r="P124" i="11"/>
  <c r="AE124" i="11" s="1"/>
  <c r="N124" i="11"/>
  <c r="AC124" i="11" s="1"/>
  <c r="O124" i="11"/>
  <c r="AD124" i="11" s="1"/>
  <c r="Z123" i="11"/>
  <c r="P123" i="11"/>
  <c r="AE123" i="11" s="1"/>
  <c r="N123" i="11"/>
  <c r="AC123" i="11" s="1"/>
  <c r="O123" i="11"/>
  <c r="AD123" i="11" s="1"/>
  <c r="Z122" i="11"/>
  <c r="P122" i="11"/>
  <c r="AE122" i="11" s="1"/>
  <c r="N122" i="11"/>
  <c r="AC122" i="11" s="1"/>
  <c r="O122" i="11"/>
  <c r="AD122" i="11" s="1"/>
  <c r="Z121" i="11"/>
  <c r="P121" i="11"/>
  <c r="AE121" i="11" s="1"/>
  <c r="N121" i="11"/>
  <c r="AC121" i="11" s="1"/>
  <c r="O121" i="11"/>
  <c r="AD121" i="11" s="1"/>
  <c r="Z120" i="11"/>
  <c r="P120" i="11"/>
  <c r="AE120" i="11" s="1"/>
  <c r="N120" i="11"/>
  <c r="AC120" i="11" s="1"/>
  <c r="O120" i="11"/>
  <c r="AD120" i="11" s="1"/>
  <c r="Z119" i="11"/>
  <c r="P119" i="11"/>
  <c r="AE119" i="11" s="1"/>
  <c r="N119" i="11"/>
  <c r="AC119" i="11" s="1"/>
  <c r="O119" i="11"/>
  <c r="AD119" i="11" s="1"/>
  <c r="Z118" i="11"/>
  <c r="P118" i="11"/>
  <c r="AE118" i="11" s="1"/>
  <c r="N118" i="11"/>
  <c r="AC118" i="11" s="1"/>
  <c r="O118" i="11"/>
  <c r="AD118" i="11" s="1"/>
  <c r="Z117" i="11"/>
  <c r="P117" i="11"/>
  <c r="AE117" i="11" s="1"/>
  <c r="N117" i="11"/>
  <c r="AC117" i="11" s="1"/>
  <c r="O117" i="11"/>
  <c r="AD117" i="11" s="1"/>
  <c r="Z116" i="11"/>
  <c r="P116" i="11"/>
  <c r="AE116" i="11" s="1"/>
  <c r="N116" i="11"/>
  <c r="AC116" i="11" s="1"/>
  <c r="O116" i="11"/>
  <c r="AD116" i="11" s="1"/>
  <c r="Z115" i="11"/>
  <c r="P115" i="11"/>
  <c r="AE115" i="11" s="1"/>
  <c r="N115" i="11"/>
  <c r="AC115" i="11" s="1"/>
  <c r="O115" i="11"/>
  <c r="AD115" i="11" s="1"/>
  <c r="Z114" i="11"/>
  <c r="P114" i="11"/>
  <c r="AE114" i="11" s="1"/>
  <c r="N114" i="11"/>
  <c r="AC114" i="11" s="1"/>
  <c r="O114" i="11"/>
  <c r="AD114" i="11" s="1"/>
  <c r="Z113" i="11"/>
  <c r="P113" i="11"/>
  <c r="AE113" i="11" s="1"/>
  <c r="N113" i="11"/>
  <c r="AC113" i="11" s="1"/>
  <c r="O113" i="11"/>
  <c r="AD113" i="11" s="1"/>
  <c r="Z112" i="11"/>
  <c r="P112" i="11"/>
  <c r="AE112" i="11" s="1"/>
  <c r="N112" i="11"/>
  <c r="AC112" i="11" s="1"/>
  <c r="O112" i="11"/>
  <c r="AD112" i="11" s="1"/>
  <c r="Z111" i="11"/>
  <c r="P111" i="11"/>
  <c r="AE111" i="11" s="1"/>
  <c r="N111" i="11"/>
  <c r="AC111" i="11" s="1"/>
  <c r="O111" i="11"/>
  <c r="AD111" i="11" s="1"/>
  <c r="Z110" i="11"/>
  <c r="P110" i="11"/>
  <c r="AE110" i="11" s="1"/>
  <c r="N110" i="11"/>
  <c r="AC110" i="11" s="1"/>
  <c r="O110" i="11"/>
  <c r="AD110" i="11" s="1"/>
  <c r="Z109" i="11"/>
  <c r="P109" i="11"/>
  <c r="AE109" i="11" s="1"/>
  <c r="N109" i="11"/>
  <c r="AC109" i="11" s="1"/>
  <c r="O109" i="11"/>
  <c r="AD109" i="11" s="1"/>
  <c r="Z108" i="11"/>
  <c r="P108" i="11"/>
  <c r="AE108" i="11" s="1"/>
  <c r="N108" i="11"/>
  <c r="AC108" i="11" s="1"/>
  <c r="O108" i="11"/>
  <c r="AD108" i="11" s="1"/>
  <c r="Z107" i="11"/>
  <c r="P107" i="11"/>
  <c r="AE107" i="11" s="1"/>
  <c r="N107" i="11"/>
  <c r="AC107" i="11" s="1"/>
  <c r="O107" i="11"/>
  <c r="AD107" i="11" s="1"/>
  <c r="Z106" i="11"/>
  <c r="P106" i="11"/>
  <c r="AE106" i="11" s="1"/>
  <c r="N106" i="11"/>
  <c r="AC106" i="11" s="1"/>
  <c r="O106" i="11"/>
  <c r="AD106" i="11" s="1"/>
  <c r="Z105" i="11"/>
  <c r="P105" i="11"/>
  <c r="AE105" i="11" s="1"/>
  <c r="N105" i="11"/>
  <c r="AC105" i="11" s="1"/>
  <c r="O105" i="11"/>
  <c r="AD105" i="11" s="1"/>
  <c r="Z104" i="11"/>
  <c r="P104" i="11"/>
  <c r="AE104" i="11" s="1"/>
  <c r="N104" i="11"/>
  <c r="AC104" i="11" s="1"/>
  <c r="O104" i="11"/>
  <c r="AD104" i="11" s="1"/>
  <c r="Z103" i="11"/>
  <c r="P103" i="11"/>
  <c r="AE103" i="11" s="1"/>
  <c r="N103" i="11"/>
  <c r="AC103" i="11" s="1"/>
  <c r="O103" i="11"/>
  <c r="AD103" i="11" s="1"/>
  <c r="Z102" i="11"/>
  <c r="P102" i="11"/>
  <c r="AE102" i="11" s="1"/>
  <c r="N102" i="11"/>
  <c r="AC102" i="11" s="1"/>
  <c r="O102" i="11"/>
  <c r="AD102" i="11" s="1"/>
  <c r="Z101" i="11"/>
  <c r="P101" i="11"/>
  <c r="AE101" i="11" s="1"/>
  <c r="N101" i="11"/>
  <c r="AC101" i="11" s="1"/>
  <c r="O101" i="11"/>
  <c r="AD101" i="11" s="1"/>
  <c r="Z100" i="11"/>
  <c r="P100" i="11"/>
  <c r="AE100" i="11" s="1"/>
  <c r="N100" i="11"/>
  <c r="AC100" i="11" s="1"/>
  <c r="O100" i="11"/>
  <c r="AD100" i="11" s="1"/>
  <c r="Z99" i="11"/>
  <c r="P99" i="11"/>
  <c r="AE99" i="11" s="1"/>
  <c r="N99" i="11"/>
  <c r="AC99" i="11" s="1"/>
  <c r="O99" i="11"/>
  <c r="AD99" i="11" s="1"/>
  <c r="Z98" i="11"/>
  <c r="P98" i="11"/>
  <c r="AE98" i="11" s="1"/>
  <c r="N98" i="11"/>
  <c r="AC98" i="11" s="1"/>
  <c r="O98" i="11"/>
  <c r="AD98" i="11" s="1"/>
  <c r="Z97" i="11"/>
  <c r="P97" i="11"/>
  <c r="AE97" i="11" s="1"/>
  <c r="N97" i="11"/>
  <c r="AC97" i="11" s="1"/>
  <c r="O97" i="11"/>
  <c r="AD97" i="11" s="1"/>
  <c r="Z96" i="11"/>
  <c r="P96" i="11"/>
  <c r="AE96" i="11" s="1"/>
  <c r="N96" i="11"/>
  <c r="AC96" i="11" s="1"/>
  <c r="O96" i="11"/>
  <c r="AD96" i="11" s="1"/>
  <c r="Z95" i="11"/>
  <c r="P95" i="11"/>
  <c r="AE95" i="11" s="1"/>
  <c r="N95" i="11"/>
  <c r="AC95" i="11" s="1"/>
  <c r="O95" i="11"/>
  <c r="AD95" i="11" s="1"/>
  <c r="Z94" i="11"/>
  <c r="P94" i="11"/>
  <c r="AE94" i="11" s="1"/>
  <c r="N94" i="11"/>
  <c r="AC94" i="11" s="1"/>
  <c r="O94" i="11"/>
  <c r="AD94" i="11" s="1"/>
  <c r="Z93" i="11"/>
  <c r="P93" i="11"/>
  <c r="AE93" i="11" s="1"/>
  <c r="N93" i="11"/>
  <c r="AC93" i="11" s="1"/>
  <c r="O93" i="11"/>
  <c r="AD93" i="11" s="1"/>
  <c r="Z92" i="11"/>
  <c r="P92" i="11"/>
  <c r="AE92" i="11" s="1"/>
  <c r="N92" i="11"/>
  <c r="AC92" i="11" s="1"/>
  <c r="O92" i="11"/>
  <c r="AD92" i="11" s="1"/>
  <c r="Z91" i="11"/>
  <c r="P91" i="11"/>
  <c r="AE91" i="11" s="1"/>
  <c r="N91" i="11"/>
  <c r="AC91" i="11" s="1"/>
  <c r="O91" i="11"/>
  <c r="AD91" i="11" s="1"/>
  <c r="Z90" i="11"/>
  <c r="P90" i="11"/>
  <c r="AE90" i="11" s="1"/>
  <c r="N90" i="11"/>
  <c r="AC90" i="11" s="1"/>
  <c r="O90" i="11"/>
  <c r="AD90" i="11" s="1"/>
  <c r="Z89" i="11"/>
  <c r="P89" i="11"/>
  <c r="AE89" i="11" s="1"/>
  <c r="N89" i="11"/>
  <c r="AC89" i="11" s="1"/>
  <c r="O89" i="11"/>
  <c r="AD89" i="11" s="1"/>
  <c r="Z88" i="11"/>
  <c r="P88" i="11"/>
  <c r="AE88" i="11" s="1"/>
  <c r="N88" i="11"/>
  <c r="AC88" i="11" s="1"/>
  <c r="O88" i="11"/>
  <c r="AD88" i="11" s="1"/>
  <c r="Z87" i="11"/>
  <c r="P87" i="11"/>
  <c r="AE87" i="11" s="1"/>
  <c r="N87" i="11"/>
  <c r="AC87" i="11" s="1"/>
  <c r="O87" i="11"/>
  <c r="AD87" i="11" s="1"/>
  <c r="Z86" i="11"/>
  <c r="P86" i="11"/>
  <c r="AE86" i="11" s="1"/>
  <c r="N86" i="11"/>
  <c r="AC86" i="11" s="1"/>
  <c r="O86" i="11"/>
  <c r="AD86" i="11" s="1"/>
  <c r="Z85" i="11"/>
  <c r="P85" i="11"/>
  <c r="AE85" i="11" s="1"/>
  <c r="N85" i="11"/>
  <c r="AC85" i="11" s="1"/>
  <c r="O85" i="11"/>
  <c r="AD85" i="11" s="1"/>
  <c r="Z84" i="11"/>
  <c r="P84" i="11"/>
  <c r="AE84" i="11" s="1"/>
  <c r="N84" i="11"/>
  <c r="AC84" i="11" s="1"/>
  <c r="O84" i="11"/>
  <c r="AD84" i="11" s="1"/>
  <c r="Z83" i="11"/>
  <c r="P83" i="11"/>
  <c r="AE83" i="11" s="1"/>
  <c r="N83" i="11"/>
  <c r="AC83" i="11" s="1"/>
  <c r="O83" i="11"/>
  <c r="AD83" i="11" s="1"/>
  <c r="Z82" i="11"/>
  <c r="P82" i="11"/>
  <c r="AE82" i="11" s="1"/>
  <c r="N82" i="11"/>
  <c r="AC82" i="11" s="1"/>
  <c r="O82" i="11"/>
  <c r="AD82" i="11" s="1"/>
  <c r="Z81" i="11"/>
  <c r="P81" i="11"/>
  <c r="AE81" i="11" s="1"/>
  <c r="N81" i="11"/>
  <c r="AC81" i="11" s="1"/>
  <c r="O81" i="11"/>
  <c r="AD81" i="11" s="1"/>
  <c r="Z80" i="11"/>
  <c r="P80" i="11"/>
  <c r="AE80" i="11" s="1"/>
  <c r="N80" i="11"/>
  <c r="AC80" i="11" s="1"/>
  <c r="O80" i="11"/>
  <c r="AD80" i="11" s="1"/>
  <c r="Z79" i="11"/>
  <c r="P79" i="11"/>
  <c r="AE79" i="11" s="1"/>
  <c r="N79" i="11"/>
  <c r="AC79" i="11" s="1"/>
  <c r="O79" i="11"/>
  <c r="AD79" i="11" s="1"/>
  <c r="Z78" i="11"/>
  <c r="P78" i="11"/>
  <c r="AE78" i="11" s="1"/>
  <c r="N78" i="11"/>
  <c r="AC78" i="11" s="1"/>
  <c r="O78" i="11"/>
  <c r="AD78" i="11" s="1"/>
  <c r="Z77" i="11"/>
  <c r="P77" i="11"/>
  <c r="AE77" i="11" s="1"/>
  <c r="N77" i="11"/>
  <c r="AC77" i="11" s="1"/>
  <c r="O77" i="11"/>
  <c r="AD77" i="11" s="1"/>
  <c r="Z76" i="11"/>
  <c r="P76" i="11"/>
  <c r="AE76" i="11" s="1"/>
  <c r="N76" i="11"/>
  <c r="AC76" i="11" s="1"/>
  <c r="O76" i="11"/>
  <c r="AD76" i="11" s="1"/>
  <c r="Z75" i="11"/>
  <c r="P75" i="11"/>
  <c r="AE75" i="11" s="1"/>
  <c r="N75" i="11"/>
  <c r="AC75" i="11" s="1"/>
  <c r="O75" i="11"/>
  <c r="AD75" i="11" s="1"/>
  <c r="Z74" i="11"/>
  <c r="P74" i="11"/>
  <c r="AE74" i="11" s="1"/>
  <c r="N74" i="11"/>
  <c r="AC74" i="11" s="1"/>
  <c r="O74" i="11"/>
  <c r="AD74" i="11" s="1"/>
  <c r="Z73" i="11"/>
  <c r="P73" i="11"/>
  <c r="AE73" i="11" s="1"/>
  <c r="N73" i="11"/>
  <c r="AC73" i="11" s="1"/>
  <c r="O73" i="11"/>
  <c r="AD73" i="11" s="1"/>
  <c r="Z72" i="11"/>
  <c r="P72" i="11"/>
  <c r="AE72" i="11" s="1"/>
  <c r="N72" i="11"/>
  <c r="AC72" i="11" s="1"/>
  <c r="O72" i="11"/>
  <c r="AD72" i="11" s="1"/>
  <c r="Z71" i="11"/>
  <c r="P71" i="11"/>
  <c r="AE71" i="11" s="1"/>
  <c r="N71" i="11"/>
  <c r="AC71" i="11" s="1"/>
  <c r="O71" i="11"/>
  <c r="AD71" i="11" s="1"/>
  <c r="Z70" i="11"/>
  <c r="P70" i="11"/>
  <c r="AE70" i="11" s="1"/>
  <c r="N70" i="11"/>
  <c r="AC70" i="11" s="1"/>
  <c r="O70" i="11"/>
  <c r="AD70" i="11" s="1"/>
  <c r="Z69" i="11"/>
  <c r="P69" i="11"/>
  <c r="AE69" i="11" s="1"/>
  <c r="N69" i="11"/>
  <c r="AC69" i="11" s="1"/>
  <c r="O69" i="11"/>
  <c r="AD69" i="11" s="1"/>
  <c r="Z68" i="11"/>
  <c r="P68" i="11"/>
  <c r="AE68" i="11" s="1"/>
  <c r="N68" i="11"/>
  <c r="AC68" i="11" s="1"/>
  <c r="O68" i="11"/>
  <c r="AD68" i="11" s="1"/>
  <c r="Z67" i="11"/>
  <c r="P67" i="11"/>
  <c r="AE67" i="11" s="1"/>
  <c r="N67" i="11"/>
  <c r="AC67" i="11" s="1"/>
  <c r="O67" i="11"/>
  <c r="AD67" i="11" s="1"/>
  <c r="Z66" i="11"/>
  <c r="P66" i="11"/>
  <c r="AE66" i="11" s="1"/>
  <c r="N66" i="11"/>
  <c r="AC66" i="11" s="1"/>
  <c r="O66" i="11"/>
  <c r="AD66" i="11" s="1"/>
  <c r="Z65" i="11"/>
  <c r="P65" i="11"/>
  <c r="AE65" i="11" s="1"/>
  <c r="N65" i="11"/>
  <c r="AC65" i="11" s="1"/>
  <c r="O65" i="11"/>
  <c r="AD65" i="11" s="1"/>
  <c r="Z64" i="11"/>
  <c r="P64" i="11"/>
  <c r="AE64" i="11" s="1"/>
  <c r="N64" i="11"/>
  <c r="AC64" i="11" s="1"/>
  <c r="O64" i="11"/>
  <c r="AD64" i="11" s="1"/>
  <c r="Z63" i="11"/>
  <c r="P63" i="11"/>
  <c r="AE63" i="11" s="1"/>
  <c r="N63" i="11"/>
  <c r="AC63" i="11" s="1"/>
  <c r="O63" i="11"/>
  <c r="AD63" i="11" s="1"/>
  <c r="Z62" i="11"/>
  <c r="P62" i="11"/>
  <c r="AE62" i="11" s="1"/>
  <c r="N62" i="11"/>
  <c r="AC62" i="11" s="1"/>
  <c r="O62" i="11"/>
  <c r="AD62" i="11" s="1"/>
  <c r="Z61" i="11"/>
  <c r="P61" i="11"/>
  <c r="AE61" i="11" s="1"/>
  <c r="N61" i="11"/>
  <c r="AC61" i="11" s="1"/>
  <c r="O61" i="11"/>
  <c r="AD61" i="11" s="1"/>
  <c r="Z60" i="11"/>
  <c r="P60" i="11"/>
  <c r="AE60" i="11" s="1"/>
  <c r="N60" i="11"/>
  <c r="AC60" i="11" s="1"/>
  <c r="O60" i="11"/>
  <c r="AD60" i="11" s="1"/>
  <c r="Z59" i="11"/>
  <c r="P59" i="11"/>
  <c r="AE59" i="11" s="1"/>
  <c r="N59" i="11"/>
  <c r="AC59" i="11" s="1"/>
  <c r="O59" i="11"/>
  <c r="AD59" i="11" s="1"/>
  <c r="Z58" i="11"/>
  <c r="P58" i="11"/>
  <c r="AE58" i="11" s="1"/>
  <c r="N58" i="11"/>
  <c r="AC58" i="11" s="1"/>
  <c r="O58" i="11"/>
  <c r="AD58" i="11" s="1"/>
  <c r="Z57" i="11"/>
  <c r="P57" i="11"/>
  <c r="AE57" i="11" s="1"/>
  <c r="N57" i="11"/>
  <c r="AC57" i="11" s="1"/>
  <c r="O57" i="11"/>
  <c r="AD57" i="11" s="1"/>
  <c r="Z56" i="11"/>
  <c r="P56" i="11"/>
  <c r="AE56" i="11" s="1"/>
  <c r="N56" i="11"/>
  <c r="AC56" i="11" s="1"/>
  <c r="O56" i="11"/>
  <c r="AD56" i="11" s="1"/>
  <c r="Z55" i="11"/>
  <c r="P55" i="11"/>
  <c r="AE55" i="11" s="1"/>
  <c r="N55" i="11"/>
  <c r="AC55" i="11" s="1"/>
  <c r="O55" i="11"/>
  <c r="AD55" i="11" s="1"/>
  <c r="Z54" i="11"/>
  <c r="P54" i="11"/>
  <c r="AE54" i="11" s="1"/>
  <c r="N54" i="11"/>
  <c r="AC54" i="11" s="1"/>
  <c r="O54" i="11"/>
  <c r="AD54" i="11" s="1"/>
  <c r="Z53" i="11"/>
  <c r="P53" i="11"/>
  <c r="AE53" i="11" s="1"/>
  <c r="N53" i="11"/>
  <c r="AC53" i="11" s="1"/>
  <c r="O53" i="11"/>
  <c r="AD53" i="11" s="1"/>
  <c r="Z52" i="11"/>
  <c r="P52" i="11"/>
  <c r="AE52" i="11" s="1"/>
  <c r="N52" i="11"/>
  <c r="AC52" i="11" s="1"/>
  <c r="O52" i="11"/>
  <c r="AD52" i="11" s="1"/>
  <c r="Z51" i="11"/>
  <c r="P51" i="11"/>
  <c r="AE51" i="11" s="1"/>
  <c r="N51" i="11"/>
  <c r="AC51" i="11" s="1"/>
  <c r="O51" i="11"/>
  <c r="AD51" i="11" s="1"/>
  <c r="Z50" i="11"/>
  <c r="P50" i="11"/>
  <c r="AE50" i="11" s="1"/>
  <c r="N50" i="11"/>
  <c r="AC50" i="11" s="1"/>
  <c r="O50" i="11"/>
  <c r="AD50" i="11" s="1"/>
  <c r="Z49" i="11"/>
  <c r="P49" i="11"/>
  <c r="AE49" i="11" s="1"/>
  <c r="N49" i="11"/>
  <c r="AC49" i="11" s="1"/>
  <c r="O49" i="11"/>
  <c r="AD49" i="11" s="1"/>
  <c r="Z48" i="11"/>
  <c r="P48" i="11"/>
  <c r="AE48" i="11" s="1"/>
  <c r="N48" i="11"/>
  <c r="AC48" i="11" s="1"/>
  <c r="O48" i="11"/>
  <c r="AD48" i="11" s="1"/>
  <c r="Z47" i="11"/>
  <c r="P47" i="11"/>
  <c r="AE47" i="11" s="1"/>
  <c r="N47" i="11"/>
  <c r="AC47" i="11" s="1"/>
  <c r="O47" i="11"/>
  <c r="AD47" i="11" s="1"/>
  <c r="Z46" i="11"/>
  <c r="P46" i="11"/>
  <c r="AE46" i="11" s="1"/>
  <c r="N46" i="11"/>
  <c r="AC46" i="11" s="1"/>
  <c r="O46" i="11"/>
  <c r="AD46" i="11" s="1"/>
  <c r="Z45" i="11"/>
  <c r="P45" i="11"/>
  <c r="AE45" i="11" s="1"/>
  <c r="N45" i="11"/>
  <c r="AC45" i="11" s="1"/>
  <c r="O45" i="11"/>
  <c r="AD45" i="11" s="1"/>
  <c r="Z44" i="11"/>
  <c r="P44" i="11"/>
  <c r="AE44" i="11" s="1"/>
  <c r="N44" i="11"/>
  <c r="AC44" i="11" s="1"/>
  <c r="O44" i="11"/>
  <c r="AD44" i="11" s="1"/>
  <c r="Z43" i="11"/>
  <c r="P43" i="11"/>
  <c r="AE43" i="11" s="1"/>
  <c r="N43" i="11"/>
  <c r="AC43" i="11" s="1"/>
  <c r="O43" i="11"/>
  <c r="AD43" i="11" s="1"/>
  <c r="Z42" i="11"/>
  <c r="P42" i="11"/>
  <c r="AE42" i="11" s="1"/>
  <c r="N42" i="11"/>
  <c r="AC42" i="11" s="1"/>
  <c r="O42" i="11"/>
  <c r="AD42" i="11" s="1"/>
  <c r="Z41" i="11"/>
  <c r="P41" i="11"/>
  <c r="AE41" i="11" s="1"/>
  <c r="N41" i="11"/>
  <c r="AC41" i="11" s="1"/>
  <c r="O41" i="11"/>
  <c r="AD41" i="11" s="1"/>
  <c r="Z40" i="11"/>
  <c r="P40" i="11"/>
  <c r="AE40" i="11" s="1"/>
  <c r="N40" i="11"/>
  <c r="AC40" i="11" s="1"/>
  <c r="O40" i="11"/>
  <c r="AD40" i="11" s="1"/>
  <c r="Z39" i="11"/>
  <c r="P39" i="11"/>
  <c r="AE39" i="11" s="1"/>
  <c r="N39" i="11"/>
  <c r="AC39" i="11" s="1"/>
  <c r="O39" i="11"/>
  <c r="AD39" i="11" s="1"/>
  <c r="Z38" i="11"/>
  <c r="P38" i="11"/>
  <c r="AE38" i="11" s="1"/>
  <c r="N38" i="11"/>
  <c r="AC38" i="11" s="1"/>
  <c r="O38" i="11"/>
  <c r="AD38" i="11" s="1"/>
  <c r="Z37" i="11"/>
  <c r="P37" i="11"/>
  <c r="AE37" i="11" s="1"/>
  <c r="N37" i="11"/>
  <c r="AC37" i="11" s="1"/>
  <c r="O37" i="11"/>
  <c r="AD37" i="11" s="1"/>
  <c r="Z36" i="11"/>
  <c r="P36" i="11"/>
  <c r="AE36" i="11" s="1"/>
  <c r="N36" i="11"/>
  <c r="AC36" i="11" s="1"/>
  <c r="O36" i="11"/>
  <c r="AD36" i="11" s="1"/>
  <c r="Z35" i="11"/>
  <c r="P35" i="11"/>
  <c r="AE35" i="11" s="1"/>
  <c r="N35" i="11"/>
  <c r="AC35" i="11" s="1"/>
  <c r="O35" i="11"/>
  <c r="AD35" i="11" s="1"/>
  <c r="Z34" i="11"/>
  <c r="P34" i="11"/>
  <c r="AE34" i="11" s="1"/>
  <c r="N34" i="11"/>
  <c r="AC34" i="11" s="1"/>
  <c r="O34" i="11"/>
  <c r="AD34" i="11" s="1"/>
  <c r="Z33" i="11"/>
  <c r="P33" i="11"/>
  <c r="AE33" i="11" s="1"/>
  <c r="N33" i="11"/>
  <c r="AC33" i="11" s="1"/>
  <c r="O33" i="11"/>
  <c r="AD33" i="11" s="1"/>
  <c r="Z32" i="11"/>
  <c r="P32" i="11"/>
  <c r="AE32" i="11" s="1"/>
  <c r="N32" i="11"/>
  <c r="AC32" i="11" s="1"/>
  <c r="O32" i="11"/>
  <c r="AD32" i="11" s="1"/>
  <c r="Z31" i="11"/>
  <c r="P31" i="11"/>
  <c r="AE31" i="11" s="1"/>
  <c r="N31" i="11"/>
  <c r="AC31" i="11" s="1"/>
  <c r="O31" i="11"/>
  <c r="AD31" i="11" s="1"/>
  <c r="Z30" i="11"/>
  <c r="P30" i="11"/>
  <c r="AE30" i="11" s="1"/>
  <c r="N30" i="11"/>
  <c r="AC30" i="11" s="1"/>
  <c r="O30" i="11"/>
  <c r="AD30" i="11" s="1"/>
  <c r="Z29" i="11"/>
  <c r="P29" i="11"/>
  <c r="AE29" i="11" s="1"/>
  <c r="N29" i="11"/>
  <c r="AC29" i="11" s="1"/>
  <c r="O29" i="11"/>
  <c r="AD29" i="11" s="1"/>
  <c r="Z28" i="11"/>
  <c r="P28" i="11"/>
  <c r="AE28" i="11" s="1"/>
  <c r="N28" i="11"/>
  <c r="AC28" i="11" s="1"/>
  <c r="O28" i="11"/>
  <c r="AD28" i="11" s="1"/>
  <c r="Z27" i="11"/>
  <c r="P27" i="11"/>
  <c r="AE27" i="11" s="1"/>
  <c r="N27" i="11"/>
  <c r="AC27" i="11" s="1"/>
  <c r="O27" i="11"/>
  <c r="AD27" i="11" s="1"/>
  <c r="Z26" i="11"/>
  <c r="P26" i="11"/>
  <c r="AE26" i="11" s="1"/>
  <c r="N26" i="11"/>
  <c r="AC26" i="11" s="1"/>
  <c r="O26" i="11"/>
  <c r="AD26" i="11" s="1"/>
  <c r="Z25" i="11"/>
  <c r="P25" i="11"/>
  <c r="AE25" i="11" s="1"/>
  <c r="N25" i="11"/>
  <c r="AC25" i="11" s="1"/>
  <c r="O25" i="11"/>
  <c r="AD25" i="11" s="1"/>
  <c r="Z24" i="11"/>
  <c r="P24" i="11"/>
  <c r="AE24" i="11" s="1"/>
  <c r="N24" i="11"/>
  <c r="AC24" i="11" s="1"/>
  <c r="O24" i="11"/>
  <c r="AD24" i="11" s="1"/>
  <c r="Z23" i="11"/>
  <c r="P23" i="11"/>
  <c r="AE23" i="11" s="1"/>
  <c r="N23" i="11"/>
  <c r="AC23" i="11" s="1"/>
  <c r="O23" i="11"/>
  <c r="AD23" i="11" s="1"/>
  <c r="Z22" i="11"/>
  <c r="P22" i="11"/>
  <c r="AE22" i="11" s="1"/>
  <c r="N22" i="11"/>
  <c r="AC22" i="11" s="1"/>
  <c r="O22" i="11"/>
  <c r="AD22" i="11" s="1"/>
  <c r="Z21" i="11"/>
  <c r="P21" i="11"/>
  <c r="AE21" i="11" s="1"/>
  <c r="N21" i="11"/>
  <c r="AC21" i="11" s="1"/>
  <c r="O21" i="11"/>
  <c r="AD21" i="11" s="1"/>
  <c r="Z20" i="11"/>
  <c r="P20" i="11"/>
  <c r="AE20" i="11" s="1"/>
  <c r="N20" i="11"/>
  <c r="AC20" i="11" s="1"/>
  <c r="O20" i="11"/>
  <c r="AD20" i="11" s="1"/>
  <c r="Z19" i="11"/>
  <c r="P19" i="11"/>
  <c r="AE19" i="11" s="1"/>
  <c r="N19" i="11"/>
  <c r="AC19" i="11" s="1"/>
  <c r="O19" i="11"/>
  <c r="AD19" i="11" s="1"/>
  <c r="Z18" i="11"/>
  <c r="P18" i="11"/>
  <c r="AE18" i="11" s="1"/>
  <c r="N18" i="11"/>
  <c r="AC18" i="11" s="1"/>
  <c r="O18" i="11"/>
  <c r="AD18" i="11" s="1"/>
  <c r="Z17" i="11"/>
  <c r="P17" i="11"/>
  <c r="AE17" i="11" s="1"/>
  <c r="N17" i="11"/>
  <c r="AC17" i="11" s="1"/>
  <c r="O17" i="11"/>
  <c r="AD17" i="11" s="1"/>
  <c r="Z16" i="11"/>
  <c r="P16" i="11"/>
  <c r="AE16" i="11" s="1"/>
  <c r="N16" i="11"/>
  <c r="AC16" i="11" s="1"/>
  <c r="O16" i="11"/>
  <c r="AD16" i="11" s="1"/>
  <c r="Z15" i="11"/>
  <c r="P15" i="11"/>
  <c r="AE15" i="11" s="1"/>
  <c r="N15" i="11"/>
  <c r="AC15" i="11" s="1"/>
  <c r="O15" i="11"/>
  <c r="AD15" i="11" s="1"/>
  <c r="Z14" i="11"/>
  <c r="P14" i="11"/>
  <c r="AE14" i="11" s="1"/>
  <c r="N14" i="11"/>
  <c r="AC14" i="11" s="1"/>
  <c r="O14" i="11"/>
  <c r="AD14" i="11" s="1"/>
  <c r="Z13" i="11"/>
  <c r="P13" i="11"/>
  <c r="AE13" i="11" s="1"/>
  <c r="N13" i="11"/>
  <c r="AC13" i="11" s="1"/>
  <c r="O13" i="11"/>
  <c r="AD13" i="11" s="1"/>
  <c r="Z12" i="11"/>
  <c r="P12" i="11"/>
  <c r="AE12" i="11" s="1"/>
  <c r="N12" i="11"/>
  <c r="AC12" i="11" s="1"/>
  <c r="O12" i="11"/>
  <c r="AD12" i="11" s="1"/>
  <c r="Z11" i="11"/>
  <c r="P11" i="11"/>
  <c r="AE11" i="11" s="1"/>
  <c r="N11" i="11"/>
  <c r="AC11" i="11" s="1"/>
  <c r="O11" i="11"/>
  <c r="AD11" i="11" s="1"/>
  <c r="Z10" i="11"/>
  <c r="P10" i="11"/>
  <c r="AE10" i="11" s="1"/>
  <c r="N10" i="11"/>
  <c r="AC10" i="11" s="1"/>
  <c r="O10" i="11"/>
  <c r="AD10" i="11" s="1"/>
  <c r="Z9" i="11"/>
  <c r="P9" i="11"/>
  <c r="AE9" i="11" s="1"/>
  <c r="N9" i="11"/>
  <c r="AC9" i="11" s="1"/>
  <c r="O9" i="11"/>
  <c r="AD9" i="11" s="1"/>
  <c r="Z8" i="11"/>
  <c r="P8" i="11"/>
  <c r="AE8" i="11" s="1"/>
  <c r="N8" i="11"/>
  <c r="AC8" i="11" s="1"/>
  <c r="O8" i="11"/>
  <c r="AD8" i="11" s="1"/>
  <c r="Z7" i="11"/>
  <c r="P7" i="11"/>
  <c r="AE7" i="11" s="1"/>
  <c r="N7" i="11"/>
  <c r="AC7" i="11" s="1"/>
  <c r="O7" i="11"/>
  <c r="AD7" i="11" s="1"/>
  <c r="Z6" i="11"/>
  <c r="P6" i="11"/>
  <c r="AE6" i="11" s="1"/>
  <c r="N6" i="11"/>
  <c r="AC6" i="11" s="1"/>
  <c r="O6" i="11"/>
  <c r="AD6" i="11" s="1"/>
  <c r="Z5" i="11"/>
  <c r="P5" i="11"/>
  <c r="AE5" i="11" s="1"/>
  <c r="N5" i="11"/>
  <c r="AC5" i="11" s="1"/>
  <c r="O5" i="11"/>
  <c r="AD5" i="11" s="1"/>
  <c r="Z4" i="11"/>
  <c r="P4" i="11"/>
  <c r="AE4" i="11" s="1"/>
  <c r="N4" i="11"/>
  <c r="AC4" i="11" s="1"/>
  <c r="O4" i="11"/>
  <c r="AD4" i="11" s="1"/>
  <c r="Z3" i="11"/>
  <c r="P3" i="11"/>
  <c r="AE3" i="11" s="1"/>
  <c r="N3" i="11"/>
  <c r="AC3" i="11" s="1"/>
  <c r="O3" i="11"/>
  <c r="AD3" i="11" s="1"/>
  <c r="Z2" i="11"/>
  <c r="P2" i="11"/>
  <c r="AE2" i="11" s="1"/>
  <c r="N2" i="11"/>
  <c r="AC2" i="11" s="1"/>
  <c r="O2" i="11"/>
  <c r="AD2" i="11" s="1"/>
  <c r="I2" i="11"/>
  <c r="S2" i="11" s="1"/>
  <c r="AH2" i="11" s="1"/>
  <c r="AN7" i="1"/>
  <c r="AN8" i="1"/>
  <c r="AN36" i="1"/>
  <c r="AN37" i="1"/>
  <c r="AN38" i="1"/>
  <c r="AN45" i="1"/>
  <c r="AN46" i="1"/>
  <c r="AN83" i="1"/>
  <c r="AN84" i="1"/>
  <c r="AN85" i="1"/>
  <c r="AN86" i="1"/>
  <c r="AN119" i="1"/>
  <c r="AN120" i="1"/>
  <c r="AN156" i="1"/>
  <c r="AN157" i="1"/>
  <c r="AN167" i="1"/>
  <c r="AN168" i="1"/>
  <c r="AN203" i="1"/>
  <c r="AN204" i="1"/>
  <c r="AN205" i="1"/>
  <c r="AN206" i="1"/>
  <c r="AN207" i="1"/>
  <c r="AN208" i="1"/>
  <c r="AN209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AH162" i="1" s="1"/>
  <c r="U163" i="1"/>
  <c r="U164" i="1"/>
  <c r="U165" i="1"/>
  <c r="U166" i="1"/>
  <c r="AH166" i="1" s="1"/>
  <c r="U167" i="1"/>
  <c r="U168" i="1"/>
  <c r="U169" i="1"/>
  <c r="U170" i="1"/>
  <c r="AH170" i="1" s="1"/>
  <c r="U171" i="1"/>
  <c r="U172" i="1"/>
  <c r="U173" i="1"/>
  <c r="U174" i="1"/>
  <c r="AH174" i="1" s="1"/>
  <c r="U175" i="1"/>
  <c r="U176" i="1"/>
  <c r="U177" i="1"/>
  <c r="U178" i="1"/>
  <c r="AH178" i="1" s="1"/>
  <c r="U179" i="1"/>
  <c r="U180" i="1"/>
  <c r="U181" i="1"/>
  <c r="U182" i="1"/>
  <c r="AH182" i="1" s="1"/>
  <c r="U183" i="1"/>
  <c r="U184" i="1"/>
  <c r="U185" i="1"/>
  <c r="U186" i="1"/>
  <c r="AH186" i="1" s="1"/>
  <c r="U187" i="1"/>
  <c r="U188" i="1"/>
  <c r="U189" i="1"/>
  <c r="U190" i="1"/>
  <c r="AH190" i="1" s="1"/>
  <c r="U191" i="1"/>
  <c r="U192" i="1"/>
  <c r="U193" i="1"/>
  <c r="U194" i="1"/>
  <c r="AH194" i="1" s="1"/>
  <c r="U195" i="1"/>
  <c r="U196" i="1"/>
  <c r="U197" i="1"/>
  <c r="U198" i="1"/>
  <c r="AH198" i="1" s="1"/>
  <c r="U199" i="1"/>
  <c r="U200" i="1"/>
  <c r="U201" i="1"/>
  <c r="U202" i="1"/>
  <c r="AH202" i="1" s="1"/>
  <c r="U203" i="1"/>
  <c r="U204" i="1"/>
  <c r="U205" i="1"/>
  <c r="U206" i="1"/>
  <c r="U207" i="1"/>
  <c r="U208" i="1"/>
  <c r="U209" i="1"/>
  <c r="U210" i="1"/>
  <c r="AH210" i="1" s="1"/>
  <c r="U211" i="1"/>
  <c r="U212" i="1"/>
  <c r="U213" i="1"/>
  <c r="U214" i="1"/>
  <c r="AH214" i="1" s="1"/>
  <c r="U215" i="1"/>
  <c r="U216" i="1"/>
  <c r="U217" i="1"/>
  <c r="U218" i="1"/>
  <c r="AH218" i="1" s="1"/>
  <c r="U219" i="1"/>
  <c r="U220" i="1"/>
  <c r="U221" i="1"/>
  <c r="U222" i="1"/>
  <c r="AH222" i="1" s="1"/>
  <c r="U223" i="1"/>
  <c r="U224" i="1"/>
  <c r="U225" i="1"/>
  <c r="U226" i="1"/>
  <c r="AH226" i="1" s="1"/>
  <c r="U227" i="1"/>
  <c r="U228" i="1"/>
  <c r="U229" i="1"/>
  <c r="U230" i="1"/>
  <c r="AH230" i="1" s="1"/>
  <c r="U231" i="1"/>
  <c r="U232" i="1"/>
  <c r="U233" i="1"/>
  <c r="U234" i="1"/>
  <c r="AH234" i="1" s="1"/>
  <c r="U235" i="1"/>
  <c r="U236" i="1"/>
  <c r="U237" i="1"/>
  <c r="U238" i="1"/>
  <c r="AH238" i="1" s="1"/>
  <c r="U239" i="1"/>
  <c r="U240" i="1"/>
  <c r="U241" i="1"/>
  <c r="U242" i="1"/>
  <c r="AH242" i="1" s="1"/>
  <c r="U243" i="1"/>
  <c r="U244" i="1"/>
  <c r="U245" i="1"/>
  <c r="U246" i="1"/>
  <c r="AH246" i="1" s="1"/>
  <c r="U247" i="1"/>
  <c r="U248" i="1"/>
  <c r="U249" i="1"/>
  <c r="U250" i="1"/>
  <c r="AH250" i="1" s="1"/>
  <c r="U251" i="1"/>
  <c r="U252" i="1"/>
  <c r="AH252" i="1" s="1"/>
  <c r="U253" i="1"/>
  <c r="U254" i="1"/>
  <c r="AH254" i="1" s="1"/>
  <c r="U255" i="1"/>
  <c r="U256" i="1"/>
  <c r="U257" i="1"/>
  <c r="U258" i="1"/>
  <c r="AH258" i="1" s="1"/>
  <c r="U259" i="1"/>
  <c r="U260" i="1"/>
  <c r="U261" i="1"/>
  <c r="U262" i="1"/>
  <c r="AH262" i="1" s="1"/>
  <c r="U263" i="1"/>
  <c r="U264" i="1"/>
  <c r="U265" i="1"/>
  <c r="U266" i="1"/>
  <c r="AH266" i="1" s="1"/>
  <c r="U267" i="1"/>
  <c r="U268" i="1"/>
  <c r="AH268" i="1" s="1"/>
  <c r="U269" i="1"/>
  <c r="U270" i="1"/>
  <c r="AH270" i="1" s="1"/>
  <c r="U271" i="1"/>
  <c r="U272" i="1"/>
  <c r="AH272" i="1" s="1"/>
  <c r="U273" i="1"/>
  <c r="U274" i="1"/>
  <c r="AH274" i="1" s="1"/>
  <c r="U275" i="1"/>
  <c r="U276" i="1"/>
  <c r="U277" i="1"/>
  <c r="U278" i="1"/>
  <c r="AH278" i="1" s="1"/>
  <c r="U279" i="1"/>
  <c r="U280" i="1"/>
  <c r="AH280" i="1" s="1"/>
  <c r="U281" i="1"/>
  <c r="U282" i="1"/>
  <c r="AH282" i="1" s="1"/>
  <c r="U283" i="1"/>
  <c r="U284" i="1"/>
  <c r="U285" i="1"/>
  <c r="U286" i="1"/>
  <c r="AH286" i="1" s="1"/>
  <c r="U287" i="1"/>
  <c r="U288" i="1"/>
  <c r="U289" i="1"/>
  <c r="U290" i="1"/>
  <c r="AH290" i="1" s="1"/>
  <c r="U291" i="1"/>
  <c r="U292" i="1"/>
  <c r="AH292" i="1" s="1"/>
  <c r="U293" i="1"/>
  <c r="U294" i="1"/>
  <c r="AH294" i="1" s="1"/>
  <c r="U295" i="1"/>
  <c r="U296" i="1"/>
  <c r="U297" i="1"/>
  <c r="U298" i="1"/>
  <c r="AH298" i="1" s="1"/>
  <c r="U299" i="1"/>
  <c r="U300" i="1"/>
  <c r="AH300" i="1" s="1"/>
  <c r="U301" i="1"/>
  <c r="U302" i="1"/>
  <c r="AH302" i="1" s="1"/>
  <c r="U303" i="1"/>
  <c r="U304" i="1"/>
  <c r="AH304" i="1" s="1"/>
  <c r="U305" i="1"/>
  <c r="U306" i="1"/>
  <c r="AH306" i="1" s="1"/>
  <c r="U307" i="1"/>
  <c r="U308" i="1"/>
  <c r="AH308" i="1" s="1"/>
  <c r="U309" i="1"/>
  <c r="U310" i="1"/>
  <c r="AH310" i="1" s="1"/>
  <c r="U311" i="1"/>
  <c r="U312" i="1"/>
  <c r="AH312" i="1" s="1"/>
  <c r="U313" i="1"/>
  <c r="U314" i="1"/>
  <c r="AH314" i="1" s="1"/>
  <c r="U315" i="1"/>
  <c r="U316" i="1"/>
  <c r="AH316" i="1" s="1"/>
  <c r="U317" i="1"/>
  <c r="U318" i="1"/>
  <c r="AH318" i="1" s="1"/>
  <c r="U319" i="1"/>
  <c r="U320" i="1"/>
  <c r="AH320" i="1" s="1"/>
  <c r="U321" i="1"/>
  <c r="U322" i="1"/>
  <c r="AH322" i="1" s="1"/>
  <c r="U323" i="1"/>
  <c r="U324" i="1"/>
  <c r="AH324" i="1" s="1"/>
  <c r="U325" i="1"/>
  <c r="U326" i="1"/>
  <c r="AH326" i="1" s="1"/>
  <c r="U327" i="1"/>
  <c r="U328" i="1"/>
  <c r="AH328" i="1" s="1"/>
  <c r="U329" i="1"/>
  <c r="U330" i="1"/>
  <c r="AH330" i="1" s="1"/>
  <c r="U331" i="1"/>
  <c r="U332" i="1"/>
  <c r="AH332" i="1" s="1"/>
  <c r="U333" i="1"/>
  <c r="U334" i="1"/>
  <c r="AH334" i="1" s="1"/>
  <c r="U335" i="1"/>
  <c r="U336" i="1"/>
  <c r="AH336" i="1" s="1"/>
  <c r="U337" i="1"/>
  <c r="U338" i="1"/>
  <c r="AH338" i="1" s="1"/>
  <c r="U339" i="1"/>
  <c r="U340" i="1"/>
  <c r="AH340" i="1" s="1"/>
  <c r="U341" i="1"/>
  <c r="U342" i="1"/>
  <c r="AH342" i="1" s="1"/>
  <c r="U343" i="1"/>
  <c r="U344" i="1"/>
  <c r="AH344" i="1" s="1"/>
  <c r="U345" i="1"/>
  <c r="U346" i="1"/>
  <c r="AH346" i="1" s="1"/>
  <c r="U347" i="1"/>
  <c r="U348" i="1"/>
  <c r="AH348" i="1" s="1"/>
  <c r="U349" i="1"/>
  <c r="U350" i="1"/>
  <c r="AH350" i="1" s="1"/>
  <c r="U351" i="1"/>
  <c r="U352" i="1"/>
  <c r="AH352" i="1" s="1"/>
  <c r="U353" i="1"/>
  <c r="AH353" i="1" s="1"/>
  <c r="U354" i="1"/>
  <c r="AH354" i="1" s="1"/>
  <c r="U355" i="1"/>
  <c r="U356" i="1"/>
  <c r="U357" i="1"/>
  <c r="U358" i="1"/>
  <c r="AH358" i="1" s="1"/>
  <c r="U359" i="1"/>
  <c r="U2" i="1"/>
  <c r="AH359" i="1"/>
  <c r="AG359" i="1"/>
  <c r="AE359" i="1"/>
  <c r="AC359" i="1"/>
  <c r="AG358" i="1"/>
  <c r="AE358" i="1"/>
  <c r="AC358" i="1"/>
  <c r="AH357" i="1"/>
  <c r="AG357" i="1"/>
  <c r="AE357" i="1"/>
  <c r="AC357" i="1"/>
  <c r="AH356" i="1"/>
  <c r="AG356" i="1"/>
  <c r="AE356" i="1"/>
  <c r="AC356" i="1"/>
  <c r="AH355" i="1"/>
  <c r="AG355" i="1"/>
  <c r="AE355" i="1"/>
  <c r="AC355" i="1"/>
  <c r="AG354" i="1"/>
  <c r="AE354" i="1"/>
  <c r="AC354" i="1"/>
  <c r="AG353" i="1"/>
  <c r="AE353" i="1"/>
  <c r="AC353" i="1"/>
  <c r="AG352" i="1"/>
  <c r="AE352" i="1"/>
  <c r="AC352" i="1"/>
  <c r="AH351" i="1"/>
  <c r="AG351" i="1"/>
  <c r="AE351" i="1"/>
  <c r="AC351" i="1"/>
  <c r="AG350" i="1"/>
  <c r="AE350" i="1"/>
  <c r="AC350" i="1"/>
  <c r="AH349" i="1"/>
  <c r="AG349" i="1"/>
  <c r="AE349" i="1"/>
  <c r="AC349" i="1"/>
  <c r="AG348" i="1"/>
  <c r="AE348" i="1"/>
  <c r="AC348" i="1"/>
  <c r="AH347" i="1"/>
  <c r="AG347" i="1"/>
  <c r="AE347" i="1"/>
  <c r="AC347" i="1"/>
  <c r="AG346" i="1"/>
  <c r="AE346" i="1"/>
  <c r="AC346" i="1"/>
  <c r="AH345" i="1"/>
  <c r="AG345" i="1"/>
  <c r="AE345" i="1"/>
  <c r="AC345" i="1"/>
  <c r="AG344" i="1"/>
  <c r="AE344" i="1"/>
  <c r="AC344" i="1"/>
  <c r="AH343" i="1"/>
  <c r="AG343" i="1"/>
  <c r="AE343" i="1"/>
  <c r="AC343" i="1"/>
  <c r="AG342" i="1"/>
  <c r="AE342" i="1"/>
  <c r="AC342" i="1"/>
  <c r="AH341" i="1"/>
  <c r="AG341" i="1"/>
  <c r="AE341" i="1"/>
  <c r="AC341" i="1"/>
  <c r="AG340" i="1"/>
  <c r="AE340" i="1"/>
  <c r="AC340" i="1"/>
  <c r="AH339" i="1"/>
  <c r="AG339" i="1"/>
  <c r="AE339" i="1"/>
  <c r="AC339" i="1"/>
  <c r="AG338" i="1"/>
  <c r="AE338" i="1"/>
  <c r="AC338" i="1"/>
  <c r="AH337" i="1"/>
  <c r="AG337" i="1"/>
  <c r="AE337" i="1"/>
  <c r="AC337" i="1"/>
  <c r="AG336" i="1"/>
  <c r="AE336" i="1"/>
  <c r="AC336" i="1"/>
  <c r="AH335" i="1"/>
  <c r="AG335" i="1"/>
  <c r="AE335" i="1"/>
  <c r="AC335" i="1"/>
  <c r="AG334" i="1"/>
  <c r="AE334" i="1"/>
  <c r="AC334" i="1"/>
  <c r="AH333" i="1"/>
  <c r="AG333" i="1"/>
  <c r="AE333" i="1"/>
  <c r="AC333" i="1"/>
  <c r="AG332" i="1"/>
  <c r="AE332" i="1"/>
  <c r="AC332" i="1"/>
  <c r="AH331" i="1"/>
  <c r="AG331" i="1"/>
  <c r="AE331" i="1"/>
  <c r="AC331" i="1"/>
  <c r="AG330" i="1"/>
  <c r="AE330" i="1"/>
  <c r="AC330" i="1"/>
  <c r="AH329" i="1"/>
  <c r="AG329" i="1"/>
  <c r="AE329" i="1"/>
  <c r="AC329" i="1"/>
  <c r="AG328" i="1"/>
  <c r="AE328" i="1"/>
  <c r="AC328" i="1"/>
  <c r="AH327" i="1"/>
  <c r="AG327" i="1"/>
  <c r="AE327" i="1"/>
  <c r="AC327" i="1"/>
  <c r="AG326" i="1"/>
  <c r="AE326" i="1"/>
  <c r="AC326" i="1"/>
  <c r="AH325" i="1"/>
  <c r="AG325" i="1"/>
  <c r="AE325" i="1"/>
  <c r="AC325" i="1"/>
  <c r="AG324" i="1"/>
  <c r="AE324" i="1"/>
  <c r="AC324" i="1"/>
  <c r="AH323" i="1"/>
  <c r="AG323" i="1"/>
  <c r="AE323" i="1"/>
  <c r="AC323" i="1"/>
  <c r="AG322" i="1"/>
  <c r="AE322" i="1"/>
  <c r="AC322" i="1"/>
  <c r="AH321" i="1"/>
  <c r="AG321" i="1"/>
  <c r="AE321" i="1"/>
  <c r="AC321" i="1"/>
  <c r="AG320" i="1"/>
  <c r="AE320" i="1"/>
  <c r="AC320" i="1"/>
  <c r="AH319" i="1"/>
  <c r="AG319" i="1"/>
  <c r="AE319" i="1"/>
  <c r="AC319" i="1"/>
  <c r="AG318" i="1"/>
  <c r="AE318" i="1"/>
  <c r="AC318" i="1"/>
  <c r="AH317" i="1"/>
  <c r="AG317" i="1"/>
  <c r="AE317" i="1"/>
  <c r="AC317" i="1"/>
  <c r="AG316" i="1"/>
  <c r="AE316" i="1"/>
  <c r="AC316" i="1"/>
  <c r="AH315" i="1"/>
  <c r="AG315" i="1"/>
  <c r="AE315" i="1"/>
  <c r="AC315" i="1"/>
  <c r="AG314" i="1"/>
  <c r="AE314" i="1"/>
  <c r="AC314" i="1"/>
  <c r="AH313" i="1"/>
  <c r="AG313" i="1"/>
  <c r="AE313" i="1"/>
  <c r="AC313" i="1"/>
  <c r="AG312" i="1"/>
  <c r="AE312" i="1"/>
  <c r="AC312" i="1"/>
  <c r="AH311" i="1"/>
  <c r="AG311" i="1"/>
  <c r="AE311" i="1"/>
  <c r="AC311" i="1"/>
  <c r="AG310" i="1"/>
  <c r="AE310" i="1"/>
  <c r="AC310" i="1"/>
  <c r="AH309" i="1"/>
  <c r="AG309" i="1"/>
  <c r="AE309" i="1"/>
  <c r="AC309" i="1"/>
  <c r="AG308" i="1"/>
  <c r="AE308" i="1"/>
  <c r="AC308" i="1"/>
  <c r="AH307" i="1"/>
  <c r="AG307" i="1"/>
  <c r="AE307" i="1"/>
  <c r="AC307" i="1"/>
  <c r="AG306" i="1"/>
  <c r="AE306" i="1"/>
  <c r="AC306" i="1"/>
  <c r="AH305" i="1"/>
  <c r="AG305" i="1"/>
  <c r="AE305" i="1"/>
  <c r="AC305" i="1"/>
  <c r="AG304" i="1"/>
  <c r="AE304" i="1"/>
  <c r="AC304" i="1"/>
  <c r="AH303" i="1"/>
  <c r="AG303" i="1"/>
  <c r="AE303" i="1"/>
  <c r="AC303" i="1"/>
  <c r="AG302" i="1"/>
  <c r="AE302" i="1"/>
  <c r="AC302" i="1"/>
  <c r="AH301" i="1"/>
  <c r="AG301" i="1"/>
  <c r="AE301" i="1"/>
  <c r="AC301" i="1"/>
  <c r="AG300" i="1"/>
  <c r="AE300" i="1"/>
  <c r="AC300" i="1"/>
  <c r="AH299" i="1"/>
  <c r="AG299" i="1"/>
  <c r="AE299" i="1"/>
  <c r="AC299" i="1"/>
  <c r="AG298" i="1"/>
  <c r="AE298" i="1"/>
  <c r="AC298" i="1"/>
  <c r="AH297" i="1"/>
  <c r="AG297" i="1"/>
  <c r="AE297" i="1"/>
  <c r="AC297" i="1"/>
  <c r="AH296" i="1"/>
  <c r="AG296" i="1"/>
  <c r="AE296" i="1"/>
  <c r="AC296" i="1"/>
  <c r="AH295" i="1"/>
  <c r="AG295" i="1"/>
  <c r="AE295" i="1"/>
  <c r="AC295" i="1"/>
  <c r="AG294" i="1"/>
  <c r="AE294" i="1"/>
  <c r="AC294" i="1"/>
  <c r="AH293" i="1"/>
  <c r="AG293" i="1"/>
  <c r="AE293" i="1"/>
  <c r="AC293" i="1"/>
  <c r="AG292" i="1"/>
  <c r="AE292" i="1"/>
  <c r="AC292" i="1"/>
  <c r="AH291" i="1"/>
  <c r="AG291" i="1"/>
  <c r="AE291" i="1"/>
  <c r="AC291" i="1"/>
  <c r="AG290" i="1"/>
  <c r="AE290" i="1"/>
  <c r="AC290" i="1"/>
  <c r="AH289" i="1"/>
  <c r="AG289" i="1"/>
  <c r="AE289" i="1"/>
  <c r="AC289" i="1"/>
  <c r="AH288" i="1"/>
  <c r="AG288" i="1"/>
  <c r="AE288" i="1"/>
  <c r="AC288" i="1"/>
  <c r="AH287" i="1"/>
  <c r="AG287" i="1"/>
  <c r="AE287" i="1"/>
  <c r="AC287" i="1"/>
  <c r="AG286" i="1"/>
  <c r="AE286" i="1"/>
  <c r="AC286" i="1"/>
  <c r="AH285" i="1"/>
  <c r="AG285" i="1"/>
  <c r="AE285" i="1"/>
  <c r="AC285" i="1"/>
  <c r="AH284" i="1"/>
  <c r="AG284" i="1"/>
  <c r="AE284" i="1"/>
  <c r="AC284" i="1"/>
  <c r="AH283" i="1"/>
  <c r="AG283" i="1"/>
  <c r="AE283" i="1"/>
  <c r="AC283" i="1"/>
  <c r="AG282" i="1"/>
  <c r="AE282" i="1"/>
  <c r="AC282" i="1"/>
  <c r="AH281" i="1"/>
  <c r="AG281" i="1"/>
  <c r="AE281" i="1"/>
  <c r="AC281" i="1"/>
  <c r="AG280" i="1"/>
  <c r="AE280" i="1"/>
  <c r="AC280" i="1"/>
  <c r="AH279" i="1"/>
  <c r="AG279" i="1"/>
  <c r="AE279" i="1"/>
  <c r="AC279" i="1"/>
  <c r="AG278" i="1"/>
  <c r="AE278" i="1"/>
  <c r="AC278" i="1"/>
  <c r="AH277" i="1"/>
  <c r="AG277" i="1"/>
  <c r="AE277" i="1"/>
  <c r="AC277" i="1"/>
  <c r="AH276" i="1"/>
  <c r="AG276" i="1"/>
  <c r="AE276" i="1"/>
  <c r="AC276" i="1"/>
  <c r="AL275" i="1"/>
  <c r="AH275" i="1"/>
  <c r="AG275" i="1"/>
  <c r="AE275" i="1"/>
  <c r="AC275" i="1"/>
  <c r="AG274" i="1"/>
  <c r="AE274" i="1"/>
  <c r="AC274" i="1"/>
  <c r="AJ273" i="1"/>
  <c r="AH273" i="1"/>
  <c r="AG273" i="1"/>
  <c r="AE273" i="1"/>
  <c r="AC273" i="1"/>
  <c r="AG272" i="1"/>
  <c r="AE272" i="1"/>
  <c r="AC272" i="1"/>
  <c r="AH271" i="1"/>
  <c r="AG271" i="1"/>
  <c r="AE271" i="1"/>
  <c r="AC271" i="1"/>
  <c r="AG270" i="1"/>
  <c r="AE270" i="1"/>
  <c r="AC270" i="1"/>
  <c r="AH269" i="1"/>
  <c r="AG269" i="1"/>
  <c r="AE269" i="1"/>
  <c r="AC269" i="1"/>
  <c r="AG268" i="1"/>
  <c r="AE268" i="1"/>
  <c r="AC268" i="1"/>
  <c r="AH267" i="1"/>
  <c r="AG267" i="1"/>
  <c r="AE267" i="1"/>
  <c r="AC267" i="1"/>
  <c r="AG266" i="1"/>
  <c r="AE266" i="1"/>
  <c r="AC266" i="1"/>
  <c r="AH265" i="1"/>
  <c r="AG265" i="1"/>
  <c r="AE265" i="1"/>
  <c r="AC265" i="1"/>
  <c r="AH264" i="1"/>
  <c r="AG264" i="1"/>
  <c r="AE264" i="1"/>
  <c r="AC264" i="1"/>
  <c r="AH263" i="1"/>
  <c r="AG263" i="1"/>
  <c r="AE263" i="1"/>
  <c r="AC263" i="1"/>
  <c r="AG262" i="1"/>
  <c r="AE262" i="1"/>
  <c r="AC262" i="1"/>
  <c r="AH261" i="1"/>
  <c r="AG261" i="1"/>
  <c r="AE261" i="1"/>
  <c r="AC261" i="1"/>
  <c r="AH260" i="1"/>
  <c r="AG260" i="1"/>
  <c r="AE260" i="1"/>
  <c r="AC260" i="1"/>
  <c r="AH259" i="1"/>
  <c r="AG259" i="1"/>
  <c r="AE259" i="1"/>
  <c r="AC259" i="1"/>
  <c r="AG258" i="1"/>
  <c r="AE258" i="1"/>
  <c r="AC258" i="1"/>
  <c r="AH257" i="1"/>
  <c r="AG257" i="1"/>
  <c r="AE257" i="1"/>
  <c r="AC257" i="1"/>
  <c r="AH256" i="1"/>
  <c r="AG256" i="1"/>
  <c r="AE256" i="1"/>
  <c r="AC256" i="1"/>
  <c r="AH255" i="1"/>
  <c r="AG255" i="1"/>
  <c r="AE255" i="1"/>
  <c r="AC255" i="1"/>
  <c r="AG254" i="1"/>
  <c r="AE254" i="1"/>
  <c r="AC254" i="1"/>
  <c r="AH253" i="1"/>
  <c r="AG253" i="1"/>
  <c r="AE253" i="1"/>
  <c r="AC253" i="1"/>
  <c r="AG252" i="1"/>
  <c r="AE252" i="1"/>
  <c r="AC252" i="1"/>
  <c r="AH251" i="1"/>
  <c r="AG251" i="1"/>
  <c r="AE251" i="1"/>
  <c r="AC251" i="1"/>
  <c r="AG250" i="1"/>
  <c r="AE250" i="1"/>
  <c r="AC250" i="1"/>
  <c r="AH249" i="1"/>
  <c r="AG249" i="1"/>
  <c r="AE249" i="1"/>
  <c r="AC249" i="1"/>
  <c r="AH248" i="1"/>
  <c r="AG248" i="1"/>
  <c r="AE248" i="1"/>
  <c r="AC248" i="1"/>
  <c r="AH247" i="1"/>
  <c r="AG247" i="1"/>
  <c r="AE247" i="1"/>
  <c r="AC247" i="1"/>
  <c r="AG246" i="1"/>
  <c r="AE246" i="1"/>
  <c r="AC246" i="1"/>
  <c r="AH245" i="1"/>
  <c r="AG245" i="1"/>
  <c r="AE245" i="1"/>
  <c r="AC245" i="1"/>
  <c r="AH244" i="1"/>
  <c r="AG244" i="1"/>
  <c r="AE244" i="1"/>
  <c r="AC244" i="1"/>
  <c r="AH243" i="1"/>
  <c r="AG243" i="1"/>
  <c r="AE243" i="1"/>
  <c r="AC243" i="1"/>
  <c r="AG242" i="1"/>
  <c r="AE242" i="1"/>
  <c r="AC242" i="1"/>
  <c r="AH241" i="1"/>
  <c r="AG241" i="1"/>
  <c r="AE241" i="1"/>
  <c r="AC241" i="1"/>
  <c r="AH240" i="1"/>
  <c r="AG240" i="1"/>
  <c r="AE240" i="1"/>
  <c r="AC240" i="1"/>
  <c r="AH239" i="1"/>
  <c r="AG239" i="1"/>
  <c r="AE239" i="1"/>
  <c r="AC239" i="1"/>
  <c r="AG238" i="1"/>
  <c r="AE238" i="1"/>
  <c r="AC238" i="1"/>
  <c r="AH237" i="1"/>
  <c r="AG237" i="1"/>
  <c r="AE237" i="1"/>
  <c r="AC237" i="1"/>
  <c r="AH236" i="1"/>
  <c r="AG236" i="1"/>
  <c r="AE236" i="1"/>
  <c r="AC236" i="1"/>
  <c r="AH235" i="1"/>
  <c r="AG235" i="1"/>
  <c r="AE235" i="1"/>
  <c r="AC235" i="1"/>
  <c r="AG234" i="1"/>
  <c r="AE234" i="1"/>
  <c r="AC234" i="1"/>
  <c r="AH233" i="1"/>
  <c r="AG233" i="1"/>
  <c r="AE233" i="1"/>
  <c r="AC233" i="1"/>
  <c r="AH232" i="1"/>
  <c r="AG232" i="1"/>
  <c r="AE232" i="1"/>
  <c r="AC232" i="1"/>
  <c r="AH231" i="1"/>
  <c r="AG231" i="1"/>
  <c r="AE231" i="1"/>
  <c r="AC231" i="1"/>
  <c r="AG230" i="1"/>
  <c r="AE230" i="1"/>
  <c r="AC230" i="1"/>
  <c r="AH229" i="1"/>
  <c r="AG229" i="1"/>
  <c r="AE229" i="1"/>
  <c r="AC229" i="1"/>
  <c r="AH228" i="1"/>
  <c r="AG228" i="1"/>
  <c r="AE228" i="1"/>
  <c r="AC228" i="1"/>
  <c r="AH227" i="1"/>
  <c r="AG227" i="1"/>
  <c r="AE227" i="1"/>
  <c r="AC227" i="1"/>
  <c r="AG226" i="1"/>
  <c r="AE226" i="1"/>
  <c r="AC226" i="1"/>
  <c r="AH225" i="1"/>
  <c r="AG225" i="1"/>
  <c r="AE225" i="1"/>
  <c r="AC225" i="1"/>
  <c r="AH224" i="1"/>
  <c r="AG224" i="1"/>
  <c r="AE224" i="1"/>
  <c r="AC224" i="1"/>
  <c r="AH223" i="1"/>
  <c r="AG223" i="1"/>
  <c r="AE223" i="1"/>
  <c r="AC223" i="1"/>
  <c r="AG222" i="1"/>
  <c r="AE222" i="1"/>
  <c r="AC222" i="1"/>
  <c r="AH221" i="1"/>
  <c r="AG221" i="1"/>
  <c r="AE221" i="1"/>
  <c r="AC221" i="1"/>
  <c r="AH220" i="1"/>
  <c r="AG220" i="1"/>
  <c r="AE220" i="1"/>
  <c r="AC220" i="1"/>
  <c r="AH219" i="1"/>
  <c r="AG219" i="1"/>
  <c r="AE219" i="1"/>
  <c r="AC219" i="1"/>
  <c r="AK218" i="1"/>
  <c r="AG218" i="1"/>
  <c r="AE218" i="1"/>
  <c r="AC218" i="1"/>
  <c r="AH217" i="1"/>
  <c r="AG217" i="1"/>
  <c r="AE217" i="1"/>
  <c r="AC217" i="1"/>
  <c r="AH216" i="1"/>
  <c r="AG216" i="1"/>
  <c r="AE216" i="1"/>
  <c r="AC216" i="1"/>
  <c r="AH215" i="1"/>
  <c r="AG215" i="1"/>
  <c r="AE215" i="1"/>
  <c r="AD215" i="1"/>
  <c r="AC215" i="1"/>
  <c r="AG214" i="1"/>
  <c r="AE214" i="1"/>
  <c r="AC214" i="1"/>
  <c r="AH213" i="1"/>
  <c r="AG213" i="1"/>
  <c r="AE213" i="1"/>
  <c r="AC213" i="1"/>
  <c r="AH212" i="1"/>
  <c r="AG212" i="1"/>
  <c r="AE212" i="1"/>
  <c r="AC212" i="1"/>
  <c r="AH211" i="1"/>
  <c r="AG211" i="1"/>
  <c r="AE211" i="1"/>
  <c r="AC211" i="1"/>
  <c r="AG210" i="1"/>
  <c r="AE210" i="1"/>
  <c r="AC210" i="1"/>
  <c r="AL209" i="1"/>
  <c r="AK209" i="1"/>
  <c r="AJ209" i="1"/>
  <c r="AI209" i="1"/>
  <c r="AH209" i="1"/>
  <c r="AG209" i="1"/>
  <c r="AF209" i="1"/>
  <c r="AE209" i="1"/>
  <c r="AD209" i="1"/>
  <c r="AC209" i="1"/>
  <c r="AL208" i="1"/>
  <c r="AK208" i="1"/>
  <c r="AJ208" i="1"/>
  <c r="AI208" i="1"/>
  <c r="AH208" i="1"/>
  <c r="AG208" i="1"/>
  <c r="AF208" i="1"/>
  <c r="AE208" i="1"/>
  <c r="AD208" i="1"/>
  <c r="AC208" i="1"/>
  <c r="AL207" i="1"/>
  <c r="AK207" i="1"/>
  <c r="AJ207" i="1"/>
  <c r="AI207" i="1"/>
  <c r="AH207" i="1"/>
  <c r="AG207" i="1"/>
  <c r="AF207" i="1"/>
  <c r="AE207" i="1"/>
  <c r="AD207" i="1"/>
  <c r="AC207" i="1"/>
  <c r="AL206" i="1"/>
  <c r="AK206" i="1"/>
  <c r="AJ206" i="1"/>
  <c r="AI206" i="1"/>
  <c r="AH206" i="1"/>
  <c r="AG206" i="1"/>
  <c r="AF206" i="1"/>
  <c r="AE206" i="1"/>
  <c r="AD206" i="1"/>
  <c r="AC206" i="1"/>
  <c r="AL205" i="1"/>
  <c r="AK205" i="1"/>
  <c r="AJ205" i="1"/>
  <c r="AI205" i="1"/>
  <c r="AH205" i="1"/>
  <c r="AG205" i="1"/>
  <c r="AF205" i="1"/>
  <c r="AE205" i="1"/>
  <c r="AD205" i="1"/>
  <c r="AC205" i="1"/>
  <c r="AL204" i="1"/>
  <c r="AK204" i="1"/>
  <c r="AJ204" i="1"/>
  <c r="AI204" i="1"/>
  <c r="AH204" i="1"/>
  <c r="AG204" i="1"/>
  <c r="AF204" i="1"/>
  <c r="AE204" i="1"/>
  <c r="AD204" i="1"/>
  <c r="AC204" i="1"/>
  <c r="AL203" i="1"/>
  <c r="AK203" i="1"/>
  <c r="AJ203" i="1"/>
  <c r="AI203" i="1"/>
  <c r="AH203" i="1"/>
  <c r="AG203" i="1"/>
  <c r="AF203" i="1"/>
  <c r="AE203" i="1"/>
  <c r="AD203" i="1"/>
  <c r="AC203" i="1"/>
  <c r="AG202" i="1"/>
  <c r="AE202" i="1"/>
  <c r="AC202" i="1"/>
  <c r="AH201" i="1"/>
  <c r="AG201" i="1"/>
  <c r="AE201" i="1"/>
  <c r="AC201" i="1"/>
  <c r="AH200" i="1"/>
  <c r="AG200" i="1"/>
  <c r="AE200" i="1"/>
  <c r="AC200" i="1"/>
  <c r="AH199" i="1"/>
  <c r="AG199" i="1"/>
  <c r="AE199" i="1"/>
  <c r="AC199" i="1"/>
  <c r="AG198" i="1"/>
  <c r="AE198" i="1"/>
  <c r="AC198" i="1"/>
  <c r="AH197" i="1"/>
  <c r="AG197" i="1"/>
  <c r="AE197" i="1"/>
  <c r="AC197" i="1"/>
  <c r="AH196" i="1"/>
  <c r="AG196" i="1"/>
  <c r="AE196" i="1"/>
  <c r="AC196" i="1"/>
  <c r="AH195" i="1"/>
  <c r="AG195" i="1"/>
  <c r="AE195" i="1"/>
  <c r="AC195" i="1"/>
  <c r="AG194" i="1"/>
  <c r="AE194" i="1"/>
  <c r="AC194" i="1"/>
  <c r="AH193" i="1"/>
  <c r="AG193" i="1"/>
  <c r="AE193" i="1"/>
  <c r="AC193" i="1"/>
  <c r="AH192" i="1"/>
  <c r="AG192" i="1"/>
  <c r="AE192" i="1"/>
  <c r="AC192" i="1"/>
  <c r="AH191" i="1"/>
  <c r="AG191" i="1"/>
  <c r="AE191" i="1"/>
  <c r="AC191" i="1"/>
  <c r="AG190" i="1"/>
  <c r="AE190" i="1"/>
  <c r="AC190" i="1"/>
  <c r="AH189" i="1"/>
  <c r="AG189" i="1"/>
  <c r="AE189" i="1"/>
  <c r="AC189" i="1"/>
  <c r="AH188" i="1"/>
  <c r="AG188" i="1"/>
  <c r="AE188" i="1"/>
  <c r="AC188" i="1"/>
  <c r="AH187" i="1"/>
  <c r="AG187" i="1"/>
  <c r="AE187" i="1"/>
  <c r="AC187" i="1"/>
  <c r="AG186" i="1"/>
  <c r="AE186" i="1"/>
  <c r="AC186" i="1"/>
  <c r="AH185" i="1"/>
  <c r="AG185" i="1"/>
  <c r="AE185" i="1"/>
  <c r="AC185" i="1"/>
  <c r="AH184" i="1"/>
  <c r="AG184" i="1"/>
  <c r="AE184" i="1"/>
  <c r="AC184" i="1"/>
  <c r="AL183" i="1"/>
  <c r="AH183" i="1"/>
  <c r="AG183" i="1"/>
  <c r="AE183" i="1"/>
  <c r="AC183" i="1"/>
  <c r="AG182" i="1"/>
  <c r="AE182" i="1"/>
  <c r="AC182" i="1"/>
  <c r="AH181" i="1"/>
  <c r="AG181" i="1"/>
  <c r="AE181" i="1"/>
  <c r="AC181" i="1"/>
  <c r="AH180" i="1"/>
  <c r="AG180" i="1"/>
  <c r="AE180" i="1"/>
  <c r="AC180" i="1"/>
  <c r="AH179" i="1"/>
  <c r="AG179" i="1"/>
  <c r="AE179" i="1"/>
  <c r="AC179" i="1"/>
  <c r="AG178" i="1"/>
  <c r="AE178" i="1"/>
  <c r="AC178" i="1"/>
  <c r="AH177" i="1"/>
  <c r="AG177" i="1"/>
  <c r="AE177" i="1"/>
  <c r="AC177" i="1"/>
  <c r="AH176" i="1"/>
  <c r="AG176" i="1"/>
  <c r="AE176" i="1"/>
  <c r="AC176" i="1"/>
  <c r="AH175" i="1"/>
  <c r="AG175" i="1"/>
  <c r="AE175" i="1"/>
  <c r="AC175" i="1"/>
  <c r="AG174" i="1"/>
  <c r="AE174" i="1"/>
  <c r="AC174" i="1"/>
  <c r="AH173" i="1"/>
  <c r="AG173" i="1"/>
  <c r="AE173" i="1"/>
  <c r="AC173" i="1"/>
  <c r="AJ172" i="1"/>
  <c r="AH172" i="1"/>
  <c r="AG172" i="1"/>
  <c r="AE172" i="1"/>
  <c r="AC172" i="1"/>
  <c r="AH171" i="1"/>
  <c r="AG171" i="1"/>
  <c r="AE171" i="1"/>
  <c r="AC171" i="1"/>
  <c r="AG170" i="1"/>
  <c r="AE170" i="1"/>
  <c r="AC170" i="1"/>
  <c r="AH169" i="1"/>
  <c r="AG169" i="1"/>
  <c r="AE169" i="1"/>
  <c r="AC169" i="1"/>
  <c r="AL168" i="1"/>
  <c r="AK168" i="1"/>
  <c r="AJ168" i="1"/>
  <c r="AI168" i="1"/>
  <c r="AH168" i="1"/>
  <c r="AG168" i="1"/>
  <c r="AF168" i="1"/>
  <c r="AE168" i="1"/>
  <c r="AD168" i="1"/>
  <c r="AC168" i="1"/>
  <c r="AL167" i="1"/>
  <c r="AK167" i="1"/>
  <c r="AJ167" i="1"/>
  <c r="AI167" i="1"/>
  <c r="AH167" i="1"/>
  <c r="AG167" i="1"/>
  <c r="AF167" i="1"/>
  <c r="AE167" i="1"/>
  <c r="AD167" i="1"/>
  <c r="AC167" i="1"/>
  <c r="AG166" i="1"/>
  <c r="AE166" i="1"/>
  <c r="AC166" i="1"/>
  <c r="AH165" i="1"/>
  <c r="AG165" i="1"/>
  <c r="AE165" i="1"/>
  <c r="AC165" i="1"/>
  <c r="AH164" i="1"/>
  <c r="AG164" i="1"/>
  <c r="AE164" i="1"/>
  <c r="AC164" i="1"/>
  <c r="AH163" i="1"/>
  <c r="AG163" i="1"/>
  <c r="AE163" i="1"/>
  <c r="AC163" i="1"/>
  <c r="AG162" i="1"/>
  <c r="AE162" i="1"/>
  <c r="AC162" i="1"/>
  <c r="AH161" i="1"/>
  <c r="AG161" i="1"/>
  <c r="AE161" i="1"/>
  <c r="AC161" i="1"/>
  <c r="AH160" i="1"/>
  <c r="AG160" i="1"/>
  <c r="AE160" i="1"/>
  <c r="AC160" i="1"/>
  <c r="AH159" i="1"/>
  <c r="AG159" i="1"/>
  <c r="AE159" i="1"/>
  <c r="AC159" i="1"/>
  <c r="AJ158" i="1"/>
  <c r="AH158" i="1"/>
  <c r="AG158" i="1"/>
  <c r="AE158" i="1"/>
  <c r="AC158" i="1"/>
  <c r="AL157" i="1"/>
  <c r="AK157" i="1"/>
  <c r="AJ157" i="1"/>
  <c r="AI157" i="1"/>
  <c r="AH157" i="1"/>
  <c r="AG157" i="1"/>
  <c r="AF157" i="1"/>
  <c r="AE157" i="1"/>
  <c r="AD157" i="1"/>
  <c r="AC157" i="1"/>
  <c r="AL156" i="1"/>
  <c r="AK156" i="1"/>
  <c r="AJ156" i="1"/>
  <c r="AI156" i="1"/>
  <c r="AH156" i="1"/>
  <c r="AG156" i="1"/>
  <c r="AF156" i="1"/>
  <c r="AE156" i="1"/>
  <c r="AD156" i="1"/>
  <c r="AC156" i="1"/>
  <c r="AL155" i="1"/>
  <c r="AH155" i="1"/>
  <c r="AG155" i="1"/>
  <c r="AE155" i="1"/>
  <c r="AC155" i="1"/>
  <c r="AJ154" i="1"/>
  <c r="AH154" i="1"/>
  <c r="AG154" i="1"/>
  <c r="AE154" i="1"/>
  <c r="AC154" i="1"/>
  <c r="AH153" i="1"/>
  <c r="AG153" i="1"/>
  <c r="AE153" i="1"/>
  <c r="AC153" i="1"/>
  <c r="AH152" i="1"/>
  <c r="AG152" i="1"/>
  <c r="AE152" i="1"/>
  <c r="AC152" i="1"/>
  <c r="AH151" i="1"/>
  <c r="AG151" i="1"/>
  <c r="AE151" i="1"/>
  <c r="AC151" i="1"/>
  <c r="AJ150" i="1"/>
  <c r="AH150" i="1"/>
  <c r="AG150" i="1"/>
  <c r="AE150" i="1"/>
  <c r="AC150" i="1"/>
  <c r="AH149" i="1"/>
  <c r="AG149" i="1"/>
  <c r="AE149" i="1"/>
  <c r="AC149" i="1"/>
  <c r="AH148" i="1"/>
  <c r="AG148" i="1"/>
  <c r="AE148" i="1"/>
  <c r="AC148" i="1"/>
  <c r="AL147" i="1"/>
  <c r="AH147" i="1"/>
  <c r="AG147" i="1"/>
  <c r="AE147" i="1"/>
  <c r="AC147" i="1"/>
  <c r="AJ146" i="1"/>
  <c r="AH146" i="1"/>
  <c r="AG146" i="1"/>
  <c r="AE146" i="1"/>
  <c r="AC146" i="1"/>
  <c r="AH145" i="1"/>
  <c r="AG145" i="1"/>
  <c r="AE145" i="1"/>
  <c r="AC145" i="1"/>
  <c r="AH144" i="1"/>
  <c r="AG144" i="1"/>
  <c r="AE144" i="1"/>
  <c r="AC144" i="1"/>
  <c r="AH143" i="1"/>
  <c r="AG143" i="1"/>
  <c r="AE143" i="1"/>
  <c r="AC143" i="1"/>
  <c r="AJ142" i="1"/>
  <c r="AH142" i="1"/>
  <c r="AG142" i="1"/>
  <c r="AE142" i="1"/>
  <c r="AC142" i="1"/>
  <c r="AH141" i="1"/>
  <c r="AG141" i="1"/>
  <c r="AE141" i="1"/>
  <c r="AC141" i="1"/>
  <c r="AH140" i="1"/>
  <c r="AG140" i="1"/>
  <c r="AE140" i="1"/>
  <c r="AC140" i="1"/>
  <c r="AL139" i="1"/>
  <c r="AH139" i="1"/>
  <c r="AG139" i="1"/>
  <c r="AE139" i="1"/>
  <c r="AC139" i="1"/>
  <c r="AJ138" i="1"/>
  <c r="AH138" i="1"/>
  <c r="AG138" i="1"/>
  <c r="AE138" i="1"/>
  <c r="AC138" i="1"/>
  <c r="AH137" i="1"/>
  <c r="AG137" i="1"/>
  <c r="AE137" i="1"/>
  <c r="AC137" i="1"/>
  <c r="AH136" i="1"/>
  <c r="AG136" i="1"/>
  <c r="AE136" i="1"/>
  <c r="AC136" i="1"/>
  <c r="AH135" i="1"/>
  <c r="AG135" i="1"/>
  <c r="AE135" i="1"/>
  <c r="AC135" i="1"/>
  <c r="AJ134" i="1"/>
  <c r="AH134" i="1"/>
  <c r="AG134" i="1"/>
  <c r="AE134" i="1"/>
  <c r="AC134" i="1"/>
  <c r="AH133" i="1"/>
  <c r="AG133" i="1"/>
  <c r="AE133" i="1"/>
  <c r="AC133" i="1"/>
  <c r="AH132" i="1"/>
  <c r="AG132" i="1"/>
  <c r="AE132" i="1"/>
  <c r="AC132" i="1"/>
  <c r="AL131" i="1"/>
  <c r="AH131" i="1"/>
  <c r="AG131" i="1"/>
  <c r="AE131" i="1"/>
  <c r="AC131" i="1"/>
  <c r="AJ130" i="1"/>
  <c r="AH130" i="1"/>
  <c r="AG130" i="1"/>
  <c r="AE130" i="1"/>
  <c r="AC130" i="1"/>
  <c r="AH129" i="1"/>
  <c r="AG129" i="1"/>
  <c r="AE129" i="1"/>
  <c r="AC129" i="1"/>
  <c r="AH128" i="1"/>
  <c r="AG128" i="1"/>
  <c r="AE128" i="1"/>
  <c r="AC128" i="1"/>
  <c r="AH127" i="1"/>
  <c r="AG127" i="1"/>
  <c r="AE127" i="1"/>
  <c r="AC127" i="1"/>
  <c r="AJ126" i="1"/>
  <c r="AH126" i="1"/>
  <c r="AG126" i="1"/>
  <c r="AE126" i="1"/>
  <c r="AC126" i="1"/>
  <c r="AH125" i="1"/>
  <c r="AG125" i="1"/>
  <c r="AE125" i="1"/>
  <c r="AC125" i="1"/>
  <c r="AH124" i="1"/>
  <c r="AG124" i="1"/>
  <c r="AE124" i="1"/>
  <c r="AC124" i="1"/>
  <c r="AL123" i="1"/>
  <c r="AH123" i="1"/>
  <c r="AG123" i="1"/>
  <c r="AE123" i="1"/>
  <c r="AC123" i="1"/>
  <c r="AJ122" i="1"/>
  <c r="AH122" i="1"/>
  <c r="AG122" i="1"/>
  <c r="AE122" i="1"/>
  <c r="AC122" i="1"/>
  <c r="AH121" i="1"/>
  <c r="AG121" i="1"/>
  <c r="AE121" i="1"/>
  <c r="AC121" i="1"/>
  <c r="AL120" i="1"/>
  <c r="AK120" i="1"/>
  <c r="AJ120" i="1"/>
  <c r="AI120" i="1"/>
  <c r="AH120" i="1"/>
  <c r="AG120" i="1"/>
  <c r="AF120" i="1"/>
  <c r="AE120" i="1"/>
  <c r="AD120" i="1"/>
  <c r="AC120" i="1"/>
  <c r="AL119" i="1"/>
  <c r="AK119" i="1"/>
  <c r="AJ119" i="1"/>
  <c r="AI119" i="1"/>
  <c r="AH119" i="1"/>
  <c r="AG119" i="1"/>
  <c r="AF119" i="1"/>
  <c r="AE119" i="1"/>
  <c r="AD119" i="1"/>
  <c r="AC119" i="1"/>
  <c r="AH118" i="1"/>
  <c r="AG118" i="1"/>
  <c r="AE118" i="1"/>
  <c r="AC118" i="1"/>
  <c r="AH117" i="1"/>
  <c r="AG117" i="1"/>
  <c r="AE117" i="1"/>
  <c r="AC117" i="1"/>
  <c r="AH116" i="1"/>
  <c r="AG116" i="1"/>
  <c r="AF116" i="1"/>
  <c r="AE116" i="1"/>
  <c r="AC116" i="1"/>
  <c r="AH115" i="1"/>
  <c r="AG115" i="1"/>
  <c r="AE115" i="1"/>
  <c r="AC115" i="1"/>
  <c r="AH114" i="1"/>
  <c r="AG114" i="1"/>
  <c r="AE114" i="1"/>
  <c r="AC114" i="1"/>
  <c r="AH113" i="1"/>
  <c r="AG113" i="1"/>
  <c r="AE113" i="1"/>
  <c r="AD113" i="1"/>
  <c r="AC113" i="1"/>
  <c r="AH112" i="1"/>
  <c r="AG112" i="1"/>
  <c r="AE112" i="1"/>
  <c r="AC112" i="1"/>
  <c r="AH111" i="1"/>
  <c r="AG111" i="1"/>
  <c r="AE111" i="1"/>
  <c r="AC111" i="1"/>
  <c r="AH110" i="1"/>
  <c r="AG110" i="1"/>
  <c r="AE110" i="1"/>
  <c r="AC110" i="1"/>
  <c r="AH109" i="1"/>
  <c r="AG109" i="1"/>
  <c r="AE109" i="1"/>
  <c r="AC109" i="1"/>
  <c r="AH108" i="1"/>
  <c r="AG108" i="1"/>
  <c r="AF108" i="1"/>
  <c r="AE108" i="1"/>
  <c r="AC108" i="1"/>
  <c r="AH107" i="1"/>
  <c r="AG107" i="1"/>
  <c r="AE107" i="1"/>
  <c r="AC107" i="1"/>
  <c r="AH106" i="1"/>
  <c r="AG106" i="1"/>
  <c r="AE106" i="1"/>
  <c r="AC106" i="1"/>
  <c r="AH105" i="1"/>
  <c r="AG105" i="1"/>
  <c r="AE105" i="1"/>
  <c r="AD105" i="1"/>
  <c r="AC105" i="1"/>
  <c r="AH104" i="1"/>
  <c r="AG104" i="1"/>
  <c r="AE104" i="1"/>
  <c r="AC104" i="1"/>
  <c r="AH103" i="1"/>
  <c r="AG103" i="1"/>
  <c r="AE103" i="1"/>
  <c r="AC103" i="1"/>
  <c r="AH102" i="1"/>
  <c r="AG102" i="1"/>
  <c r="AE102" i="1"/>
  <c r="AC102" i="1"/>
  <c r="AH101" i="1"/>
  <c r="AG101" i="1"/>
  <c r="AE101" i="1"/>
  <c r="AC101" i="1"/>
  <c r="AH100" i="1"/>
  <c r="AG100" i="1"/>
  <c r="AF100" i="1"/>
  <c r="AE100" i="1"/>
  <c r="AC100" i="1"/>
  <c r="AH99" i="1"/>
  <c r="AG99" i="1"/>
  <c r="AE99" i="1"/>
  <c r="AC99" i="1"/>
  <c r="AH98" i="1"/>
  <c r="AG98" i="1"/>
  <c r="AE98" i="1"/>
  <c r="AC98" i="1"/>
  <c r="AH97" i="1"/>
  <c r="AG97" i="1"/>
  <c r="AE97" i="1"/>
  <c r="AD97" i="1"/>
  <c r="AC97" i="1"/>
  <c r="AH96" i="1"/>
  <c r="AG96" i="1"/>
  <c r="AE96" i="1"/>
  <c r="AC96" i="1"/>
  <c r="AH95" i="1"/>
  <c r="AG95" i="1"/>
  <c r="AE95" i="1"/>
  <c r="AC95" i="1"/>
  <c r="AH94" i="1"/>
  <c r="AG94" i="1"/>
  <c r="AE94" i="1"/>
  <c r="AC94" i="1"/>
  <c r="AH93" i="1"/>
  <c r="AG93" i="1"/>
  <c r="AE93" i="1"/>
  <c r="AC93" i="1"/>
  <c r="AH92" i="1"/>
  <c r="AG92" i="1"/>
  <c r="AF92" i="1"/>
  <c r="AE92" i="1"/>
  <c r="AC92" i="1"/>
  <c r="AH91" i="1"/>
  <c r="AG91" i="1"/>
  <c r="AE91" i="1"/>
  <c r="AC91" i="1"/>
  <c r="AH90" i="1"/>
  <c r="AG90" i="1"/>
  <c r="AE90" i="1"/>
  <c r="AC90" i="1"/>
  <c r="AH89" i="1"/>
  <c r="AG89" i="1"/>
  <c r="AE89" i="1"/>
  <c r="AD89" i="1"/>
  <c r="AC89" i="1"/>
  <c r="AH88" i="1"/>
  <c r="AG88" i="1"/>
  <c r="AE88" i="1"/>
  <c r="AC88" i="1"/>
  <c r="AH87" i="1"/>
  <c r="AG87" i="1"/>
  <c r="AE87" i="1"/>
  <c r="AC87" i="1"/>
  <c r="AL86" i="1"/>
  <c r="AK86" i="1"/>
  <c r="AJ86" i="1"/>
  <c r="AI86" i="1"/>
  <c r="AH86" i="1"/>
  <c r="AG86" i="1"/>
  <c r="AF86" i="1"/>
  <c r="AE86" i="1"/>
  <c r="AD86" i="1"/>
  <c r="AC86" i="1"/>
  <c r="AL85" i="1"/>
  <c r="AK85" i="1"/>
  <c r="AJ85" i="1"/>
  <c r="AI85" i="1"/>
  <c r="AH85" i="1"/>
  <c r="AG85" i="1"/>
  <c r="AF85" i="1"/>
  <c r="AE85" i="1"/>
  <c r="AD85" i="1"/>
  <c r="AC85" i="1"/>
  <c r="AL84" i="1"/>
  <c r="AK84" i="1"/>
  <c r="AJ84" i="1"/>
  <c r="AI84" i="1"/>
  <c r="AH84" i="1"/>
  <c r="AG84" i="1"/>
  <c r="AF84" i="1"/>
  <c r="AE84" i="1"/>
  <c r="AD84" i="1"/>
  <c r="AC84" i="1"/>
  <c r="AL83" i="1"/>
  <c r="AK83" i="1"/>
  <c r="AJ83" i="1"/>
  <c r="AI83" i="1"/>
  <c r="AH83" i="1"/>
  <c r="AG83" i="1"/>
  <c r="AF83" i="1"/>
  <c r="AE83" i="1"/>
  <c r="AD83" i="1"/>
  <c r="AC83" i="1"/>
  <c r="AH82" i="1"/>
  <c r="AG82" i="1"/>
  <c r="AE82" i="1"/>
  <c r="AC82" i="1"/>
  <c r="AH81" i="1"/>
  <c r="AG81" i="1"/>
  <c r="AE81" i="1"/>
  <c r="AC81" i="1"/>
  <c r="AH80" i="1"/>
  <c r="AG80" i="1"/>
  <c r="AF80" i="1"/>
  <c r="AE80" i="1"/>
  <c r="AC80" i="1"/>
  <c r="AH79" i="1"/>
  <c r="AG79" i="1"/>
  <c r="AE79" i="1"/>
  <c r="AC79" i="1"/>
  <c r="AH78" i="1"/>
  <c r="AG78" i="1"/>
  <c r="AE78" i="1"/>
  <c r="AC78" i="1"/>
  <c r="AH77" i="1"/>
  <c r="AG77" i="1"/>
  <c r="AE77" i="1"/>
  <c r="AD77" i="1"/>
  <c r="AC77" i="1"/>
  <c r="AH76" i="1"/>
  <c r="AG76" i="1"/>
  <c r="AE76" i="1"/>
  <c r="AC76" i="1"/>
  <c r="AH75" i="1"/>
  <c r="AG75" i="1"/>
  <c r="AE75" i="1"/>
  <c r="AC75" i="1"/>
  <c r="AH74" i="1"/>
  <c r="AG74" i="1"/>
  <c r="AE74" i="1"/>
  <c r="AC74" i="1"/>
  <c r="AL73" i="1"/>
  <c r="AH73" i="1"/>
  <c r="AG73" i="1"/>
  <c r="AE73" i="1"/>
  <c r="AC73" i="1"/>
  <c r="AH72" i="1"/>
  <c r="AG72" i="1"/>
  <c r="AE72" i="1"/>
  <c r="AC72" i="1"/>
  <c r="AH71" i="1"/>
  <c r="AG71" i="1"/>
  <c r="AE71" i="1"/>
  <c r="AC71" i="1"/>
  <c r="AK70" i="1"/>
  <c r="AH70" i="1"/>
  <c r="AG70" i="1"/>
  <c r="AE70" i="1"/>
  <c r="AC70" i="1"/>
  <c r="AH69" i="1"/>
  <c r="AG69" i="1"/>
  <c r="AE69" i="1"/>
  <c r="AD69" i="1"/>
  <c r="AC69" i="1"/>
  <c r="AH68" i="1"/>
  <c r="AG68" i="1"/>
  <c r="AE68" i="1"/>
  <c r="AC68" i="1"/>
  <c r="AH67" i="1"/>
  <c r="AG67" i="1"/>
  <c r="AE67" i="1"/>
  <c r="AC67" i="1"/>
  <c r="AH66" i="1"/>
  <c r="AG66" i="1"/>
  <c r="AE66" i="1"/>
  <c r="AC66" i="1"/>
  <c r="AL65" i="1"/>
  <c r="AH65" i="1"/>
  <c r="AG65" i="1"/>
  <c r="AE65" i="1"/>
  <c r="AC65" i="1"/>
  <c r="AH64" i="1"/>
  <c r="AG64" i="1"/>
  <c r="AE64" i="1"/>
  <c r="AC64" i="1"/>
  <c r="AH63" i="1"/>
  <c r="AG63" i="1"/>
  <c r="AE63" i="1"/>
  <c r="AC63" i="1"/>
  <c r="AK62" i="1"/>
  <c r="AH62" i="1"/>
  <c r="AG62" i="1"/>
  <c r="AE62" i="1"/>
  <c r="AC62" i="1"/>
  <c r="AK61" i="1"/>
  <c r="AH61" i="1"/>
  <c r="AG61" i="1"/>
  <c r="AE61" i="1"/>
  <c r="AC61" i="1"/>
  <c r="AH60" i="1"/>
  <c r="AG60" i="1"/>
  <c r="AE60" i="1"/>
  <c r="AC60" i="1"/>
  <c r="AH59" i="1"/>
  <c r="AG59" i="1"/>
  <c r="AE59" i="1"/>
  <c r="AC59" i="1"/>
  <c r="AH58" i="1"/>
  <c r="AG58" i="1"/>
  <c r="AE58" i="1"/>
  <c r="AC58" i="1"/>
  <c r="AK57" i="1"/>
  <c r="AH57" i="1"/>
  <c r="AG57" i="1"/>
  <c r="AE57" i="1"/>
  <c r="AC57" i="1"/>
  <c r="AH56" i="1"/>
  <c r="AG56" i="1"/>
  <c r="AE56" i="1"/>
  <c r="AC56" i="1"/>
  <c r="AH55" i="1"/>
  <c r="AG55" i="1"/>
  <c r="AE55" i="1"/>
  <c r="AC55" i="1"/>
  <c r="AK54" i="1"/>
  <c r="AH54" i="1"/>
  <c r="AG54" i="1"/>
  <c r="AE54" i="1"/>
  <c r="AC54" i="1"/>
  <c r="AK53" i="1"/>
  <c r="AH53" i="1"/>
  <c r="AG53" i="1"/>
  <c r="AE53" i="1"/>
  <c r="AC53" i="1"/>
  <c r="AH52" i="1"/>
  <c r="AG52" i="1"/>
  <c r="AE52" i="1"/>
  <c r="AC52" i="1"/>
  <c r="AH51" i="1"/>
  <c r="AG51" i="1"/>
  <c r="AE51" i="1"/>
  <c r="AC51" i="1"/>
  <c r="AH50" i="1"/>
  <c r="AG50" i="1"/>
  <c r="AE50" i="1"/>
  <c r="AC50" i="1"/>
  <c r="AK49" i="1"/>
  <c r="AH49" i="1"/>
  <c r="AG49" i="1"/>
  <c r="AE49" i="1"/>
  <c r="AC49" i="1"/>
  <c r="AH48" i="1"/>
  <c r="AG48" i="1"/>
  <c r="AE48" i="1"/>
  <c r="AC48" i="1"/>
  <c r="AH47" i="1"/>
  <c r="AG47" i="1"/>
  <c r="AE47" i="1"/>
  <c r="AC47" i="1"/>
  <c r="AL46" i="1"/>
  <c r="AK46" i="1"/>
  <c r="AJ46" i="1"/>
  <c r="AI46" i="1"/>
  <c r="AH46" i="1"/>
  <c r="AG46" i="1"/>
  <c r="AF46" i="1"/>
  <c r="AE46" i="1"/>
  <c r="AD46" i="1"/>
  <c r="AC46" i="1"/>
  <c r="AL45" i="1"/>
  <c r="AK45" i="1"/>
  <c r="AJ45" i="1"/>
  <c r="AI45" i="1"/>
  <c r="AH45" i="1"/>
  <c r="AG45" i="1"/>
  <c r="AF45" i="1"/>
  <c r="AE45" i="1"/>
  <c r="AD45" i="1"/>
  <c r="AC45" i="1"/>
  <c r="AH44" i="1"/>
  <c r="AG44" i="1"/>
  <c r="AE44" i="1"/>
  <c r="AC44" i="1"/>
  <c r="AH43" i="1"/>
  <c r="AG43" i="1"/>
  <c r="AE43" i="1"/>
  <c r="AC43" i="1"/>
  <c r="AH42" i="1"/>
  <c r="AG42" i="1"/>
  <c r="AE42" i="1"/>
  <c r="AC42" i="1"/>
  <c r="AK41" i="1"/>
  <c r="AH41" i="1"/>
  <c r="AG41" i="1"/>
  <c r="AE41" i="1"/>
  <c r="AC41" i="1"/>
  <c r="AK40" i="1"/>
  <c r="AH40" i="1"/>
  <c r="AG40" i="1"/>
  <c r="AE40" i="1"/>
  <c r="AC40" i="1"/>
  <c r="AH39" i="1"/>
  <c r="AG39" i="1"/>
  <c r="AE39" i="1"/>
  <c r="AC39" i="1"/>
  <c r="AL38" i="1"/>
  <c r="AK38" i="1"/>
  <c r="AJ38" i="1"/>
  <c r="AI38" i="1"/>
  <c r="AH38" i="1"/>
  <c r="AG38" i="1"/>
  <c r="AF38" i="1"/>
  <c r="AE38" i="1"/>
  <c r="AD38" i="1"/>
  <c r="AC38" i="1"/>
  <c r="AL37" i="1"/>
  <c r="AK37" i="1"/>
  <c r="AJ37" i="1"/>
  <c r="AI37" i="1"/>
  <c r="AH37" i="1"/>
  <c r="AG37" i="1"/>
  <c r="AF37" i="1"/>
  <c r="AE37" i="1"/>
  <c r="AD37" i="1"/>
  <c r="AC37" i="1"/>
  <c r="AL36" i="1"/>
  <c r="AK36" i="1"/>
  <c r="AJ36" i="1"/>
  <c r="AI36" i="1"/>
  <c r="AH36" i="1"/>
  <c r="AG36" i="1"/>
  <c r="AF36" i="1"/>
  <c r="AE36" i="1"/>
  <c r="AD36" i="1"/>
  <c r="AC36" i="1"/>
  <c r="AH35" i="1"/>
  <c r="AG35" i="1"/>
  <c r="AE35" i="1"/>
  <c r="AC35" i="1"/>
  <c r="AK34" i="1"/>
  <c r="AH34" i="1"/>
  <c r="AG34" i="1"/>
  <c r="AE34" i="1"/>
  <c r="AC34" i="1"/>
  <c r="AH33" i="1"/>
  <c r="AG33" i="1"/>
  <c r="AE33" i="1"/>
  <c r="AC33" i="1"/>
  <c r="AK32" i="1"/>
  <c r="AH32" i="1"/>
  <c r="AG32" i="1"/>
  <c r="AE32" i="1"/>
  <c r="AC32" i="1"/>
  <c r="AH31" i="1"/>
  <c r="AG31" i="1"/>
  <c r="AE31" i="1"/>
  <c r="AC31" i="1"/>
  <c r="AK30" i="1"/>
  <c r="AH30" i="1"/>
  <c r="AG30" i="1"/>
  <c r="AE30" i="1"/>
  <c r="AC30" i="1"/>
  <c r="AH29" i="1"/>
  <c r="AG29" i="1"/>
  <c r="AE29" i="1"/>
  <c r="AC29" i="1"/>
  <c r="AK28" i="1"/>
  <c r="AH28" i="1"/>
  <c r="AG28" i="1"/>
  <c r="AE28" i="1"/>
  <c r="AC28" i="1"/>
  <c r="AH27" i="1"/>
  <c r="AG27" i="1"/>
  <c r="AE27" i="1"/>
  <c r="AC27" i="1"/>
  <c r="AK26" i="1"/>
  <c r="AH26" i="1"/>
  <c r="AG26" i="1"/>
  <c r="AE26" i="1"/>
  <c r="AC26" i="1"/>
  <c r="AH25" i="1"/>
  <c r="AG25" i="1"/>
  <c r="AE25" i="1"/>
  <c r="AC25" i="1"/>
  <c r="AK24" i="1"/>
  <c r="AH24" i="1"/>
  <c r="AG24" i="1"/>
  <c r="AE24" i="1"/>
  <c r="AC24" i="1"/>
  <c r="AH23" i="1"/>
  <c r="AG23" i="1"/>
  <c r="AE23" i="1"/>
  <c r="AC23" i="1"/>
  <c r="AK22" i="1"/>
  <c r="AH22" i="1"/>
  <c r="AG22" i="1"/>
  <c r="AE22" i="1"/>
  <c r="AC22" i="1"/>
  <c r="AH21" i="1"/>
  <c r="AG21" i="1"/>
  <c r="AE21" i="1"/>
  <c r="AC21" i="1"/>
  <c r="AK20" i="1"/>
  <c r="AH20" i="1"/>
  <c r="AG20" i="1"/>
  <c r="AE20" i="1"/>
  <c r="AC20" i="1"/>
  <c r="AH19" i="1"/>
  <c r="AG19" i="1"/>
  <c r="AE19" i="1"/>
  <c r="AC19" i="1"/>
  <c r="AK18" i="1"/>
  <c r="AH18" i="1"/>
  <c r="AG18" i="1"/>
  <c r="AE18" i="1"/>
  <c r="AC18" i="1"/>
  <c r="AH17" i="1"/>
  <c r="AG17" i="1"/>
  <c r="AE17" i="1"/>
  <c r="AC17" i="1"/>
  <c r="AK16" i="1"/>
  <c r="AH16" i="1"/>
  <c r="AG16" i="1"/>
  <c r="AE16" i="1"/>
  <c r="AC16" i="1"/>
  <c r="AH15" i="1"/>
  <c r="AG15" i="1"/>
  <c r="AE15" i="1"/>
  <c r="AC15" i="1"/>
  <c r="AK14" i="1"/>
  <c r="AH14" i="1"/>
  <c r="AG14" i="1"/>
  <c r="AE14" i="1"/>
  <c r="AC14" i="1"/>
  <c r="AH13" i="1"/>
  <c r="AG13" i="1"/>
  <c r="AE13" i="1"/>
  <c r="AC13" i="1"/>
  <c r="AK12" i="1"/>
  <c r="AH12" i="1"/>
  <c r="AG12" i="1"/>
  <c r="AE12" i="1"/>
  <c r="AC12" i="1"/>
  <c r="AH11" i="1"/>
  <c r="AG11" i="1"/>
  <c r="AE11" i="1"/>
  <c r="AC11" i="1"/>
  <c r="AK10" i="1"/>
  <c r="AH10" i="1"/>
  <c r="AG10" i="1"/>
  <c r="AE10" i="1"/>
  <c r="AC10" i="1"/>
  <c r="AH9" i="1"/>
  <c r="AG9" i="1"/>
  <c r="AE9" i="1"/>
  <c r="AC9" i="1"/>
  <c r="AL8" i="1"/>
  <c r="AK8" i="1"/>
  <c r="AJ8" i="1"/>
  <c r="AI8" i="1"/>
  <c r="AH8" i="1"/>
  <c r="AG8" i="1"/>
  <c r="AF8" i="1"/>
  <c r="AE8" i="1"/>
  <c r="AD8" i="1"/>
  <c r="AC8" i="1"/>
  <c r="AL7" i="1"/>
  <c r="AK7" i="1"/>
  <c r="AJ7" i="1"/>
  <c r="AI7" i="1"/>
  <c r="AH7" i="1"/>
  <c r="AG7" i="1"/>
  <c r="AF7" i="1"/>
  <c r="AE7" i="1"/>
  <c r="AD7" i="1"/>
  <c r="AC7" i="1"/>
  <c r="AK6" i="1"/>
  <c r="AH6" i="1"/>
  <c r="AG6" i="1"/>
  <c r="AE6" i="1"/>
  <c r="AC6" i="1"/>
  <c r="AH5" i="1"/>
  <c r="AG5" i="1"/>
  <c r="AE5" i="1"/>
  <c r="AC5" i="1"/>
  <c r="AK4" i="1"/>
  <c r="AH4" i="1"/>
  <c r="AG4" i="1"/>
  <c r="AE4" i="1"/>
  <c r="AC4" i="1"/>
  <c r="AH3" i="1"/>
  <c r="AG3" i="1"/>
  <c r="AE3" i="1"/>
  <c r="AC3" i="1"/>
  <c r="AH2" i="1"/>
  <c r="AG2" i="1"/>
  <c r="AE2" i="1"/>
  <c r="AC2" i="1"/>
  <c r="AB359" i="1"/>
  <c r="AB358" i="1"/>
  <c r="AB357" i="1"/>
  <c r="AB356" i="1"/>
  <c r="AB355" i="1"/>
  <c r="AB354" i="1"/>
  <c r="AB353" i="1"/>
  <c r="AB352" i="1"/>
  <c r="AB351" i="1"/>
  <c r="AB350" i="1"/>
  <c r="AB349" i="1"/>
  <c r="AB348" i="1"/>
  <c r="AB347" i="1"/>
  <c r="AB346" i="1"/>
  <c r="AB345" i="1"/>
  <c r="AB344" i="1"/>
  <c r="AB343" i="1"/>
  <c r="AB342" i="1"/>
  <c r="AB341" i="1"/>
  <c r="AB340" i="1"/>
  <c r="AB339" i="1"/>
  <c r="AB338" i="1"/>
  <c r="AB337" i="1"/>
  <c r="AB336" i="1"/>
  <c r="AB335" i="1"/>
  <c r="AB334" i="1"/>
  <c r="AB333" i="1"/>
  <c r="AB332" i="1"/>
  <c r="AB331" i="1"/>
  <c r="AB330" i="1"/>
  <c r="AB329" i="1"/>
  <c r="AB328" i="1"/>
  <c r="AB327" i="1"/>
  <c r="AB326" i="1"/>
  <c r="AB325" i="1"/>
  <c r="AB324" i="1"/>
  <c r="AB323" i="1"/>
  <c r="AB322" i="1"/>
  <c r="AB321" i="1"/>
  <c r="AB320" i="1"/>
  <c r="AB319" i="1"/>
  <c r="AB318" i="1"/>
  <c r="AB317" i="1"/>
  <c r="AB316" i="1"/>
  <c r="AB315" i="1"/>
  <c r="AB314" i="1"/>
  <c r="AB313" i="1"/>
  <c r="AB312" i="1"/>
  <c r="AB311" i="1"/>
  <c r="AB310" i="1"/>
  <c r="AB309" i="1"/>
  <c r="AB308" i="1"/>
  <c r="AB307" i="1"/>
  <c r="AB306" i="1"/>
  <c r="AB305" i="1"/>
  <c r="AB304" i="1"/>
  <c r="AB303" i="1"/>
  <c r="AB302" i="1"/>
  <c r="AB301" i="1"/>
  <c r="AB300" i="1"/>
  <c r="AB299" i="1"/>
  <c r="AB298" i="1"/>
  <c r="AB297" i="1"/>
  <c r="AB296" i="1"/>
  <c r="AB295" i="1"/>
  <c r="AB294" i="1"/>
  <c r="AB293" i="1"/>
  <c r="AB292" i="1"/>
  <c r="AB291" i="1"/>
  <c r="AB290" i="1"/>
  <c r="AB289" i="1"/>
  <c r="AB288" i="1"/>
  <c r="AB287" i="1"/>
  <c r="AB286" i="1"/>
  <c r="AB285" i="1"/>
  <c r="AB284" i="1"/>
  <c r="AB283" i="1"/>
  <c r="AB282" i="1"/>
  <c r="AB281" i="1"/>
  <c r="AB280" i="1"/>
  <c r="AB279" i="1"/>
  <c r="AB278" i="1"/>
  <c r="AB277" i="1"/>
  <c r="AB276" i="1"/>
  <c r="AB275" i="1"/>
  <c r="AB274" i="1"/>
  <c r="AB273" i="1"/>
  <c r="AB272" i="1"/>
  <c r="AB271" i="1"/>
  <c r="AB270" i="1"/>
  <c r="AB269" i="1"/>
  <c r="AB268" i="1"/>
  <c r="AB267" i="1"/>
  <c r="AB266" i="1"/>
  <c r="AB265" i="1"/>
  <c r="AB264" i="1"/>
  <c r="AB263" i="1"/>
  <c r="AB262" i="1"/>
  <c r="AB261" i="1"/>
  <c r="AB260" i="1"/>
  <c r="AB259" i="1"/>
  <c r="AB258" i="1"/>
  <c r="AB257" i="1"/>
  <c r="AB256" i="1"/>
  <c r="AB255" i="1"/>
  <c r="AB254" i="1"/>
  <c r="AB253" i="1"/>
  <c r="AB252" i="1"/>
  <c r="AB251" i="1"/>
  <c r="AB250" i="1"/>
  <c r="AB249" i="1"/>
  <c r="AB248" i="1"/>
  <c r="AB247" i="1"/>
  <c r="AB246" i="1"/>
  <c r="AB245" i="1"/>
  <c r="AB244" i="1"/>
  <c r="AB243" i="1"/>
  <c r="AB242" i="1"/>
  <c r="AB241" i="1"/>
  <c r="AB240" i="1"/>
  <c r="AB239" i="1"/>
  <c r="AB238" i="1"/>
  <c r="AB237" i="1"/>
  <c r="AB236" i="1"/>
  <c r="AB235" i="1"/>
  <c r="AB234" i="1"/>
  <c r="AB233" i="1"/>
  <c r="AB232" i="1"/>
  <c r="AB231" i="1"/>
  <c r="AB230" i="1"/>
  <c r="AB229" i="1"/>
  <c r="AB228" i="1"/>
  <c r="AB227" i="1"/>
  <c r="AB226" i="1"/>
  <c r="AB225" i="1"/>
  <c r="AB224" i="1"/>
  <c r="AB223" i="1"/>
  <c r="AB222" i="1"/>
  <c r="AB221" i="1"/>
  <c r="AB220" i="1"/>
  <c r="AB219" i="1"/>
  <c r="AB218" i="1"/>
  <c r="AB217" i="1"/>
  <c r="AB216" i="1"/>
  <c r="AB215" i="1"/>
  <c r="AB214" i="1"/>
  <c r="AB213" i="1"/>
  <c r="AB212" i="1"/>
  <c r="AB211" i="1"/>
  <c r="AB210" i="1"/>
  <c r="AB209" i="1"/>
  <c r="AB208" i="1"/>
  <c r="AB207" i="1"/>
  <c r="AB206" i="1"/>
  <c r="AB205" i="1"/>
  <c r="AB204" i="1"/>
  <c r="AB203" i="1"/>
  <c r="AB202" i="1"/>
  <c r="AB201" i="1"/>
  <c r="AB200" i="1"/>
  <c r="AB199" i="1"/>
  <c r="AB198" i="1"/>
  <c r="AB197" i="1"/>
  <c r="AB196" i="1"/>
  <c r="AB195" i="1"/>
  <c r="AB194" i="1"/>
  <c r="AB193" i="1"/>
  <c r="AB192" i="1"/>
  <c r="AB191" i="1"/>
  <c r="AB190" i="1"/>
  <c r="AB189" i="1"/>
  <c r="AB188" i="1"/>
  <c r="AB187" i="1"/>
  <c r="AB186" i="1"/>
  <c r="AB185" i="1"/>
  <c r="AB184" i="1"/>
  <c r="AB183" i="1"/>
  <c r="AB182" i="1"/>
  <c r="AB181" i="1"/>
  <c r="AB180" i="1"/>
  <c r="AB179" i="1"/>
  <c r="AB178" i="1"/>
  <c r="AB177" i="1"/>
  <c r="AB176" i="1"/>
  <c r="AB175" i="1"/>
  <c r="AB174" i="1"/>
  <c r="AB173" i="1"/>
  <c r="AB172" i="1"/>
  <c r="AB171" i="1"/>
  <c r="AB170" i="1"/>
  <c r="AB169" i="1"/>
  <c r="AB168" i="1"/>
  <c r="AB167" i="1"/>
  <c r="AB166" i="1"/>
  <c r="AB165" i="1"/>
  <c r="AB164" i="1"/>
  <c r="AB163" i="1"/>
  <c r="AB162" i="1"/>
  <c r="AB161" i="1"/>
  <c r="AB160" i="1"/>
  <c r="AB159" i="1"/>
  <c r="AB158" i="1"/>
  <c r="AB157" i="1"/>
  <c r="AB156" i="1"/>
  <c r="AB155" i="1"/>
  <c r="AB154" i="1"/>
  <c r="AB153" i="1"/>
  <c r="AB152" i="1"/>
  <c r="AB151" i="1"/>
  <c r="AB150" i="1"/>
  <c r="AB149" i="1"/>
  <c r="AB148" i="1"/>
  <c r="AB147" i="1"/>
  <c r="AB146" i="1"/>
  <c r="AB145" i="1"/>
  <c r="AB144" i="1"/>
  <c r="AB143" i="1"/>
  <c r="AB142" i="1"/>
  <c r="AB141" i="1"/>
  <c r="AB140" i="1"/>
  <c r="AB139" i="1"/>
  <c r="AB138" i="1"/>
  <c r="AB137" i="1"/>
  <c r="AB136" i="1"/>
  <c r="AB135" i="1"/>
  <c r="AB134" i="1"/>
  <c r="AB133" i="1"/>
  <c r="AB132" i="1"/>
  <c r="AB131" i="1"/>
  <c r="AB130" i="1"/>
  <c r="AB129" i="1"/>
  <c r="AB128" i="1"/>
  <c r="AB127" i="1"/>
  <c r="AB126" i="1"/>
  <c r="AB125" i="1"/>
  <c r="AB124" i="1"/>
  <c r="AB123" i="1"/>
  <c r="AB122" i="1"/>
  <c r="AB121" i="1"/>
  <c r="AB120" i="1"/>
  <c r="AB119" i="1"/>
  <c r="AB118" i="1"/>
  <c r="AB117" i="1"/>
  <c r="AB116" i="1"/>
  <c r="AB115" i="1"/>
  <c r="AB114" i="1"/>
  <c r="AB113" i="1"/>
  <c r="AB112" i="1"/>
  <c r="AB111" i="1"/>
  <c r="AB110" i="1"/>
  <c r="AB109" i="1"/>
  <c r="AB108" i="1"/>
  <c r="AB107" i="1"/>
  <c r="AB106" i="1"/>
  <c r="AB105" i="1"/>
  <c r="AB104" i="1"/>
  <c r="AB103" i="1"/>
  <c r="AB102" i="1"/>
  <c r="AB101" i="1"/>
  <c r="AB100" i="1"/>
  <c r="AB99" i="1"/>
  <c r="AB98" i="1"/>
  <c r="AB97" i="1"/>
  <c r="AB96" i="1"/>
  <c r="AB95" i="1"/>
  <c r="AB94" i="1"/>
  <c r="AB93" i="1"/>
  <c r="AB92" i="1"/>
  <c r="AB91" i="1"/>
  <c r="AB90" i="1"/>
  <c r="AB89" i="1"/>
  <c r="AB88" i="1"/>
  <c r="AB87" i="1"/>
  <c r="AB86" i="1"/>
  <c r="AB85" i="1"/>
  <c r="AB84" i="1"/>
  <c r="AB83" i="1"/>
  <c r="AB82" i="1"/>
  <c r="AB81" i="1"/>
  <c r="AB80" i="1"/>
  <c r="AB79" i="1"/>
  <c r="AB78" i="1"/>
  <c r="AB77" i="1"/>
  <c r="AB76" i="1"/>
  <c r="AB75" i="1"/>
  <c r="AB74" i="1"/>
  <c r="AB73" i="1"/>
  <c r="AB72" i="1"/>
  <c r="AB71" i="1"/>
  <c r="AB70" i="1"/>
  <c r="AB69" i="1"/>
  <c r="AB68" i="1"/>
  <c r="AB67" i="1"/>
  <c r="AB66" i="1"/>
  <c r="AB65" i="1"/>
  <c r="AB64" i="1"/>
  <c r="AB63" i="1"/>
  <c r="AB62" i="1"/>
  <c r="AB61" i="1"/>
  <c r="AB60" i="1"/>
  <c r="AB59" i="1"/>
  <c r="AB58" i="1"/>
  <c r="AB57" i="1"/>
  <c r="AB56" i="1"/>
  <c r="AB55" i="1"/>
  <c r="AB54" i="1"/>
  <c r="AB53" i="1"/>
  <c r="AB52" i="1"/>
  <c r="AB51" i="1"/>
  <c r="AB50" i="1"/>
  <c r="AB49" i="1"/>
  <c r="AB48" i="1"/>
  <c r="AB47" i="1"/>
  <c r="AB46" i="1"/>
  <c r="AB45" i="1"/>
  <c r="AB44" i="1"/>
  <c r="AB43" i="1"/>
  <c r="AB42" i="1"/>
  <c r="AB41" i="1"/>
  <c r="AB40" i="1"/>
  <c r="AB39" i="1"/>
  <c r="AB38" i="1"/>
  <c r="AB37" i="1"/>
  <c r="AB36" i="1"/>
  <c r="AB35" i="1"/>
  <c r="AB34" i="1"/>
  <c r="AB33" i="1"/>
  <c r="AB32" i="1"/>
  <c r="AB31" i="1"/>
  <c r="AB30" i="1"/>
  <c r="AB29" i="1"/>
  <c r="AB28" i="1"/>
  <c r="AB27" i="1"/>
  <c r="AB26" i="1"/>
  <c r="AB25" i="1"/>
  <c r="AB24" i="1"/>
  <c r="AB23" i="1"/>
  <c r="AB22" i="1"/>
  <c r="AB21" i="1"/>
  <c r="AB20" i="1"/>
  <c r="AB19" i="1"/>
  <c r="AB18" i="1"/>
  <c r="AB17" i="1"/>
  <c r="AB16" i="1"/>
  <c r="AB15" i="1"/>
  <c r="AB14" i="1"/>
  <c r="AB13" i="1"/>
  <c r="AB12" i="1"/>
  <c r="AB11" i="1"/>
  <c r="AB10" i="1"/>
  <c r="AB9" i="1"/>
  <c r="AB8" i="1"/>
  <c r="AB7" i="1"/>
  <c r="AB6" i="1"/>
  <c r="AB5" i="1"/>
  <c r="AB4" i="1"/>
  <c r="AB3" i="1"/>
  <c r="AB2" i="1"/>
  <c r="AA3" i="1"/>
  <c r="AA4" i="1"/>
  <c r="AA5" i="1"/>
  <c r="AA6" i="1"/>
  <c r="AA7" i="1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165" i="1"/>
  <c r="AA166" i="1"/>
  <c r="AA167" i="1"/>
  <c r="AA168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02" i="1"/>
  <c r="AA203" i="1"/>
  <c r="AA204" i="1"/>
  <c r="AA205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23" i="1"/>
  <c r="AA224" i="1"/>
  <c r="AA225" i="1"/>
  <c r="AA226" i="1"/>
  <c r="AA227" i="1"/>
  <c r="AA228" i="1"/>
  <c r="AA229" i="1"/>
  <c r="AA230" i="1"/>
  <c r="AA231" i="1"/>
  <c r="AA232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319" i="1"/>
  <c r="AA320" i="1"/>
  <c r="AA321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39" i="1"/>
  <c r="AA340" i="1"/>
  <c r="AA341" i="1"/>
  <c r="AA342" i="1"/>
  <c r="AA343" i="1"/>
  <c r="AA344" i="1"/>
  <c r="AA345" i="1"/>
  <c r="AA346" i="1"/>
  <c r="AA347" i="1"/>
  <c r="AA348" i="1"/>
  <c r="AA349" i="1"/>
  <c r="AA350" i="1"/>
  <c r="AA351" i="1"/>
  <c r="AA352" i="1"/>
  <c r="AA353" i="1"/>
  <c r="AA354" i="1"/>
  <c r="AA355" i="1"/>
  <c r="AA356" i="1"/>
  <c r="AA357" i="1"/>
  <c r="AA358" i="1"/>
  <c r="AA359" i="1"/>
  <c r="AA2" i="1"/>
  <c r="Q3" i="1"/>
  <c r="AD3" i="1" s="1"/>
  <c r="S3" i="1"/>
  <c r="AF3" i="1" s="1"/>
  <c r="W3" i="1"/>
  <c r="AJ3" i="1" s="1"/>
  <c r="X3" i="1"/>
  <c r="AK3" i="1" s="1"/>
  <c r="Y3" i="1"/>
  <c r="AL3" i="1" s="1"/>
  <c r="Q4" i="1"/>
  <c r="AD4" i="1" s="1"/>
  <c r="S4" i="1"/>
  <c r="AF4" i="1" s="1"/>
  <c r="W4" i="1"/>
  <c r="AJ4" i="1" s="1"/>
  <c r="X4" i="1"/>
  <c r="Y4" i="1"/>
  <c r="AL4" i="1" s="1"/>
  <c r="Q5" i="1"/>
  <c r="AD5" i="1" s="1"/>
  <c r="S5" i="1"/>
  <c r="AF5" i="1" s="1"/>
  <c r="W5" i="1"/>
  <c r="AJ5" i="1" s="1"/>
  <c r="X5" i="1"/>
  <c r="AK5" i="1" s="1"/>
  <c r="Y5" i="1"/>
  <c r="AL5" i="1" s="1"/>
  <c r="Q6" i="1"/>
  <c r="AD6" i="1" s="1"/>
  <c r="S6" i="1"/>
  <c r="AF6" i="1" s="1"/>
  <c r="W6" i="1"/>
  <c r="AJ6" i="1" s="1"/>
  <c r="X6" i="1"/>
  <c r="Y6" i="1"/>
  <c r="AL6" i="1" s="1"/>
  <c r="Q7" i="1"/>
  <c r="S7" i="1"/>
  <c r="V7" i="1"/>
  <c r="W7" i="1"/>
  <c r="X7" i="1"/>
  <c r="Y7" i="1"/>
  <c r="Q8" i="1"/>
  <c r="S8" i="1"/>
  <c r="V8" i="1"/>
  <c r="W8" i="1"/>
  <c r="X8" i="1"/>
  <c r="Y8" i="1"/>
  <c r="Q9" i="1"/>
  <c r="AD9" i="1" s="1"/>
  <c r="S9" i="1"/>
  <c r="AF9" i="1" s="1"/>
  <c r="W9" i="1"/>
  <c r="AJ9" i="1" s="1"/>
  <c r="X9" i="1"/>
  <c r="AK9" i="1" s="1"/>
  <c r="Y9" i="1"/>
  <c r="AL9" i="1" s="1"/>
  <c r="Q10" i="1"/>
  <c r="AD10" i="1" s="1"/>
  <c r="S10" i="1"/>
  <c r="AF10" i="1" s="1"/>
  <c r="W10" i="1"/>
  <c r="AJ10" i="1" s="1"/>
  <c r="X10" i="1"/>
  <c r="Y10" i="1"/>
  <c r="AL10" i="1" s="1"/>
  <c r="Q11" i="1"/>
  <c r="AD11" i="1" s="1"/>
  <c r="S11" i="1"/>
  <c r="AF11" i="1" s="1"/>
  <c r="W11" i="1"/>
  <c r="AJ11" i="1" s="1"/>
  <c r="X11" i="1"/>
  <c r="AK11" i="1" s="1"/>
  <c r="Y11" i="1"/>
  <c r="AL11" i="1" s="1"/>
  <c r="Q12" i="1"/>
  <c r="AD12" i="1" s="1"/>
  <c r="S12" i="1"/>
  <c r="AF12" i="1" s="1"/>
  <c r="W12" i="1"/>
  <c r="AJ12" i="1" s="1"/>
  <c r="X12" i="1"/>
  <c r="Y12" i="1"/>
  <c r="AL12" i="1" s="1"/>
  <c r="Q13" i="1"/>
  <c r="AD13" i="1" s="1"/>
  <c r="S13" i="1"/>
  <c r="AF13" i="1" s="1"/>
  <c r="W13" i="1"/>
  <c r="AJ13" i="1" s="1"/>
  <c r="X13" i="1"/>
  <c r="AK13" i="1" s="1"/>
  <c r="Y13" i="1"/>
  <c r="AL13" i="1" s="1"/>
  <c r="Q14" i="1"/>
  <c r="AD14" i="1" s="1"/>
  <c r="S14" i="1"/>
  <c r="AF14" i="1" s="1"/>
  <c r="W14" i="1"/>
  <c r="AJ14" i="1" s="1"/>
  <c r="X14" i="1"/>
  <c r="Y14" i="1"/>
  <c r="AL14" i="1" s="1"/>
  <c r="Q15" i="1"/>
  <c r="AD15" i="1" s="1"/>
  <c r="S15" i="1"/>
  <c r="AF15" i="1" s="1"/>
  <c r="W15" i="1"/>
  <c r="AJ15" i="1" s="1"/>
  <c r="X15" i="1"/>
  <c r="AK15" i="1" s="1"/>
  <c r="Y15" i="1"/>
  <c r="AL15" i="1" s="1"/>
  <c r="Q16" i="1"/>
  <c r="AD16" i="1" s="1"/>
  <c r="S16" i="1"/>
  <c r="AF16" i="1" s="1"/>
  <c r="W16" i="1"/>
  <c r="AJ16" i="1" s="1"/>
  <c r="X16" i="1"/>
  <c r="Y16" i="1"/>
  <c r="AL16" i="1" s="1"/>
  <c r="Q17" i="1"/>
  <c r="AD17" i="1" s="1"/>
  <c r="S17" i="1"/>
  <c r="AF17" i="1" s="1"/>
  <c r="W17" i="1"/>
  <c r="AJ17" i="1" s="1"/>
  <c r="X17" i="1"/>
  <c r="AK17" i="1" s="1"/>
  <c r="Y17" i="1"/>
  <c r="AL17" i="1" s="1"/>
  <c r="Q18" i="1"/>
  <c r="AD18" i="1" s="1"/>
  <c r="S18" i="1"/>
  <c r="AF18" i="1" s="1"/>
  <c r="W18" i="1"/>
  <c r="AJ18" i="1" s="1"/>
  <c r="X18" i="1"/>
  <c r="Y18" i="1"/>
  <c r="AL18" i="1" s="1"/>
  <c r="Q19" i="1"/>
  <c r="AD19" i="1" s="1"/>
  <c r="S19" i="1"/>
  <c r="AF19" i="1" s="1"/>
  <c r="W19" i="1"/>
  <c r="AJ19" i="1" s="1"/>
  <c r="X19" i="1"/>
  <c r="AK19" i="1" s="1"/>
  <c r="Y19" i="1"/>
  <c r="AL19" i="1" s="1"/>
  <c r="Q20" i="1"/>
  <c r="AD20" i="1" s="1"/>
  <c r="S20" i="1"/>
  <c r="AF20" i="1" s="1"/>
  <c r="W20" i="1"/>
  <c r="AJ20" i="1" s="1"/>
  <c r="X20" i="1"/>
  <c r="Y20" i="1"/>
  <c r="AL20" i="1" s="1"/>
  <c r="Q21" i="1"/>
  <c r="AD21" i="1" s="1"/>
  <c r="S21" i="1"/>
  <c r="AF21" i="1" s="1"/>
  <c r="W21" i="1"/>
  <c r="AJ21" i="1" s="1"/>
  <c r="X21" i="1"/>
  <c r="AK21" i="1" s="1"/>
  <c r="Y21" i="1"/>
  <c r="AL21" i="1" s="1"/>
  <c r="Q22" i="1"/>
  <c r="AD22" i="1" s="1"/>
  <c r="S22" i="1"/>
  <c r="AF22" i="1" s="1"/>
  <c r="W22" i="1"/>
  <c r="AJ22" i="1" s="1"/>
  <c r="X22" i="1"/>
  <c r="Y22" i="1"/>
  <c r="AL22" i="1" s="1"/>
  <c r="Q23" i="1"/>
  <c r="AD23" i="1" s="1"/>
  <c r="S23" i="1"/>
  <c r="AF23" i="1" s="1"/>
  <c r="W23" i="1"/>
  <c r="AJ23" i="1" s="1"/>
  <c r="X23" i="1"/>
  <c r="AK23" i="1" s="1"/>
  <c r="Y23" i="1"/>
  <c r="AL23" i="1" s="1"/>
  <c r="Q24" i="1"/>
  <c r="AD24" i="1" s="1"/>
  <c r="S24" i="1"/>
  <c r="AF24" i="1" s="1"/>
  <c r="W24" i="1"/>
  <c r="AJ24" i="1" s="1"/>
  <c r="X24" i="1"/>
  <c r="Y24" i="1"/>
  <c r="AL24" i="1" s="1"/>
  <c r="Q25" i="1"/>
  <c r="AD25" i="1" s="1"/>
  <c r="S25" i="1"/>
  <c r="AF25" i="1" s="1"/>
  <c r="W25" i="1"/>
  <c r="AJ25" i="1" s="1"/>
  <c r="X25" i="1"/>
  <c r="AK25" i="1" s="1"/>
  <c r="Y25" i="1"/>
  <c r="AL25" i="1" s="1"/>
  <c r="Q26" i="1"/>
  <c r="AD26" i="1" s="1"/>
  <c r="S26" i="1"/>
  <c r="AF26" i="1" s="1"/>
  <c r="W26" i="1"/>
  <c r="AJ26" i="1" s="1"/>
  <c r="X26" i="1"/>
  <c r="Y26" i="1"/>
  <c r="AL26" i="1" s="1"/>
  <c r="Q27" i="1"/>
  <c r="AD27" i="1" s="1"/>
  <c r="S27" i="1"/>
  <c r="AF27" i="1" s="1"/>
  <c r="W27" i="1"/>
  <c r="AJ27" i="1" s="1"/>
  <c r="X27" i="1"/>
  <c r="AK27" i="1" s="1"/>
  <c r="Y27" i="1"/>
  <c r="AL27" i="1" s="1"/>
  <c r="Q28" i="1"/>
  <c r="AD28" i="1" s="1"/>
  <c r="S28" i="1"/>
  <c r="AF28" i="1" s="1"/>
  <c r="W28" i="1"/>
  <c r="AJ28" i="1" s="1"/>
  <c r="X28" i="1"/>
  <c r="Y28" i="1"/>
  <c r="AL28" i="1" s="1"/>
  <c r="Q29" i="1"/>
  <c r="AD29" i="1" s="1"/>
  <c r="S29" i="1"/>
  <c r="AF29" i="1" s="1"/>
  <c r="W29" i="1"/>
  <c r="AJ29" i="1" s="1"/>
  <c r="X29" i="1"/>
  <c r="AK29" i="1" s="1"/>
  <c r="Y29" i="1"/>
  <c r="AL29" i="1" s="1"/>
  <c r="Q30" i="1"/>
  <c r="AD30" i="1" s="1"/>
  <c r="S30" i="1"/>
  <c r="AF30" i="1" s="1"/>
  <c r="W30" i="1"/>
  <c r="AJ30" i="1" s="1"/>
  <c r="X30" i="1"/>
  <c r="Y30" i="1"/>
  <c r="AL30" i="1" s="1"/>
  <c r="Q31" i="1"/>
  <c r="AD31" i="1" s="1"/>
  <c r="S31" i="1"/>
  <c r="AF31" i="1" s="1"/>
  <c r="W31" i="1"/>
  <c r="AJ31" i="1" s="1"/>
  <c r="X31" i="1"/>
  <c r="AK31" i="1" s="1"/>
  <c r="Y31" i="1"/>
  <c r="AL31" i="1" s="1"/>
  <c r="Q32" i="1"/>
  <c r="AD32" i="1" s="1"/>
  <c r="S32" i="1"/>
  <c r="AF32" i="1" s="1"/>
  <c r="W32" i="1"/>
  <c r="AJ32" i="1" s="1"/>
  <c r="X32" i="1"/>
  <c r="Y32" i="1"/>
  <c r="AL32" i="1" s="1"/>
  <c r="Q33" i="1"/>
  <c r="AD33" i="1" s="1"/>
  <c r="S33" i="1"/>
  <c r="AF33" i="1" s="1"/>
  <c r="W33" i="1"/>
  <c r="AJ33" i="1" s="1"/>
  <c r="X33" i="1"/>
  <c r="AK33" i="1" s="1"/>
  <c r="Y33" i="1"/>
  <c r="AL33" i="1" s="1"/>
  <c r="Q34" i="1"/>
  <c r="AD34" i="1" s="1"/>
  <c r="S34" i="1"/>
  <c r="AF34" i="1" s="1"/>
  <c r="W34" i="1"/>
  <c r="AJ34" i="1" s="1"/>
  <c r="X34" i="1"/>
  <c r="Y34" i="1"/>
  <c r="AL34" i="1" s="1"/>
  <c r="Q35" i="1"/>
  <c r="AD35" i="1" s="1"/>
  <c r="S35" i="1"/>
  <c r="AF35" i="1" s="1"/>
  <c r="W35" i="1"/>
  <c r="AJ35" i="1" s="1"/>
  <c r="X35" i="1"/>
  <c r="AK35" i="1" s="1"/>
  <c r="Y35" i="1"/>
  <c r="AL35" i="1" s="1"/>
  <c r="Q36" i="1"/>
  <c r="S36" i="1"/>
  <c r="V36" i="1"/>
  <c r="W36" i="1"/>
  <c r="X36" i="1"/>
  <c r="Y36" i="1"/>
  <c r="Q37" i="1"/>
  <c r="S37" i="1"/>
  <c r="V37" i="1"/>
  <c r="W37" i="1"/>
  <c r="X37" i="1"/>
  <c r="Y37" i="1"/>
  <c r="Q38" i="1"/>
  <c r="S38" i="1"/>
  <c r="V38" i="1"/>
  <c r="W38" i="1"/>
  <c r="X38" i="1"/>
  <c r="Y38" i="1"/>
  <c r="Q39" i="1"/>
  <c r="AD39" i="1" s="1"/>
  <c r="S39" i="1"/>
  <c r="AF39" i="1" s="1"/>
  <c r="W39" i="1"/>
  <c r="AJ39" i="1" s="1"/>
  <c r="X39" i="1"/>
  <c r="AK39" i="1" s="1"/>
  <c r="Y39" i="1"/>
  <c r="AL39" i="1" s="1"/>
  <c r="Q40" i="1"/>
  <c r="AD40" i="1" s="1"/>
  <c r="S40" i="1"/>
  <c r="AF40" i="1" s="1"/>
  <c r="W40" i="1"/>
  <c r="AJ40" i="1" s="1"/>
  <c r="X40" i="1"/>
  <c r="Y40" i="1"/>
  <c r="AL40" i="1" s="1"/>
  <c r="Q41" i="1"/>
  <c r="AD41" i="1" s="1"/>
  <c r="S41" i="1"/>
  <c r="AF41" i="1" s="1"/>
  <c r="W41" i="1"/>
  <c r="AJ41" i="1" s="1"/>
  <c r="X41" i="1"/>
  <c r="Y41" i="1"/>
  <c r="AL41" i="1" s="1"/>
  <c r="Q42" i="1"/>
  <c r="AD42" i="1" s="1"/>
  <c r="S42" i="1"/>
  <c r="AF42" i="1" s="1"/>
  <c r="W42" i="1"/>
  <c r="AJ42" i="1" s="1"/>
  <c r="X42" i="1"/>
  <c r="AK42" i="1" s="1"/>
  <c r="Y42" i="1"/>
  <c r="AL42" i="1" s="1"/>
  <c r="Q43" i="1"/>
  <c r="AD43" i="1" s="1"/>
  <c r="S43" i="1"/>
  <c r="AF43" i="1" s="1"/>
  <c r="W43" i="1"/>
  <c r="AJ43" i="1" s="1"/>
  <c r="X43" i="1"/>
  <c r="AK43" i="1" s="1"/>
  <c r="Y43" i="1"/>
  <c r="AL43" i="1" s="1"/>
  <c r="Q44" i="1"/>
  <c r="AD44" i="1" s="1"/>
  <c r="S44" i="1"/>
  <c r="AF44" i="1" s="1"/>
  <c r="W44" i="1"/>
  <c r="AJ44" i="1" s="1"/>
  <c r="X44" i="1"/>
  <c r="AK44" i="1" s="1"/>
  <c r="Y44" i="1"/>
  <c r="AL44" i="1" s="1"/>
  <c r="Q45" i="1"/>
  <c r="S45" i="1"/>
  <c r="V45" i="1"/>
  <c r="W45" i="1"/>
  <c r="X45" i="1"/>
  <c r="Y45" i="1"/>
  <c r="Q46" i="1"/>
  <c r="S46" i="1"/>
  <c r="V46" i="1"/>
  <c r="W46" i="1"/>
  <c r="X46" i="1"/>
  <c r="Y46" i="1"/>
  <c r="Q47" i="1"/>
  <c r="AD47" i="1" s="1"/>
  <c r="S47" i="1"/>
  <c r="AF47" i="1" s="1"/>
  <c r="W47" i="1"/>
  <c r="AJ47" i="1" s="1"/>
  <c r="X47" i="1"/>
  <c r="AK47" i="1" s="1"/>
  <c r="Y47" i="1"/>
  <c r="AL47" i="1" s="1"/>
  <c r="Q48" i="1"/>
  <c r="AD48" i="1" s="1"/>
  <c r="S48" i="1"/>
  <c r="AF48" i="1" s="1"/>
  <c r="W48" i="1"/>
  <c r="AJ48" i="1" s="1"/>
  <c r="X48" i="1"/>
  <c r="AK48" i="1" s="1"/>
  <c r="Y48" i="1"/>
  <c r="AL48" i="1" s="1"/>
  <c r="Q49" i="1"/>
  <c r="AD49" i="1" s="1"/>
  <c r="S49" i="1"/>
  <c r="AF49" i="1" s="1"/>
  <c r="W49" i="1"/>
  <c r="AJ49" i="1" s="1"/>
  <c r="X49" i="1"/>
  <c r="Y49" i="1"/>
  <c r="AL49" i="1" s="1"/>
  <c r="Q50" i="1"/>
  <c r="AD50" i="1" s="1"/>
  <c r="S50" i="1"/>
  <c r="AF50" i="1" s="1"/>
  <c r="W50" i="1"/>
  <c r="AJ50" i="1" s="1"/>
  <c r="X50" i="1"/>
  <c r="AK50" i="1" s="1"/>
  <c r="Y50" i="1"/>
  <c r="AL50" i="1" s="1"/>
  <c r="Q51" i="1"/>
  <c r="AD51" i="1" s="1"/>
  <c r="S51" i="1"/>
  <c r="AF51" i="1" s="1"/>
  <c r="W51" i="1"/>
  <c r="AJ51" i="1" s="1"/>
  <c r="X51" i="1"/>
  <c r="AK51" i="1" s="1"/>
  <c r="Y51" i="1"/>
  <c r="AL51" i="1" s="1"/>
  <c r="Q52" i="1"/>
  <c r="AD52" i="1" s="1"/>
  <c r="S52" i="1"/>
  <c r="AF52" i="1" s="1"/>
  <c r="W52" i="1"/>
  <c r="AJ52" i="1" s="1"/>
  <c r="X52" i="1"/>
  <c r="AK52" i="1" s="1"/>
  <c r="Y52" i="1"/>
  <c r="AL52" i="1" s="1"/>
  <c r="Q53" i="1"/>
  <c r="AD53" i="1" s="1"/>
  <c r="S53" i="1"/>
  <c r="AF53" i="1" s="1"/>
  <c r="W53" i="1"/>
  <c r="AJ53" i="1" s="1"/>
  <c r="X53" i="1"/>
  <c r="Y53" i="1"/>
  <c r="AL53" i="1" s="1"/>
  <c r="Q54" i="1"/>
  <c r="AD54" i="1" s="1"/>
  <c r="S54" i="1"/>
  <c r="AF54" i="1" s="1"/>
  <c r="W54" i="1"/>
  <c r="AJ54" i="1" s="1"/>
  <c r="X54" i="1"/>
  <c r="Y54" i="1"/>
  <c r="AL54" i="1" s="1"/>
  <c r="Q55" i="1"/>
  <c r="AD55" i="1" s="1"/>
  <c r="S55" i="1"/>
  <c r="AF55" i="1" s="1"/>
  <c r="W55" i="1"/>
  <c r="AJ55" i="1" s="1"/>
  <c r="X55" i="1"/>
  <c r="AK55" i="1" s="1"/>
  <c r="Y55" i="1"/>
  <c r="AL55" i="1" s="1"/>
  <c r="Q56" i="1"/>
  <c r="AD56" i="1" s="1"/>
  <c r="S56" i="1"/>
  <c r="AF56" i="1" s="1"/>
  <c r="W56" i="1"/>
  <c r="AJ56" i="1" s="1"/>
  <c r="X56" i="1"/>
  <c r="AK56" i="1" s="1"/>
  <c r="Y56" i="1"/>
  <c r="AL56" i="1" s="1"/>
  <c r="Q57" i="1"/>
  <c r="AD57" i="1" s="1"/>
  <c r="S57" i="1"/>
  <c r="AF57" i="1" s="1"/>
  <c r="W57" i="1"/>
  <c r="AJ57" i="1" s="1"/>
  <c r="X57" i="1"/>
  <c r="Y57" i="1"/>
  <c r="AL57" i="1" s="1"/>
  <c r="Q58" i="1"/>
  <c r="AD58" i="1" s="1"/>
  <c r="S58" i="1"/>
  <c r="AF58" i="1" s="1"/>
  <c r="W58" i="1"/>
  <c r="AJ58" i="1" s="1"/>
  <c r="X58" i="1"/>
  <c r="AK58" i="1" s="1"/>
  <c r="Y58" i="1"/>
  <c r="AL58" i="1" s="1"/>
  <c r="Q59" i="1"/>
  <c r="AD59" i="1" s="1"/>
  <c r="S59" i="1"/>
  <c r="AF59" i="1" s="1"/>
  <c r="W59" i="1"/>
  <c r="AJ59" i="1" s="1"/>
  <c r="X59" i="1"/>
  <c r="AK59" i="1" s="1"/>
  <c r="Y59" i="1"/>
  <c r="AL59" i="1" s="1"/>
  <c r="Q60" i="1"/>
  <c r="AD60" i="1" s="1"/>
  <c r="S60" i="1"/>
  <c r="AF60" i="1" s="1"/>
  <c r="W60" i="1"/>
  <c r="AJ60" i="1" s="1"/>
  <c r="X60" i="1"/>
  <c r="AK60" i="1" s="1"/>
  <c r="Y60" i="1"/>
  <c r="AL60" i="1" s="1"/>
  <c r="Q61" i="1"/>
  <c r="AD61" i="1" s="1"/>
  <c r="S61" i="1"/>
  <c r="AF61" i="1" s="1"/>
  <c r="W61" i="1"/>
  <c r="AJ61" i="1" s="1"/>
  <c r="X61" i="1"/>
  <c r="Y61" i="1"/>
  <c r="AL61" i="1" s="1"/>
  <c r="Q62" i="1"/>
  <c r="AD62" i="1" s="1"/>
  <c r="S62" i="1"/>
  <c r="AF62" i="1" s="1"/>
  <c r="W62" i="1"/>
  <c r="AJ62" i="1" s="1"/>
  <c r="X62" i="1"/>
  <c r="Y62" i="1"/>
  <c r="AL62" i="1" s="1"/>
  <c r="Q63" i="1"/>
  <c r="AD63" i="1" s="1"/>
  <c r="S63" i="1"/>
  <c r="AF63" i="1" s="1"/>
  <c r="W63" i="1"/>
  <c r="AJ63" i="1" s="1"/>
  <c r="X63" i="1"/>
  <c r="AK63" i="1" s="1"/>
  <c r="Y63" i="1"/>
  <c r="AL63" i="1" s="1"/>
  <c r="Q64" i="1"/>
  <c r="AD64" i="1" s="1"/>
  <c r="S64" i="1"/>
  <c r="AF64" i="1" s="1"/>
  <c r="W64" i="1"/>
  <c r="AJ64" i="1" s="1"/>
  <c r="X64" i="1"/>
  <c r="AK64" i="1" s="1"/>
  <c r="Y64" i="1"/>
  <c r="AL64" i="1" s="1"/>
  <c r="Q65" i="1"/>
  <c r="AD65" i="1" s="1"/>
  <c r="S65" i="1"/>
  <c r="AF65" i="1" s="1"/>
  <c r="W65" i="1"/>
  <c r="AJ65" i="1" s="1"/>
  <c r="X65" i="1"/>
  <c r="AK65" i="1" s="1"/>
  <c r="Y65" i="1"/>
  <c r="Q66" i="1"/>
  <c r="AD66" i="1" s="1"/>
  <c r="S66" i="1"/>
  <c r="AF66" i="1" s="1"/>
  <c r="W66" i="1"/>
  <c r="AJ66" i="1" s="1"/>
  <c r="X66" i="1"/>
  <c r="AK66" i="1" s="1"/>
  <c r="Y66" i="1"/>
  <c r="AL66" i="1" s="1"/>
  <c r="Q67" i="1"/>
  <c r="AD67" i="1" s="1"/>
  <c r="S67" i="1"/>
  <c r="AF67" i="1" s="1"/>
  <c r="W67" i="1"/>
  <c r="AJ67" i="1" s="1"/>
  <c r="X67" i="1"/>
  <c r="AK67" i="1" s="1"/>
  <c r="Y67" i="1"/>
  <c r="AL67" i="1" s="1"/>
  <c r="Q68" i="1"/>
  <c r="AD68" i="1" s="1"/>
  <c r="S68" i="1"/>
  <c r="AF68" i="1" s="1"/>
  <c r="W68" i="1"/>
  <c r="AJ68" i="1" s="1"/>
  <c r="X68" i="1"/>
  <c r="AK68" i="1" s="1"/>
  <c r="Y68" i="1"/>
  <c r="AL68" i="1" s="1"/>
  <c r="Q69" i="1"/>
  <c r="S69" i="1"/>
  <c r="AF69" i="1" s="1"/>
  <c r="W69" i="1"/>
  <c r="AJ69" i="1" s="1"/>
  <c r="X69" i="1"/>
  <c r="AK69" i="1" s="1"/>
  <c r="Y69" i="1"/>
  <c r="AL69" i="1" s="1"/>
  <c r="Q70" i="1"/>
  <c r="AD70" i="1" s="1"/>
  <c r="S70" i="1"/>
  <c r="AF70" i="1" s="1"/>
  <c r="W70" i="1"/>
  <c r="AJ70" i="1" s="1"/>
  <c r="X70" i="1"/>
  <c r="Y70" i="1"/>
  <c r="AL70" i="1" s="1"/>
  <c r="Q71" i="1"/>
  <c r="AD71" i="1" s="1"/>
  <c r="S71" i="1"/>
  <c r="AF71" i="1" s="1"/>
  <c r="W71" i="1"/>
  <c r="AJ71" i="1" s="1"/>
  <c r="X71" i="1"/>
  <c r="AK71" i="1" s="1"/>
  <c r="Y71" i="1"/>
  <c r="AL71" i="1" s="1"/>
  <c r="Q72" i="1"/>
  <c r="AD72" i="1" s="1"/>
  <c r="S72" i="1"/>
  <c r="AF72" i="1" s="1"/>
  <c r="W72" i="1"/>
  <c r="AJ72" i="1" s="1"/>
  <c r="X72" i="1"/>
  <c r="AK72" i="1" s="1"/>
  <c r="Y72" i="1"/>
  <c r="AL72" i="1" s="1"/>
  <c r="Q73" i="1"/>
  <c r="AD73" i="1" s="1"/>
  <c r="S73" i="1"/>
  <c r="AF73" i="1" s="1"/>
  <c r="W73" i="1"/>
  <c r="AJ73" i="1" s="1"/>
  <c r="X73" i="1"/>
  <c r="AK73" i="1" s="1"/>
  <c r="Y73" i="1"/>
  <c r="Q74" i="1"/>
  <c r="AD74" i="1" s="1"/>
  <c r="S74" i="1"/>
  <c r="AF74" i="1" s="1"/>
  <c r="W74" i="1"/>
  <c r="AJ74" i="1" s="1"/>
  <c r="X74" i="1"/>
  <c r="AK74" i="1" s="1"/>
  <c r="Y74" i="1"/>
  <c r="AL74" i="1" s="1"/>
  <c r="Q75" i="1"/>
  <c r="AD75" i="1" s="1"/>
  <c r="S75" i="1"/>
  <c r="AF75" i="1" s="1"/>
  <c r="W75" i="1"/>
  <c r="AJ75" i="1" s="1"/>
  <c r="X75" i="1"/>
  <c r="AK75" i="1" s="1"/>
  <c r="Y75" i="1"/>
  <c r="AL75" i="1" s="1"/>
  <c r="Q76" i="1"/>
  <c r="AD76" i="1" s="1"/>
  <c r="S76" i="1"/>
  <c r="AF76" i="1" s="1"/>
  <c r="W76" i="1"/>
  <c r="AJ76" i="1" s="1"/>
  <c r="X76" i="1"/>
  <c r="AK76" i="1" s="1"/>
  <c r="Y76" i="1"/>
  <c r="AL76" i="1" s="1"/>
  <c r="Q77" i="1"/>
  <c r="S77" i="1"/>
  <c r="AF77" i="1" s="1"/>
  <c r="W77" i="1"/>
  <c r="AJ77" i="1" s="1"/>
  <c r="X77" i="1"/>
  <c r="AK77" i="1" s="1"/>
  <c r="Y77" i="1"/>
  <c r="AL77" i="1" s="1"/>
  <c r="Q78" i="1"/>
  <c r="AD78" i="1" s="1"/>
  <c r="S78" i="1"/>
  <c r="AF78" i="1" s="1"/>
  <c r="W78" i="1"/>
  <c r="AJ78" i="1" s="1"/>
  <c r="X78" i="1"/>
  <c r="AK78" i="1" s="1"/>
  <c r="Y78" i="1"/>
  <c r="AL78" i="1" s="1"/>
  <c r="Q79" i="1"/>
  <c r="AD79" i="1" s="1"/>
  <c r="S79" i="1"/>
  <c r="AF79" i="1" s="1"/>
  <c r="W79" i="1"/>
  <c r="AJ79" i="1" s="1"/>
  <c r="X79" i="1"/>
  <c r="AK79" i="1" s="1"/>
  <c r="Y79" i="1"/>
  <c r="AL79" i="1" s="1"/>
  <c r="Q80" i="1"/>
  <c r="AD80" i="1" s="1"/>
  <c r="S80" i="1"/>
  <c r="W80" i="1"/>
  <c r="AJ80" i="1" s="1"/>
  <c r="X80" i="1"/>
  <c r="AK80" i="1" s="1"/>
  <c r="Y80" i="1"/>
  <c r="AL80" i="1" s="1"/>
  <c r="Q81" i="1"/>
  <c r="AD81" i="1" s="1"/>
  <c r="S81" i="1"/>
  <c r="AF81" i="1" s="1"/>
  <c r="W81" i="1"/>
  <c r="AJ81" i="1" s="1"/>
  <c r="X81" i="1"/>
  <c r="AK81" i="1" s="1"/>
  <c r="Y81" i="1"/>
  <c r="AL81" i="1" s="1"/>
  <c r="Q82" i="1"/>
  <c r="AD82" i="1" s="1"/>
  <c r="S82" i="1"/>
  <c r="AF82" i="1" s="1"/>
  <c r="W82" i="1"/>
  <c r="AJ82" i="1" s="1"/>
  <c r="X82" i="1"/>
  <c r="AK82" i="1" s="1"/>
  <c r="Y82" i="1"/>
  <c r="AL82" i="1" s="1"/>
  <c r="Q83" i="1"/>
  <c r="S83" i="1"/>
  <c r="V83" i="1"/>
  <c r="W83" i="1"/>
  <c r="X83" i="1"/>
  <c r="Y83" i="1"/>
  <c r="Q84" i="1"/>
  <c r="S84" i="1"/>
  <c r="V84" i="1"/>
  <c r="W84" i="1"/>
  <c r="X84" i="1"/>
  <c r="Y84" i="1"/>
  <c r="Q85" i="1"/>
  <c r="S85" i="1"/>
  <c r="V85" i="1"/>
  <c r="W85" i="1"/>
  <c r="X85" i="1"/>
  <c r="Y85" i="1"/>
  <c r="Q86" i="1"/>
  <c r="S86" i="1"/>
  <c r="V86" i="1"/>
  <c r="W86" i="1"/>
  <c r="X86" i="1"/>
  <c r="Y86" i="1"/>
  <c r="Q87" i="1"/>
  <c r="AD87" i="1" s="1"/>
  <c r="S87" i="1"/>
  <c r="AF87" i="1" s="1"/>
  <c r="W87" i="1"/>
  <c r="AJ87" i="1" s="1"/>
  <c r="X87" i="1"/>
  <c r="AK87" i="1" s="1"/>
  <c r="Y87" i="1"/>
  <c r="AL87" i="1" s="1"/>
  <c r="Q88" i="1"/>
  <c r="AD88" i="1" s="1"/>
  <c r="S88" i="1"/>
  <c r="AF88" i="1" s="1"/>
  <c r="W88" i="1"/>
  <c r="AJ88" i="1" s="1"/>
  <c r="X88" i="1"/>
  <c r="AK88" i="1" s="1"/>
  <c r="Y88" i="1"/>
  <c r="AL88" i="1" s="1"/>
  <c r="Q89" i="1"/>
  <c r="S89" i="1"/>
  <c r="AF89" i="1" s="1"/>
  <c r="W89" i="1"/>
  <c r="AJ89" i="1" s="1"/>
  <c r="X89" i="1"/>
  <c r="AK89" i="1" s="1"/>
  <c r="Y89" i="1"/>
  <c r="AL89" i="1" s="1"/>
  <c r="Q90" i="1"/>
  <c r="AD90" i="1" s="1"/>
  <c r="S90" i="1"/>
  <c r="AF90" i="1" s="1"/>
  <c r="W90" i="1"/>
  <c r="AJ90" i="1" s="1"/>
  <c r="X90" i="1"/>
  <c r="AK90" i="1" s="1"/>
  <c r="Y90" i="1"/>
  <c r="AL90" i="1" s="1"/>
  <c r="Q91" i="1"/>
  <c r="AD91" i="1" s="1"/>
  <c r="S91" i="1"/>
  <c r="AF91" i="1" s="1"/>
  <c r="W91" i="1"/>
  <c r="AJ91" i="1" s="1"/>
  <c r="X91" i="1"/>
  <c r="AK91" i="1" s="1"/>
  <c r="Y91" i="1"/>
  <c r="AL91" i="1" s="1"/>
  <c r="Q92" i="1"/>
  <c r="AD92" i="1" s="1"/>
  <c r="S92" i="1"/>
  <c r="W92" i="1"/>
  <c r="AJ92" i="1" s="1"/>
  <c r="X92" i="1"/>
  <c r="AK92" i="1" s="1"/>
  <c r="Y92" i="1"/>
  <c r="AL92" i="1" s="1"/>
  <c r="Q93" i="1"/>
  <c r="AD93" i="1" s="1"/>
  <c r="S93" i="1"/>
  <c r="AF93" i="1" s="1"/>
  <c r="W93" i="1"/>
  <c r="AJ93" i="1" s="1"/>
  <c r="X93" i="1"/>
  <c r="AK93" i="1" s="1"/>
  <c r="Y93" i="1"/>
  <c r="AL93" i="1" s="1"/>
  <c r="Q94" i="1"/>
  <c r="AD94" i="1" s="1"/>
  <c r="S94" i="1"/>
  <c r="AF94" i="1" s="1"/>
  <c r="W94" i="1"/>
  <c r="AJ94" i="1" s="1"/>
  <c r="X94" i="1"/>
  <c r="AK94" i="1" s="1"/>
  <c r="Y94" i="1"/>
  <c r="AL94" i="1" s="1"/>
  <c r="Q95" i="1"/>
  <c r="AD95" i="1" s="1"/>
  <c r="S95" i="1"/>
  <c r="AF95" i="1" s="1"/>
  <c r="W95" i="1"/>
  <c r="AJ95" i="1" s="1"/>
  <c r="X95" i="1"/>
  <c r="AK95" i="1" s="1"/>
  <c r="Y95" i="1"/>
  <c r="AL95" i="1" s="1"/>
  <c r="Q96" i="1"/>
  <c r="AD96" i="1" s="1"/>
  <c r="S96" i="1"/>
  <c r="AF96" i="1" s="1"/>
  <c r="W96" i="1"/>
  <c r="AJ96" i="1" s="1"/>
  <c r="X96" i="1"/>
  <c r="AK96" i="1" s="1"/>
  <c r="Y96" i="1"/>
  <c r="AL96" i="1" s="1"/>
  <c r="Q97" i="1"/>
  <c r="S97" i="1"/>
  <c r="AF97" i="1" s="1"/>
  <c r="W97" i="1"/>
  <c r="AJ97" i="1" s="1"/>
  <c r="X97" i="1"/>
  <c r="AK97" i="1" s="1"/>
  <c r="Y97" i="1"/>
  <c r="AL97" i="1" s="1"/>
  <c r="Q98" i="1"/>
  <c r="AD98" i="1" s="1"/>
  <c r="S98" i="1"/>
  <c r="AF98" i="1" s="1"/>
  <c r="W98" i="1"/>
  <c r="AJ98" i="1" s="1"/>
  <c r="X98" i="1"/>
  <c r="AK98" i="1" s="1"/>
  <c r="Y98" i="1"/>
  <c r="AL98" i="1" s="1"/>
  <c r="Q99" i="1"/>
  <c r="AD99" i="1" s="1"/>
  <c r="S99" i="1"/>
  <c r="AF99" i="1" s="1"/>
  <c r="W99" i="1"/>
  <c r="AJ99" i="1" s="1"/>
  <c r="X99" i="1"/>
  <c r="AK99" i="1" s="1"/>
  <c r="Y99" i="1"/>
  <c r="AL99" i="1" s="1"/>
  <c r="Q100" i="1"/>
  <c r="AD100" i="1" s="1"/>
  <c r="S100" i="1"/>
  <c r="W100" i="1"/>
  <c r="AJ100" i="1" s="1"/>
  <c r="X100" i="1"/>
  <c r="AK100" i="1" s="1"/>
  <c r="Y100" i="1"/>
  <c r="AL100" i="1" s="1"/>
  <c r="Q101" i="1"/>
  <c r="AD101" i="1" s="1"/>
  <c r="S101" i="1"/>
  <c r="AF101" i="1" s="1"/>
  <c r="W101" i="1"/>
  <c r="AJ101" i="1" s="1"/>
  <c r="X101" i="1"/>
  <c r="AK101" i="1" s="1"/>
  <c r="Y101" i="1"/>
  <c r="AL101" i="1" s="1"/>
  <c r="Q102" i="1"/>
  <c r="AD102" i="1" s="1"/>
  <c r="S102" i="1"/>
  <c r="AF102" i="1" s="1"/>
  <c r="W102" i="1"/>
  <c r="AJ102" i="1" s="1"/>
  <c r="X102" i="1"/>
  <c r="AK102" i="1" s="1"/>
  <c r="Y102" i="1"/>
  <c r="AL102" i="1" s="1"/>
  <c r="Q103" i="1"/>
  <c r="AD103" i="1" s="1"/>
  <c r="S103" i="1"/>
  <c r="AF103" i="1" s="1"/>
  <c r="W103" i="1"/>
  <c r="AJ103" i="1" s="1"/>
  <c r="X103" i="1"/>
  <c r="AK103" i="1" s="1"/>
  <c r="Y103" i="1"/>
  <c r="AL103" i="1" s="1"/>
  <c r="Q104" i="1"/>
  <c r="AD104" i="1" s="1"/>
  <c r="S104" i="1"/>
  <c r="AF104" i="1" s="1"/>
  <c r="W104" i="1"/>
  <c r="AJ104" i="1" s="1"/>
  <c r="X104" i="1"/>
  <c r="AK104" i="1" s="1"/>
  <c r="Y104" i="1"/>
  <c r="AL104" i="1" s="1"/>
  <c r="Q105" i="1"/>
  <c r="S105" i="1"/>
  <c r="AF105" i="1" s="1"/>
  <c r="W105" i="1"/>
  <c r="AJ105" i="1" s="1"/>
  <c r="X105" i="1"/>
  <c r="AK105" i="1" s="1"/>
  <c r="Y105" i="1"/>
  <c r="AL105" i="1" s="1"/>
  <c r="Q106" i="1"/>
  <c r="AD106" i="1" s="1"/>
  <c r="S106" i="1"/>
  <c r="AF106" i="1" s="1"/>
  <c r="W106" i="1"/>
  <c r="AJ106" i="1" s="1"/>
  <c r="X106" i="1"/>
  <c r="AK106" i="1" s="1"/>
  <c r="Y106" i="1"/>
  <c r="AL106" i="1" s="1"/>
  <c r="Q107" i="1"/>
  <c r="AD107" i="1" s="1"/>
  <c r="S107" i="1"/>
  <c r="AF107" i="1" s="1"/>
  <c r="W107" i="1"/>
  <c r="AJ107" i="1" s="1"/>
  <c r="X107" i="1"/>
  <c r="AK107" i="1" s="1"/>
  <c r="Y107" i="1"/>
  <c r="AL107" i="1" s="1"/>
  <c r="Q108" i="1"/>
  <c r="AD108" i="1" s="1"/>
  <c r="S108" i="1"/>
  <c r="W108" i="1"/>
  <c r="AJ108" i="1" s="1"/>
  <c r="X108" i="1"/>
  <c r="AK108" i="1" s="1"/>
  <c r="Y108" i="1"/>
  <c r="AL108" i="1" s="1"/>
  <c r="Q109" i="1"/>
  <c r="AD109" i="1" s="1"/>
  <c r="S109" i="1"/>
  <c r="AF109" i="1" s="1"/>
  <c r="W109" i="1"/>
  <c r="AJ109" i="1" s="1"/>
  <c r="X109" i="1"/>
  <c r="AK109" i="1" s="1"/>
  <c r="Y109" i="1"/>
  <c r="AL109" i="1" s="1"/>
  <c r="Q110" i="1"/>
  <c r="AD110" i="1" s="1"/>
  <c r="S110" i="1"/>
  <c r="AF110" i="1" s="1"/>
  <c r="W110" i="1"/>
  <c r="AJ110" i="1" s="1"/>
  <c r="X110" i="1"/>
  <c r="AK110" i="1" s="1"/>
  <c r="Y110" i="1"/>
  <c r="AL110" i="1" s="1"/>
  <c r="Q111" i="1"/>
  <c r="AD111" i="1" s="1"/>
  <c r="S111" i="1"/>
  <c r="AF111" i="1" s="1"/>
  <c r="W111" i="1"/>
  <c r="AJ111" i="1" s="1"/>
  <c r="X111" i="1"/>
  <c r="AK111" i="1" s="1"/>
  <c r="Y111" i="1"/>
  <c r="AL111" i="1" s="1"/>
  <c r="Q112" i="1"/>
  <c r="AD112" i="1" s="1"/>
  <c r="S112" i="1"/>
  <c r="AF112" i="1" s="1"/>
  <c r="W112" i="1"/>
  <c r="AJ112" i="1" s="1"/>
  <c r="X112" i="1"/>
  <c r="AK112" i="1" s="1"/>
  <c r="Y112" i="1"/>
  <c r="AL112" i="1" s="1"/>
  <c r="Q113" i="1"/>
  <c r="S113" i="1"/>
  <c r="AF113" i="1" s="1"/>
  <c r="W113" i="1"/>
  <c r="AJ113" i="1" s="1"/>
  <c r="X113" i="1"/>
  <c r="AK113" i="1" s="1"/>
  <c r="Y113" i="1"/>
  <c r="AL113" i="1" s="1"/>
  <c r="Q114" i="1"/>
  <c r="AD114" i="1" s="1"/>
  <c r="S114" i="1"/>
  <c r="AF114" i="1" s="1"/>
  <c r="W114" i="1"/>
  <c r="AJ114" i="1" s="1"/>
  <c r="X114" i="1"/>
  <c r="AK114" i="1" s="1"/>
  <c r="Y114" i="1"/>
  <c r="AL114" i="1" s="1"/>
  <c r="Q115" i="1"/>
  <c r="AD115" i="1" s="1"/>
  <c r="S115" i="1"/>
  <c r="AF115" i="1" s="1"/>
  <c r="W115" i="1"/>
  <c r="AJ115" i="1" s="1"/>
  <c r="X115" i="1"/>
  <c r="AK115" i="1" s="1"/>
  <c r="Y115" i="1"/>
  <c r="AL115" i="1" s="1"/>
  <c r="Q116" i="1"/>
  <c r="AD116" i="1" s="1"/>
  <c r="S116" i="1"/>
  <c r="W116" i="1"/>
  <c r="AJ116" i="1" s="1"/>
  <c r="X116" i="1"/>
  <c r="AK116" i="1" s="1"/>
  <c r="Y116" i="1"/>
  <c r="AL116" i="1" s="1"/>
  <c r="Q117" i="1"/>
  <c r="AD117" i="1" s="1"/>
  <c r="S117" i="1"/>
  <c r="AF117" i="1" s="1"/>
  <c r="W117" i="1"/>
  <c r="AJ117" i="1" s="1"/>
  <c r="X117" i="1"/>
  <c r="AK117" i="1" s="1"/>
  <c r="Y117" i="1"/>
  <c r="AL117" i="1" s="1"/>
  <c r="Q118" i="1"/>
  <c r="AD118" i="1" s="1"/>
  <c r="S118" i="1"/>
  <c r="AF118" i="1" s="1"/>
  <c r="W118" i="1"/>
  <c r="AJ118" i="1" s="1"/>
  <c r="X118" i="1"/>
  <c r="AK118" i="1" s="1"/>
  <c r="Y118" i="1"/>
  <c r="AL118" i="1" s="1"/>
  <c r="Q119" i="1"/>
  <c r="S119" i="1"/>
  <c r="V119" i="1"/>
  <c r="W119" i="1"/>
  <c r="X119" i="1"/>
  <c r="Y119" i="1"/>
  <c r="Q120" i="1"/>
  <c r="S120" i="1"/>
  <c r="V120" i="1"/>
  <c r="W120" i="1"/>
  <c r="X120" i="1"/>
  <c r="Y120" i="1"/>
  <c r="Q121" i="1"/>
  <c r="AD121" i="1" s="1"/>
  <c r="S121" i="1"/>
  <c r="AF121" i="1" s="1"/>
  <c r="W121" i="1"/>
  <c r="AJ121" i="1" s="1"/>
  <c r="X121" i="1"/>
  <c r="AK121" i="1" s="1"/>
  <c r="Y121" i="1"/>
  <c r="AL121" i="1" s="1"/>
  <c r="Q122" i="1"/>
  <c r="AD122" i="1" s="1"/>
  <c r="S122" i="1"/>
  <c r="AF122" i="1" s="1"/>
  <c r="W122" i="1"/>
  <c r="X122" i="1"/>
  <c r="AK122" i="1" s="1"/>
  <c r="Y122" i="1"/>
  <c r="AL122" i="1" s="1"/>
  <c r="Q123" i="1"/>
  <c r="AD123" i="1" s="1"/>
  <c r="S123" i="1"/>
  <c r="AF123" i="1" s="1"/>
  <c r="W123" i="1"/>
  <c r="AJ123" i="1" s="1"/>
  <c r="X123" i="1"/>
  <c r="AK123" i="1" s="1"/>
  <c r="Y123" i="1"/>
  <c r="Q124" i="1"/>
  <c r="AD124" i="1" s="1"/>
  <c r="S124" i="1"/>
  <c r="AF124" i="1" s="1"/>
  <c r="W124" i="1"/>
  <c r="AJ124" i="1" s="1"/>
  <c r="X124" i="1"/>
  <c r="AK124" i="1" s="1"/>
  <c r="Y124" i="1"/>
  <c r="AL124" i="1" s="1"/>
  <c r="Q125" i="1"/>
  <c r="AD125" i="1" s="1"/>
  <c r="S125" i="1"/>
  <c r="AF125" i="1" s="1"/>
  <c r="W125" i="1"/>
  <c r="AJ125" i="1" s="1"/>
  <c r="X125" i="1"/>
  <c r="AK125" i="1" s="1"/>
  <c r="Y125" i="1"/>
  <c r="AL125" i="1" s="1"/>
  <c r="Q126" i="1"/>
  <c r="AD126" i="1" s="1"/>
  <c r="S126" i="1"/>
  <c r="AF126" i="1" s="1"/>
  <c r="W126" i="1"/>
  <c r="X126" i="1"/>
  <c r="AK126" i="1" s="1"/>
  <c r="Y126" i="1"/>
  <c r="AL126" i="1" s="1"/>
  <c r="Q127" i="1"/>
  <c r="AD127" i="1" s="1"/>
  <c r="S127" i="1"/>
  <c r="AF127" i="1" s="1"/>
  <c r="W127" i="1"/>
  <c r="AJ127" i="1" s="1"/>
  <c r="X127" i="1"/>
  <c r="AK127" i="1" s="1"/>
  <c r="Y127" i="1"/>
  <c r="AL127" i="1" s="1"/>
  <c r="Q128" i="1"/>
  <c r="AD128" i="1" s="1"/>
  <c r="S128" i="1"/>
  <c r="AF128" i="1" s="1"/>
  <c r="W128" i="1"/>
  <c r="AJ128" i="1" s="1"/>
  <c r="X128" i="1"/>
  <c r="AK128" i="1" s="1"/>
  <c r="Y128" i="1"/>
  <c r="AL128" i="1" s="1"/>
  <c r="Q129" i="1"/>
  <c r="AD129" i="1" s="1"/>
  <c r="S129" i="1"/>
  <c r="AF129" i="1" s="1"/>
  <c r="W129" i="1"/>
  <c r="AJ129" i="1" s="1"/>
  <c r="X129" i="1"/>
  <c r="AK129" i="1" s="1"/>
  <c r="Y129" i="1"/>
  <c r="AL129" i="1" s="1"/>
  <c r="Q130" i="1"/>
  <c r="AD130" i="1" s="1"/>
  <c r="S130" i="1"/>
  <c r="AF130" i="1" s="1"/>
  <c r="W130" i="1"/>
  <c r="X130" i="1"/>
  <c r="AK130" i="1" s="1"/>
  <c r="Y130" i="1"/>
  <c r="AL130" i="1" s="1"/>
  <c r="Q131" i="1"/>
  <c r="AD131" i="1" s="1"/>
  <c r="S131" i="1"/>
  <c r="AF131" i="1" s="1"/>
  <c r="W131" i="1"/>
  <c r="AJ131" i="1" s="1"/>
  <c r="X131" i="1"/>
  <c r="AK131" i="1" s="1"/>
  <c r="Y131" i="1"/>
  <c r="Q132" i="1"/>
  <c r="AD132" i="1" s="1"/>
  <c r="S132" i="1"/>
  <c r="AF132" i="1" s="1"/>
  <c r="W132" i="1"/>
  <c r="AJ132" i="1" s="1"/>
  <c r="X132" i="1"/>
  <c r="AK132" i="1" s="1"/>
  <c r="Y132" i="1"/>
  <c r="AL132" i="1" s="1"/>
  <c r="Q133" i="1"/>
  <c r="AD133" i="1" s="1"/>
  <c r="S133" i="1"/>
  <c r="AF133" i="1" s="1"/>
  <c r="W133" i="1"/>
  <c r="AJ133" i="1" s="1"/>
  <c r="X133" i="1"/>
  <c r="AK133" i="1" s="1"/>
  <c r="Y133" i="1"/>
  <c r="AL133" i="1" s="1"/>
  <c r="Q134" i="1"/>
  <c r="AD134" i="1" s="1"/>
  <c r="S134" i="1"/>
  <c r="AF134" i="1" s="1"/>
  <c r="W134" i="1"/>
  <c r="X134" i="1"/>
  <c r="AK134" i="1" s="1"/>
  <c r="Y134" i="1"/>
  <c r="AL134" i="1" s="1"/>
  <c r="Q135" i="1"/>
  <c r="AD135" i="1" s="1"/>
  <c r="S135" i="1"/>
  <c r="AF135" i="1" s="1"/>
  <c r="W135" i="1"/>
  <c r="AJ135" i="1" s="1"/>
  <c r="X135" i="1"/>
  <c r="AK135" i="1" s="1"/>
  <c r="Y135" i="1"/>
  <c r="AL135" i="1" s="1"/>
  <c r="Q136" i="1"/>
  <c r="AD136" i="1" s="1"/>
  <c r="S136" i="1"/>
  <c r="AF136" i="1" s="1"/>
  <c r="W136" i="1"/>
  <c r="AJ136" i="1" s="1"/>
  <c r="X136" i="1"/>
  <c r="AK136" i="1" s="1"/>
  <c r="Y136" i="1"/>
  <c r="AL136" i="1" s="1"/>
  <c r="Q137" i="1"/>
  <c r="AD137" i="1" s="1"/>
  <c r="S137" i="1"/>
  <c r="AF137" i="1" s="1"/>
  <c r="W137" i="1"/>
  <c r="AJ137" i="1" s="1"/>
  <c r="X137" i="1"/>
  <c r="AK137" i="1" s="1"/>
  <c r="Y137" i="1"/>
  <c r="AL137" i="1" s="1"/>
  <c r="Q138" i="1"/>
  <c r="AD138" i="1" s="1"/>
  <c r="S138" i="1"/>
  <c r="AF138" i="1" s="1"/>
  <c r="W138" i="1"/>
  <c r="X138" i="1"/>
  <c r="AK138" i="1" s="1"/>
  <c r="Y138" i="1"/>
  <c r="AL138" i="1" s="1"/>
  <c r="Q139" i="1"/>
  <c r="AD139" i="1" s="1"/>
  <c r="S139" i="1"/>
  <c r="AF139" i="1" s="1"/>
  <c r="W139" i="1"/>
  <c r="AJ139" i="1" s="1"/>
  <c r="X139" i="1"/>
  <c r="AK139" i="1" s="1"/>
  <c r="Y139" i="1"/>
  <c r="Q140" i="1"/>
  <c r="AD140" i="1" s="1"/>
  <c r="S140" i="1"/>
  <c r="AF140" i="1" s="1"/>
  <c r="W140" i="1"/>
  <c r="AJ140" i="1" s="1"/>
  <c r="X140" i="1"/>
  <c r="AK140" i="1" s="1"/>
  <c r="Y140" i="1"/>
  <c r="AL140" i="1" s="1"/>
  <c r="Q141" i="1"/>
  <c r="AD141" i="1" s="1"/>
  <c r="S141" i="1"/>
  <c r="AF141" i="1" s="1"/>
  <c r="W141" i="1"/>
  <c r="AJ141" i="1" s="1"/>
  <c r="X141" i="1"/>
  <c r="AK141" i="1" s="1"/>
  <c r="Y141" i="1"/>
  <c r="AL141" i="1" s="1"/>
  <c r="Q142" i="1"/>
  <c r="AD142" i="1" s="1"/>
  <c r="S142" i="1"/>
  <c r="AF142" i="1" s="1"/>
  <c r="W142" i="1"/>
  <c r="X142" i="1"/>
  <c r="AK142" i="1" s="1"/>
  <c r="Y142" i="1"/>
  <c r="AL142" i="1" s="1"/>
  <c r="Q143" i="1"/>
  <c r="AD143" i="1" s="1"/>
  <c r="S143" i="1"/>
  <c r="AF143" i="1" s="1"/>
  <c r="W143" i="1"/>
  <c r="AJ143" i="1" s="1"/>
  <c r="X143" i="1"/>
  <c r="AK143" i="1" s="1"/>
  <c r="Y143" i="1"/>
  <c r="AL143" i="1" s="1"/>
  <c r="Q144" i="1"/>
  <c r="AD144" i="1" s="1"/>
  <c r="S144" i="1"/>
  <c r="AF144" i="1" s="1"/>
  <c r="W144" i="1"/>
  <c r="AJ144" i="1" s="1"/>
  <c r="X144" i="1"/>
  <c r="AK144" i="1" s="1"/>
  <c r="Y144" i="1"/>
  <c r="AL144" i="1" s="1"/>
  <c r="Q145" i="1"/>
  <c r="AD145" i="1" s="1"/>
  <c r="S145" i="1"/>
  <c r="AF145" i="1" s="1"/>
  <c r="W145" i="1"/>
  <c r="AJ145" i="1" s="1"/>
  <c r="X145" i="1"/>
  <c r="AK145" i="1" s="1"/>
  <c r="Y145" i="1"/>
  <c r="AL145" i="1" s="1"/>
  <c r="Q146" i="1"/>
  <c r="AD146" i="1" s="1"/>
  <c r="S146" i="1"/>
  <c r="AF146" i="1" s="1"/>
  <c r="W146" i="1"/>
  <c r="X146" i="1"/>
  <c r="AK146" i="1" s="1"/>
  <c r="Y146" i="1"/>
  <c r="AL146" i="1" s="1"/>
  <c r="Q147" i="1"/>
  <c r="AD147" i="1" s="1"/>
  <c r="S147" i="1"/>
  <c r="AF147" i="1" s="1"/>
  <c r="W147" i="1"/>
  <c r="AJ147" i="1" s="1"/>
  <c r="X147" i="1"/>
  <c r="AK147" i="1" s="1"/>
  <c r="Y147" i="1"/>
  <c r="Q148" i="1"/>
  <c r="AD148" i="1" s="1"/>
  <c r="S148" i="1"/>
  <c r="AF148" i="1" s="1"/>
  <c r="W148" i="1"/>
  <c r="AJ148" i="1" s="1"/>
  <c r="X148" i="1"/>
  <c r="AK148" i="1" s="1"/>
  <c r="Y148" i="1"/>
  <c r="AL148" i="1" s="1"/>
  <c r="Q149" i="1"/>
  <c r="AD149" i="1" s="1"/>
  <c r="S149" i="1"/>
  <c r="AF149" i="1" s="1"/>
  <c r="W149" i="1"/>
  <c r="AJ149" i="1" s="1"/>
  <c r="X149" i="1"/>
  <c r="AK149" i="1" s="1"/>
  <c r="Y149" i="1"/>
  <c r="AL149" i="1" s="1"/>
  <c r="Q150" i="1"/>
  <c r="AD150" i="1" s="1"/>
  <c r="S150" i="1"/>
  <c r="AF150" i="1" s="1"/>
  <c r="W150" i="1"/>
  <c r="X150" i="1"/>
  <c r="AK150" i="1" s="1"/>
  <c r="Y150" i="1"/>
  <c r="AL150" i="1" s="1"/>
  <c r="Q151" i="1"/>
  <c r="AD151" i="1" s="1"/>
  <c r="S151" i="1"/>
  <c r="AF151" i="1" s="1"/>
  <c r="W151" i="1"/>
  <c r="AJ151" i="1" s="1"/>
  <c r="X151" i="1"/>
  <c r="AK151" i="1" s="1"/>
  <c r="Y151" i="1"/>
  <c r="AL151" i="1" s="1"/>
  <c r="Q152" i="1"/>
  <c r="AD152" i="1" s="1"/>
  <c r="S152" i="1"/>
  <c r="AF152" i="1" s="1"/>
  <c r="W152" i="1"/>
  <c r="AJ152" i="1" s="1"/>
  <c r="X152" i="1"/>
  <c r="AK152" i="1" s="1"/>
  <c r="Y152" i="1"/>
  <c r="AL152" i="1" s="1"/>
  <c r="Q153" i="1"/>
  <c r="AD153" i="1" s="1"/>
  <c r="S153" i="1"/>
  <c r="AF153" i="1" s="1"/>
  <c r="W153" i="1"/>
  <c r="AJ153" i="1" s="1"/>
  <c r="X153" i="1"/>
  <c r="AK153" i="1" s="1"/>
  <c r="Y153" i="1"/>
  <c r="AL153" i="1" s="1"/>
  <c r="Q154" i="1"/>
  <c r="AD154" i="1" s="1"/>
  <c r="S154" i="1"/>
  <c r="AF154" i="1" s="1"/>
  <c r="W154" i="1"/>
  <c r="X154" i="1"/>
  <c r="AK154" i="1" s="1"/>
  <c r="Y154" i="1"/>
  <c r="AL154" i="1" s="1"/>
  <c r="Q155" i="1"/>
  <c r="AD155" i="1" s="1"/>
  <c r="S155" i="1"/>
  <c r="AF155" i="1" s="1"/>
  <c r="W155" i="1"/>
  <c r="AJ155" i="1" s="1"/>
  <c r="X155" i="1"/>
  <c r="AK155" i="1" s="1"/>
  <c r="Y155" i="1"/>
  <c r="Q156" i="1"/>
  <c r="S156" i="1"/>
  <c r="V156" i="1"/>
  <c r="W156" i="1"/>
  <c r="X156" i="1"/>
  <c r="Y156" i="1"/>
  <c r="Q157" i="1"/>
  <c r="S157" i="1"/>
  <c r="V157" i="1"/>
  <c r="W157" i="1"/>
  <c r="X157" i="1"/>
  <c r="Y157" i="1"/>
  <c r="Q158" i="1"/>
  <c r="AD158" i="1" s="1"/>
  <c r="S158" i="1"/>
  <c r="AF158" i="1" s="1"/>
  <c r="W158" i="1"/>
  <c r="X158" i="1"/>
  <c r="AK158" i="1" s="1"/>
  <c r="Y158" i="1"/>
  <c r="AL158" i="1" s="1"/>
  <c r="Q159" i="1"/>
  <c r="AD159" i="1" s="1"/>
  <c r="S159" i="1"/>
  <c r="AF159" i="1" s="1"/>
  <c r="W159" i="1"/>
  <c r="AJ159" i="1" s="1"/>
  <c r="X159" i="1"/>
  <c r="AK159" i="1" s="1"/>
  <c r="Y159" i="1"/>
  <c r="AL159" i="1" s="1"/>
  <c r="Q160" i="1"/>
  <c r="AD160" i="1" s="1"/>
  <c r="S160" i="1"/>
  <c r="AF160" i="1" s="1"/>
  <c r="W160" i="1"/>
  <c r="AJ160" i="1" s="1"/>
  <c r="X160" i="1"/>
  <c r="AK160" i="1" s="1"/>
  <c r="Y160" i="1"/>
  <c r="AL160" i="1" s="1"/>
  <c r="Q161" i="1"/>
  <c r="AD161" i="1" s="1"/>
  <c r="S161" i="1"/>
  <c r="AF161" i="1" s="1"/>
  <c r="W161" i="1"/>
  <c r="AJ161" i="1" s="1"/>
  <c r="X161" i="1"/>
  <c r="AK161" i="1" s="1"/>
  <c r="Y161" i="1"/>
  <c r="AL161" i="1" s="1"/>
  <c r="Q162" i="1"/>
  <c r="AD162" i="1" s="1"/>
  <c r="S162" i="1"/>
  <c r="AF162" i="1" s="1"/>
  <c r="W162" i="1"/>
  <c r="AJ162" i="1" s="1"/>
  <c r="X162" i="1"/>
  <c r="AK162" i="1" s="1"/>
  <c r="Y162" i="1"/>
  <c r="AL162" i="1" s="1"/>
  <c r="Q163" i="1"/>
  <c r="AD163" i="1" s="1"/>
  <c r="S163" i="1"/>
  <c r="AF163" i="1" s="1"/>
  <c r="W163" i="1"/>
  <c r="AJ163" i="1" s="1"/>
  <c r="X163" i="1"/>
  <c r="AK163" i="1" s="1"/>
  <c r="Y163" i="1"/>
  <c r="AL163" i="1" s="1"/>
  <c r="Q164" i="1"/>
  <c r="AD164" i="1" s="1"/>
  <c r="S164" i="1"/>
  <c r="AF164" i="1" s="1"/>
  <c r="W164" i="1"/>
  <c r="AJ164" i="1" s="1"/>
  <c r="X164" i="1"/>
  <c r="AK164" i="1" s="1"/>
  <c r="Y164" i="1"/>
  <c r="AL164" i="1" s="1"/>
  <c r="Q165" i="1"/>
  <c r="AD165" i="1" s="1"/>
  <c r="S165" i="1"/>
  <c r="AF165" i="1" s="1"/>
  <c r="W165" i="1"/>
  <c r="AJ165" i="1" s="1"/>
  <c r="X165" i="1"/>
  <c r="AK165" i="1" s="1"/>
  <c r="Y165" i="1"/>
  <c r="AL165" i="1" s="1"/>
  <c r="Q166" i="1"/>
  <c r="AD166" i="1" s="1"/>
  <c r="S166" i="1"/>
  <c r="AF166" i="1" s="1"/>
  <c r="W166" i="1"/>
  <c r="AJ166" i="1" s="1"/>
  <c r="X166" i="1"/>
  <c r="AK166" i="1" s="1"/>
  <c r="Y166" i="1"/>
  <c r="AL166" i="1" s="1"/>
  <c r="Q167" i="1"/>
  <c r="S167" i="1"/>
  <c r="V167" i="1"/>
  <c r="W167" i="1"/>
  <c r="X167" i="1"/>
  <c r="Y167" i="1"/>
  <c r="Q168" i="1"/>
  <c r="S168" i="1"/>
  <c r="V168" i="1"/>
  <c r="W168" i="1"/>
  <c r="X168" i="1"/>
  <c r="Y168" i="1"/>
  <c r="Q169" i="1"/>
  <c r="AD169" i="1" s="1"/>
  <c r="S169" i="1"/>
  <c r="AF169" i="1" s="1"/>
  <c r="W169" i="1"/>
  <c r="AJ169" i="1" s="1"/>
  <c r="X169" i="1"/>
  <c r="AK169" i="1" s="1"/>
  <c r="Y169" i="1"/>
  <c r="AL169" i="1" s="1"/>
  <c r="Q170" i="1"/>
  <c r="AD170" i="1" s="1"/>
  <c r="S170" i="1"/>
  <c r="AF170" i="1" s="1"/>
  <c r="W170" i="1"/>
  <c r="AJ170" i="1" s="1"/>
  <c r="X170" i="1"/>
  <c r="AK170" i="1" s="1"/>
  <c r="Y170" i="1"/>
  <c r="AL170" i="1" s="1"/>
  <c r="Q171" i="1"/>
  <c r="AD171" i="1" s="1"/>
  <c r="S171" i="1"/>
  <c r="AF171" i="1" s="1"/>
  <c r="W171" i="1"/>
  <c r="AJ171" i="1" s="1"/>
  <c r="X171" i="1"/>
  <c r="AK171" i="1" s="1"/>
  <c r="Y171" i="1"/>
  <c r="AL171" i="1" s="1"/>
  <c r="Q172" i="1"/>
  <c r="AD172" i="1" s="1"/>
  <c r="S172" i="1"/>
  <c r="AF172" i="1" s="1"/>
  <c r="W172" i="1"/>
  <c r="X172" i="1"/>
  <c r="AK172" i="1" s="1"/>
  <c r="Y172" i="1"/>
  <c r="AL172" i="1" s="1"/>
  <c r="Q173" i="1"/>
  <c r="AD173" i="1" s="1"/>
  <c r="S173" i="1"/>
  <c r="AF173" i="1" s="1"/>
  <c r="W173" i="1"/>
  <c r="AJ173" i="1" s="1"/>
  <c r="X173" i="1"/>
  <c r="AK173" i="1" s="1"/>
  <c r="Y173" i="1"/>
  <c r="AL173" i="1" s="1"/>
  <c r="Q174" i="1"/>
  <c r="AD174" i="1" s="1"/>
  <c r="S174" i="1"/>
  <c r="AF174" i="1" s="1"/>
  <c r="W174" i="1"/>
  <c r="AJ174" i="1" s="1"/>
  <c r="X174" i="1"/>
  <c r="AK174" i="1" s="1"/>
  <c r="Y174" i="1"/>
  <c r="AL174" i="1" s="1"/>
  <c r="Q175" i="1"/>
  <c r="AD175" i="1" s="1"/>
  <c r="S175" i="1"/>
  <c r="AF175" i="1" s="1"/>
  <c r="W175" i="1"/>
  <c r="AJ175" i="1" s="1"/>
  <c r="X175" i="1"/>
  <c r="AK175" i="1" s="1"/>
  <c r="Y175" i="1"/>
  <c r="AL175" i="1" s="1"/>
  <c r="Q176" i="1"/>
  <c r="AD176" i="1" s="1"/>
  <c r="S176" i="1"/>
  <c r="AF176" i="1" s="1"/>
  <c r="W176" i="1"/>
  <c r="AJ176" i="1" s="1"/>
  <c r="X176" i="1"/>
  <c r="AK176" i="1" s="1"/>
  <c r="Y176" i="1"/>
  <c r="AL176" i="1" s="1"/>
  <c r="Q177" i="1"/>
  <c r="AD177" i="1" s="1"/>
  <c r="S177" i="1"/>
  <c r="AF177" i="1" s="1"/>
  <c r="W177" i="1"/>
  <c r="AJ177" i="1" s="1"/>
  <c r="X177" i="1"/>
  <c r="AK177" i="1" s="1"/>
  <c r="Y177" i="1"/>
  <c r="AL177" i="1" s="1"/>
  <c r="Q178" i="1"/>
  <c r="AD178" i="1" s="1"/>
  <c r="S178" i="1"/>
  <c r="AF178" i="1" s="1"/>
  <c r="W178" i="1"/>
  <c r="AJ178" i="1" s="1"/>
  <c r="X178" i="1"/>
  <c r="AK178" i="1" s="1"/>
  <c r="Y178" i="1"/>
  <c r="AL178" i="1" s="1"/>
  <c r="Q179" i="1"/>
  <c r="AD179" i="1" s="1"/>
  <c r="S179" i="1"/>
  <c r="AF179" i="1" s="1"/>
  <c r="W179" i="1"/>
  <c r="AJ179" i="1" s="1"/>
  <c r="X179" i="1"/>
  <c r="AK179" i="1" s="1"/>
  <c r="Y179" i="1"/>
  <c r="AL179" i="1" s="1"/>
  <c r="Q180" i="1"/>
  <c r="AD180" i="1" s="1"/>
  <c r="S180" i="1"/>
  <c r="AF180" i="1" s="1"/>
  <c r="W180" i="1"/>
  <c r="AJ180" i="1" s="1"/>
  <c r="X180" i="1"/>
  <c r="AK180" i="1" s="1"/>
  <c r="Y180" i="1"/>
  <c r="AL180" i="1" s="1"/>
  <c r="Q181" i="1"/>
  <c r="AD181" i="1" s="1"/>
  <c r="S181" i="1"/>
  <c r="AF181" i="1" s="1"/>
  <c r="W181" i="1"/>
  <c r="AJ181" i="1" s="1"/>
  <c r="X181" i="1"/>
  <c r="AK181" i="1" s="1"/>
  <c r="Y181" i="1"/>
  <c r="AL181" i="1" s="1"/>
  <c r="Q182" i="1"/>
  <c r="AD182" i="1" s="1"/>
  <c r="S182" i="1"/>
  <c r="AF182" i="1" s="1"/>
  <c r="W182" i="1"/>
  <c r="AJ182" i="1" s="1"/>
  <c r="X182" i="1"/>
  <c r="AK182" i="1" s="1"/>
  <c r="Y182" i="1"/>
  <c r="AL182" i="1" s="1"/>
  <c r="Q183" i="1"/>
  <c r="AD183" i="1" s="1"/>
  <c r="S183" i="1"/>
  <c r="AF183" i="1" s="1"/>
  <c r="W183" i="1"/>
  <c r="AJ183" i="1" s="1"/>
  <c r="X183" i="1"/>
  <c r="AK183" i="1" s="1"/>
  <c r="Y183" i="1"/>
  <c r="Q184" i="1"/>
  <c r="AD184" i="1" s="1"/>
  <c r="S184" i="1"/>
  <c r="AF184" i="1" s="1"/>
  <c r="W184" i="1"/>
  <c r="AJ184" i="1" s="1"/>
  <c r="X184" i="1"/>
  <c r="AK184" i="1" s="1"/>
  <c r="Y184" i="1"/>
  <c r="AL184" i="1" s="1"/>
  <c r="Q185" i="1"/>
  <c r="AD185" i="1" s="1"/>
  <c r="S185" i="1"/>
  <c r="AF185" i="1" s="1"/>
  <c r="W185" i="1"/>
  <c r="AJ185" i="1" s="1"/>
  <c r="X185" i="1"/>
  <c r="AK185" i="1" s="1"/>
  <c r="Y185" i="1"/>
  <c r="AL185" i="1" s="1"/>
  <c r="Q186" i="1"/>
  <c r="AD186" i="1" s="1"/>
  <c r="S186" i="1"/>
  <c r="AF186" i="1" s="1"/>
  <c r="W186" i="1"/>
  <c r="AJ186" i="1" s="1"/>
  <c r="X186" i="1"/>
  <c r="AK186" i="1" s="1"/>
  <c r="Y186" i="1"/>
  <c r="AL186" i="1" s="1"/>
  <c r="Q187" i="1"/>
  <c r="AD187" i="1" s="1"/>
  <c r="S187" i="1"/>
  <c r="AF187" i="1" s="1"/>
  <c r="W187" i="1"/>
  <c r="AJ187" i="1" s="1"/>
  <c r="X187" i="1"/>
  <c r="AK187" i="1" s="1"/>
  <c r="Y187" i="1"/>
  <c r="AL187" i="1" s="1"/>
  <c r="Q188" i="1"/>
  <c r="AD188" i="1" s="1"/>
  <c r="S188" i="1"/>
  <c r="AF188" i="1" s="1"/>
  <c r="W188" i="1"/>
  <c r="AJ188" i="1" s="1"/>
  <c r="X188" i="1"/>
  <c r="AK188" i="1" s="1"/>
  <c r="Y188" i="1"/>
  <c r="AL188" i="1" s="1"/>
  <c r="Q189" i="1"/>
  <c r="AD189" i="1" s="1"/>
  <c r="S189" i="1"/>
  <c r="AF189" i="1" s="1"/>
  <c r="W189" i="1"/>
  <c r="AJ189" i="1" s="1"/>
  <c r="X189" i="1"/>
  <c r="AK189" i="1" s="1"/>
  <c r="Y189" i="1"/>
  <c r="AL189" i="1" s="1"/>
  <c r="Q190" i="1"/>
  <c r="AD190" i="1" s="1"/>
  <c r="S190" i="1"/>
  <c r="AF190" i="1" s="1"/>
  <c r="W190" i="1"/>
  <c r="AJ190" i="1" s="1"/>
  <c r="X190" i="1"/>
  <c r="AK190" i="1" s="1"/>
  <c r="Y190" i="1"/>
  <c r="AL190" i="1" s="1"/>
  <c r="Q191" i="1"/>
  <c r="AD191" i="1" s="1"/>
  <c r="S191" i="1"/>
  <c r="AF191" i="1" s="1"/>
  <c r="W191" i="1"/>
  <c r="AJ191" i="1" s="1"/>
  <c r="X191" i="1"/>
  <c r="AK191" i="1" s="1"/>
  <c r="Y191" i="1"/>
  <c r="AL191" i="1" s="1"/>
  <c r="Q192" i="1"/>
  <c r="AD192" i="1" s="1"/>
  <c r="S192" i="1"/>
  <c r="AF192" i="1" s="1"/>
  <c r="W192" i="1"/>
  <c r="AJ192" i="1" s="1"/>
  <c r="X192" i="1"/>
  <c r="AK192" i="1" s="1"/>
  <c r="Y192" i="1"/>
  <c r="AL192" i="1" s="1"/>
  <c r="Q193" i="1"/>
  <c r="AD193" i="1" s="1"/>
  <c r="S193" i="1"/>
  <c r="AF193" i="1" s="1"/>
  <c r="W193" i="1"/>
  <c r="AJ193" i="1" s="1"/>
  <c r="X193" i="1"/>
  <c r="AK193" i="1" s="1"/>
  <c r="Y193" i="1"/>
  <c r="AL193" i="1" s="1"/>
  <c r="Q194" i="1"/>
  <c r="AD194" i="1" s="1"/>
  <c r="S194" i="1"/>
  <c r="AF194" i="1" s="1"/>
  <c r="W194" i="1"/>
  <c r="AJ194" i="1" s="1"/>
  <c r="X194" i="1"/>
  <c r="AK194" i="1" s="1"/>
  <c r="Y194" i="1"/>
  <c r="AL194" i="1" s="1"/>
  <c r="Q195" i="1"/>
  <c r="AD195" i="1" s="1"/>
  <c r="S195" i="1"/>
  <c r="AF195" i="1" s="1"/>
  <c r="W195" i="1"/>
  <c r="AJ195" i="1" s="1"/>
  <c r="X195" i="1"/>
  <c r="AK195" i="1" s="1"/>
  <c r="Y195" i="1"/>
  <c r="AL195" i="1" s="1"/>
  <c r="Q196" i="1"/>
  <c r="AD196" i="1" s="1"/>
  <c r="S196" i="1"/>
  <c r="AF196" i="1" s="1"/>
  <c r="W196" i="1"/>
  <c r="AJ196" i="1" s="1"/>
  <c r="X196" i="1"/>
  <c r="AK196" i="1" s="1"/>
  <c r="Y196" i="1"/>
  <c r="AL196" i="1" s="1"/>
  <c r="Q197" i="1"/>
  <c r="AD197" i="1" s="1"/>
  <c r="S197" i="1"/>
  <c r="AF197" i="1" s="1"/>
  <c r="W197" i="1"/>
  <c r="AJ197" i="1" s="1"/>
  <c r="X197" i="1"/>
  <c r="AK197" i="1" s="1"/>
  <c r="Y197" i="1"/>
  <c r="AL197" i="1" s="1"/>
  <c r="Q198" i="1"/>
  <c r="AD198" i="1" s="1"/>
  <c r="S198" i="1"/>
  <c r="AF198" i="1" s="1"/>
  <c r="W198" i="1"/>
  <c r="AJ198" i="1" s="1"/>
  <c r="X198" i="1"/>
  <c r="AK198" i="1" s="1"/>
  <c r="Y198" i="1"/>
  <c r="AL198" i="1" s="1"/>
  <c r="Q199" i="1"/>
  <c r="AD199" i="1" s="1"/>
  <c r="S199" i="1"/>
  <c r="AF199" i="1" s="1"/>
  <c r="W199" i="1"/>
  <c r="AJ199" i="1" s="1"/>
  <c r="X199" i="1"/>
  <c r="AK199" i="1" s="1"/>
  <c r="Y199" i="1"/>
  <c r="AL199" i="1" s="1"/>
  <c r="Q200" i="1"/>
  <c r="AD200" i="1" s="1"/>
  <c r="S200" i="1"/>
  <c r="AF200" i="1" s="1"/>
  <c r="W200" i="1"/>
  <c r="AJ200" i="1" s="1"/>
  <c r="X200" i="1"/>
  <c r="AK200" i="1" s="1"/>
  <c r="Y200" i="1"/>
  <c r="AL200" i="1" s="1"/>
  <c r="Q201" i="1"/>
  <c r="AD201" i="1" s="1"/>
  <c r="S201" i="1"/>
  <c r="AF201" i="1" s="1"/>
  <c r="W201" i="1"/>
  <c r="AJ201" i="1" s="1"/>
  <c r="X201" i="1"/>
  <c r="AK201" i="1" s="1"/>
  <c r="Y201" i="1"/>
  <c r="AL201" i="1" s="1"/>
  <c r="Q202" i="1"/>
  <c r="AD202" i="1" s="1"/>
  <c r="S202" i="1"/>
  <c r="AF202" i="1" s="1"/>
  <c r="W202" i="1"/>
  <c r="AJ202" i="1" s="1"/>
  <c r="X202" i="1"/>
  <c r="AK202" i="1" s="1"/>
  <c r="Y202" i="1"/>
  <c r="AL202" i="1" s="1"/>
  <c r="Q203" i="1"/>
  <c r="S203" i="1"/>
  <c r="V203" i="1"/>
  <c r="W203" i="1"/>
  <c r="X203" i="1"/>
  <c r="Y203" i="1"/>
  <c r="Q204" i="1"/>
  <c r="S204" i="1"/>
  <c r="V204" i="1"/>
  <c r="W204" i="1"/>
  <c r="X204" i="1"/>
  <c r="Y204" i="1"/>
  <c r="Q205" i="1"/>
  <c r="S205" i="1"/>
  <c r="V205" i="1"/>
  <c r="W205" i="1"/>
  <c r="X205" i="1"/>
  <c r="Y205" i="1"/>
  <c r="Q206" i="1"/>
  <c r="S206" i="1"/>
  <c r="V206" i="1"/>
  <c r="W206" i="1"/>
  <c r="X206" i="1"/>
  <c r="Y206" i="1"/>
  <c r="Q207" i="1"/>
  <c r="S207" i="1"/>
  <c r="V207" i="1"/>
  <c r="W207" i="1"/>
  <c r="X207" i="1"/>
  <c r="Y207" i="1"/>
  <c r="Q208" i="1"/>
  <c r="S208" i="1"/>
  <c r="V208" i="1"/>
  <c r="W208" i="1"/>
  <c r="X208" i="1"/>
  <c r="Y208" i="1"/>
  <c r="Q209" i="1"/>
  <c r="S209" i="1"/>
  <c r="V209" i="1"/>
  <c r="W209" i="1"/>
  <c r="X209" i="1"/>
  <c r="Y209" i="1"/>
  <c r="Q210" i="1"/>
  <c r="AD210" i="1" s="1"/>
  <c r="S210" i="1"/>
  <c r="AF210" i="1" s="1"/>
  <c r="W210" i="1"/>
  <c r="AJ210" i="1" s="1"/>
  <c r="X210" i="1"/>
  <c r="AK210" i="1" s="1"/>
  <c r="Y210" i="1"/>
  <c r="AL210" i="1" s="1"/>
  <c r="Q211" i="1"/>
  <c r="AD211" i="1" s="1"/>
  <c r="S211" i="1"/>
  <c r="AF211" i="1" s="1"/>
  <c r="W211" i="1"/>
  <c r="AJ211" i="1" s="1"/>
  <c r="X211" i="1"/>
  <c r="AK211" i="1" s="1"/>
  <c r="Y211" i="1"/>
  <c r="AL211" i="1" s="1"/>
  <c r="Q212" i="1"/>
  <c r="AD212" i="1" s="1"/>
  <c r="S212" i="1"/>
  <c r="AF212" i="1" s="1"/>
  <c r="W212" i="1"/>
  <c r="AJ212" i="1" s="1"/>
  <c r="X212" i="1"/>
  <c r="AK212" i="1" s="1"/>
  <c r="Y212" i="1"/>
  <c r="AL212" i="1" s="1"/>
  <c r="Q213" i="1"/>
  <c r="AD213" i="1" s="1"/>
  <c r="S213" i="1"/>
  <c r="AF213" i="1" s="1"/>
  <c r="W213" i="1"/>
  <c r="AJ213" i="1" s="1"/>
  <c r="X213" i="1"/>
  <c r="AK213" i="1" s="1"/>
  <c r="Y213" i="1"/>
  <c r="AL213" i="1" s="1"/>
  <c r="Q214" i="1"/>
  <c r="AD214" i="1" s="1"/>
  <c r="S214" i="1"/>
  <c r="AF214" i="1" s="1"/>
  <c r="W214" i="1"/>
  <c r="AJ214" i="1" s="1"/>
  <c r="X214" i="1"/>
  <c r="AK214" i="1" s="1"/>
  <c r="Y214" i="1"/>
  <c r="AL214" i="1" s="1"/>
  <c r="Q215" i="1"/>
  <c r="S215" i="1"/>
  <c r="AF215" i="1" s="1"/>
  <c r="W215" i="1"/>
  <c r="AJ215" i="1" s="1"/>
  <c r="X215" i="1"/>
  <c r="AK215" i="1" s="1"/>
  <c r="Y215" i="1"/>
  <c r="AL215" i="1" s="1"/>
  <c r="Q216" i="1"/>
  <c r="AD216" i="1" s="1"/>
  <c r="S216" i="1"/>
  <c r="AF216" i="1" s="1"/>
  <c r="W216" i="1"/>
  <c r="AJ216" i="1" s="1"/>
  <c r="X216" i="1"/>
  <c r="AK216" i="1" s="1"/>
  <c r="Y216" i="1"/>
  <c r="AL216" i="1" s="1"/>
  <c r="Q217" i="1"/>
  <c r="AD217" i="1" s="1"/>
  <c r="S217" i="1"/>
  <c r="AF217" i="1" s="1"/>
  <c r="W217" i="1"/>
  <c r="AJ217" i="1" s="1"/>
  <c r="X217" i="1"/>
  <c r="AK217" i="1" s="1"/>
  <c r="Y217" i="1"/>
  <c r="AL217" i="1" s="1"/>
  <c r="Q218" i="1"/>
  <c r="AD218" i="1" s="1"/>
  <c r="S218" i="1"/>
  <c r="AF218" i="1" s="1"/>
  <c r="W218" i="1"/>
  <c r="AJ218" i="1" s="1"/>
  <c r="X218" i="1"/>
  <c r="Y218" i="1"/>
  <c r="AL218" i="1" s="1"/>
  <c r="Q219" i="1"/>
  <c r="AD219" i="1" s="1"/>
  <c r="S219" i="1"/>
  <c r="AF219" i="1" s="1"/>
  <c r="W219" i="1"/>
  <c r="AJ219" i="1" s="1"/>
  <c r="X219" i="1"/>
  <c r="AK219" i="1" s="1"/>
  <c r="Y219" i="1"/>
  <c r="AL219" i="1" s="1"/>
  <c r="Q220" i="1"/>
  <c r="AD220" i="1" s="1"/>
  <c r="S220" i="1"/>
  <c r="AF220" i="1" s="1"/>
  <c r="W220" i="1"/>
  <c r="AJ220" i="1" s="1"/>
  <c r="X220" i="1"/>
  <c r="AK220" i="1" s="1"/>
  <c r="Y220" i="1"/>
  <c r="AL220" i="1" s="1"/>
  <c r="Q221" i="1"/>
  <c r="AD221" i="1" s="1"/>
  <c r="S221" i="1"/>
  <c r="AF221" i="1" s="1"/>
  <c r="W221" i="1"/>
  <c r="AJ221" i="1" s="1"/>
  <c r="X221" i="1"/>
  <c r="AK221" i="1" s="1"/>
  <c r="Y221" i="1"/>
  <c r="AL221" i="1" s="1"/>
  <c r="Q222" i="1"/>
  <c r="AD222" i="1" s="1"/>
  <c r="S222" i="1"/>
  <c r="AF222" i="1" s="1"/>
  <c r="W222" i="1"/>
  <c r="AJ222" i="1" s="1"/>
  <c r="X222" i="1"/>
  <c r="AK222" i="1" s="1"/>
  <c r="Y222" i="1"/>
  <c r="AL222" i="1" s="1"/>
  <c r="Q223" i="1"/>
  <c r="AD223" i="1" s="1"/>
  <c r="S223" i="1"/>
  <c r="AF223" i="1" s="1"/>
  <c r="W223" i="1"/>
  <c r="AJ223" i="1" s="1"/>
  <c r="X223" i="1"/>
  <c r="AK223" i="1" s="1"/>
  <c r="Y223" i="1"/>
  <c r="AL223" i="1" s="1"/>
  <c r="Q224" i="1"/>
  <c r="AD224" i="1" s="1"/>
  <c r="S224" i="1"/>
  <c r="AF224" i="1" s="1"/>
  <c r="W224" i="1"/>
  <c r="AJ224" i="1" s="1"/>
  <c r="X224" i="1"/>
  <c r="AK224" i="1" s="1"/>
  <c r="Y224" i="1"/>
  <c r="AL224" i="1" s="1"/>
  <c r="Q225" i="1"/>
  <c r="AD225" i="1" s="1"/>
  <c r="S225" i="1"/>
  <c r="AF225" i="1" s="1"/>
  <c r="W225" i="1"/>
  <c r="AJ225" i="1" s="1"/>
  <c r="X225" i="1"/>
  <c r="AK225" i="1" s="1"/>
  <c r="Y225" i="1"/>
  <c r="AL225" i="1" s="1"/>
  <c r="Q226" i="1"/>
  <c r="AD226" i="1" s="1"/>
  <c r="S226" i="1"/>
  <c r="AF226" i="1" s="1"/>
  <c r="W226" i="1"/>
  <c r="AJ226" i="1" s="1"/>
  <c r="X226" i="1"/>
  <c r="AK226" i="1" s="1"/>
  <c r="Y226" i="1"/>
  <c r="AL226" i="1" s="1"/>
  <c r="Q227" i="1"/>
  <c r="AD227" i="1" s="1"/>
  <c r="S227" i="1"/>
  <c r="AF227" i="1" s="1"/>
  <c r="W227" i="1"/>
  <c r="AJ227" i="1" s="1"/>
  <c r="X227" i="1"/>
  <c r="AK227" i="1" s="1"/>
  <c r="Y227" i="1"/>
  <c r="AL227" i="1" s="1"/>
  <c r="Q228" i="1"/>
  <c r="AD228" i="1" s="1"/>
  <c r="S228" i="1"/>
  <c r="AF228" i="1" s="1"/>
  <c r="W228" i="1"/>
  <c r="AJ228" i="1" s="1"/>
  <c r="X228" i="1"/>
  <c r="AK228" i="1" s="1"/>
  <c r="Y228" i="1"/>
  <c r="AL228" i="1" s="1"/>
  <c r="Q229" i="1"/>
  <c r="AD229" i="1" s="1"/>
  <c r="S229" i="1"/>
  <c r="AF229" i="1" s="1"/>
  <c r="W229" i="1"/>
  <c r="AJ229" i="1" s="1"/>
  <c r="X229" i="1"/>
  <c r="AK229" i="1" s="1"/>
  <c r="Y229" i="1"/>
  <c r="AL229" i="1" s="1"/>
  <c r="Q230" i="1"/>
  <c r="AD230" i="1" s="1"/>
  <c r="S230" i="1"/>
  <c r="AF230" i="1" s="1"/>
  <c r="W230" i="1"/>
  <c r="AJ230" i="1" s="1"/>
  <c r="X230" i="1"/>
  <c r="AK230" i="1" s="1"/>
  <c r="Y230" i="1"/>
  <c r="AL230" i="1" s="1"/>
  <c r="Q231" i="1"/>
  <c r="AD231" i="1" s="1"/>
  <c r="S231" i="1"/>
  <c r="AF231" i="1" s="1"/>
  <c r="W231" i="1"/>
  <c r="AJ231" i="1" s="1"/>
  <c r="X231" i="1"/>
  <c r="AK231" i="1" s="1"/>
  <c r="Y231" i="1"/>
  <c r="AL231" i="1" s="1"/>
  <c r="Q232" i="1"/>
  <c r="AD232" i="1" s="1"/>
  <c r="S232" i="1"/>
  <c r="AF232" i="1" s="1"/>
  <c r="W232" i="1"/>
  <c r="AJ232" i="1" s="1"/>
  <c r="X232" i="1"/>
  <c r="AK232" i="1" s="1"/>
  <c r="Y232" i="1"/>
  <c r="AL232" i="1" s="1"/>
  <c r="Q233" i="1"/>
  <c r="AD233" i="1" s="1"/>
  <c r="S233" i="1"/>
  <c r="AF233" i="1" s="1"/>
  <c r="W233" i="1"/>
  <c r="AJ233" i="1" s="1"/>
  <c r="X233" i="1"/>
  <c r="AK233" i="1" s="1"/>
  <c r="Y233" i="1"/>
  <c r="AL233" i="1" s="1"/>
  <c r="Q234" i="1"/>
  <c r="AD234" i="1" s="1"/>
  <c r="S234" i="1"/>
  <c r="AF234" i="1" s="1"/>
  <c r="W234" i="1"/>
  <c r="AJ234" i="1" s="1"/>
  <c r="X234" i="1"/>
  <c r="AK234" i="1" s="1"/>
  <c r="Y234" i="1"/>
  <c r="AL234" i="1" s="1"/>
  <c r="Q235" i="1"/>
  <c r="AD235" i="1" s="1"/>
  <c r="S235" i="1"/>
  <c r="AF235" i="1" s="1"/>
  <c r="W235" i="1"/>
  <c r="AJ235" i="1" s="1"/>
  <c r="X235" i="1"/>
  <c r="AK235" i="1" s="1"/>
  <c r="Y235" i="1"/>
  <c r="AL235" i="1" s="1"/>
  <c r="Q236" i="1"/>
  <c r="AD236" i="1" s="1"/>
  <c r="S236" i="1"/>
  <c r="AF236" i="1" s="1"/>
  <c r="W236" i="1"/>
  <c r="AJ236" i="1" s="1"/>
  <c r="X236" i="1"/>
  <c r="AK236" i="1" s="1"/>
  <c r="Y236" i="1"/>
  <c r="AL236" i="1" s="1"/>
  <c r="Q237" i="1"/>
  <c r="AD237" i="1" s="1"/>
  <c r="S237" i="1"/>
  <c r="AF237" i="1" s="1"/>
  <c r="W237" i="1"/>
  <c r="AJ237" i="1" s="1"/>
  <c r="X237" i="1"/>
  <c r="AK237" i="1" s="1"/>
  <c r="Y237" i="1"/>
  <c r="AL237" i="1" s="1"/>
  <c r="Q238" i="1"/>
  <c r="AD238" i="1" s="1"/>
  <c r="S238" i="1"/>
  <c r="AF238" i="1" s="1"/>
  <c r="W238" i="1"/>
  <c r="AJ238" i="1" s="1"/>
  <c r="X238" i="1"/>
  <c r="AK238" i="1" s="1"/>
  <c r="Y238" i="1"/>
  <c r="AL238" i="1" s="1"/>
  <c r="Q239" i="1"/>
  <c r="AD239" i="1" s="1"/>
  <c r="S239" i="1"/>
  <c r="AF239" i="1" s="1"/>
  <c r="W239" i="1"/>
  <c r="AJ239" i="1" s="1"/>
  <c r="X239" i="1"/>
  <c r="AK239" i="1" s="1"/>
  <c r="Y239" i="1"/>
  <c r="AL239" i="1" s="1"/>
  <c r="Q240" i="1"/>
  <c r="AD240" i="1" s="1"/>
  <c r="S240" i="1"/>
  <c r="AF240" i="1" s="1"/>
  <c r="W240" i="1"/>
  <c r="AJ240" i="1" s="1"/>
  <c r="X240" i="1"/>
  <c r="AK240" i="1" s="1"/>
  <c r="Y240" i="1"/>
  <c r="AL240" i="1" s="1"/>
  <c r="Q241" i="1"/>
  <c r="AD241" i="1" s="1"/>
  <c r="S241" i="1"/>
  <c r="AF241" i="1" s="1"/>
  <c r="W241" i="1"/>
  <c r="AJ241" i="1" s="1"/>
  <c r="X241" i="1"/>
  <c r="AK241" i="1" s="1"/>
  <c r="Y241" i="1"/>
  <c r="AL241" i="1" s="1"/>
  <c r="Q242" i="1"/>
  <c r="AD242" i="1" s="1"/>
  <c r="S242" i="1"/>
  <c r="AF242" i="1" s="1"/>
  <c r="W242" i="1"/>
  <c r="AJ242" i="1" s="1"/>
  <c r="X242" i="1"/>
  <c r="AK242" i="1" s="1"/>
  <c r="Y242" i="1"/>
  <c r="AL242" i="1" s="1"/>
  <c r="Q243" i="1"/>
  <c r="AD243" i="1" s="1"/>
  <c r="S243" i="1"/>
  <c r="AF243" i="1" s="1"/>
  <c r="W243" i="1"/>
  <c r="AJ243" i="1" s="1"/>
  <c r="X243" i="1"/>
  <c r="AK243" i="1" s="1"/>
  <c r="Y243" i="1"/>
  <c r="AL243" i="1" s="1"/>
  <c r="Q244" i="1"/>
  <c r="AD244" i="1" s="1"/>
  <c r="S244" i="1"/>
  <c r="AF244" i="1" s="1"/>
  <c r="W244" i="1"/>
  <c r="AJ244" i="1" s="1"/>
  <c r="X244" i="1"/>
  <c r="AK244" i="1" s="1"/>
  <c r="Y244" i="1"/>
  <c r="AL244" i="1" s="1"/>
  <c r="Q245" i="1"/>
  <c r="AD245" i="1" s="1"/>
  <c r="S245" i="1"/>
  <c r="AF245" i="1" s="1"/>
  <c r="W245" i="1"/>
  <c r="AJ245" i="1" s="1"/>
  <c r="X245" i="1"/>
  <c r="AK245" i="1" s="1"/>
  <c r="Y245" i="1"/>
  <c r="AL245" i="1" s="1"/>
  <c r="Q246" i="1"/>
  <c r="AD246" i="1" s="1"/>
  <c r="S246" i="1"/>
  <c r="AF246" i="1" s="1"/>
  <c r="W246" i="1"/>
  <c r="AJ246" i="1" s="1"/>
  <c r="X246" i="1"/>
  <c r="AK246" i="1" s="1"/>
  <c r="Y246" i="1"/>
  <c r="AL246" i="1" s="1"/>
  <c r="Q247" i="1"/>
  <c r="AD247" i="1" s="1"/>
  <c r="S247" i="1"/>
  <c r="AF247" i="1" s="1"/>
  <c r="W247" i="1"/>
  <c r="AJ247" i="1" s="1"/>
  <c r="X247" i="1"/>
  <c r="AK247" i="1" s="1"/>
  <c r="Y247" i="1"/>
  <c r="AL247" i="1" s="1"/>
  <c r="Q248" i="1"/>
  <c r="AD248" i="1" s="1"/>
  <c r="S248" i="1"/>
  <c r="AF248" i="1" s="1"/>
  <c r="W248" i="1"/>
  <c r="AJ248" i="1" s="1"/>
  <c r="X248" i="1"/>
  <c r="AK248" i="1" s="1"/>
  <c r="Y248" i="1"/>
  <c r="AL248" i="1" s="1"/>
  <c r="Q249" i="1"/>
  <c r="AD249" i="1" s="1"/>
  <c r="S249" i="1"/>
  <c r="AF249" i="1" s="1"/>
  <c r="W249" i="1"/>
  <c r="AJ249" i="1" s="1"/>
  <c r="X249" i="1"/>
  <c r="AK249" i="1" s="1"/>
  <c r="Y249" i="1"/>
  <c r="AL249" i="1" s="1"/>
  <c r="Q250" i="1"/>
  <c r="AD250" i="1" s="1"/>
  <c r="S250" i="1"/>
  <c r="AF250" i="1" s="1"/>
  <c r="W250" i="1"/>
  <c r="AJ250" i="1" s="1"/>
  <c r="X250" i="1"/>
  <c r="AK250" i="1" s="1"/>
  <c r="Y250" i="1"/>
  <c r="AL250" i="1" s="1"/>
  <c r="Q251" i="1"/>
  <c r="AD251" i="1" s="1"/>
  <c r="S251" i="1"/>
  <c r="AF251" i="1" s="1"/>
  <c r="W251" i="1"/>
  <c r="AJ251" i="1" s="1"/>
  <c r="X251" i="1"/>
  <c r="AK251" i="1" s="1"/>
  <c r="Y251" i="1"/>
  <c r="AL251" i="1" s="1"/>
  <c r="Q252" i="1"/>
  <c r="AD252" i="1" s="1"/>
  <c r="S252" i="1"/>
  <c r="AF252" i="1" s="1"/>
  <c r="W252" i="1"/>
  <c r="AJ252" i="1" s="1"/>
  <c r="X252" i="1"/>
  <c r="AK252" i="1" s="1"/>
  <c r="Y252" i="1"/>
  <c r="AL252" i="1" s="1"/>
  <c r="Q253" i="1"/>
  <c r="AD253" i="1" s="1"/>
  <c r="S253" i="1"/>
  <c r="AF253" i="1" s="1"/>
  <c r="W253" i="1"/>
  <c r="AJ253" i="1" s="1"/>
  <c r="X253" i="1"/>
  <c r="AK253" i="1" s="1"/>
  <c r="Y253" i="1"/>
  <c r="AL253" i="1" s="1"/>
  <c r="Q254" i="1"/>
  <c r="AD254" i="1" s="1"/>
  <c r="S254" i="1"/>
  <c r="AF254" i="1" s="1"/>
  <c r="W254" i="1"/>
  <c r="AJ254" i="1" s="1"/>
  <c r="X254" i="1"/>
  <c r="AK254" i="1" s="1"/>
  <c r="Y254" i="1"/>
  <c r="AL254" i="1" s="1"/>
  <c r="Q255" i="1"/>
  <c r="AD255" i="1" s="1"/>
  <c r="S255" i="1"/>
  <c r="AF255" i="1" s="1"/>
  <c r="W255" i="1"/>
  <c r="AJ255" i="1" s="1"/>
  <c r="X255" i="1"/>
  <c r="AK255" i="1" s="1"/>
  <c r="Y255" i="1"/>
  <c r="AL255" i="1" s="1"/>
  <c r="Q256" i="1"/>
  <c r="AD256" i="1" s="1"/>
  <c r="S256" i="1"/>
  <c r="AF256" i="1" s="1"/>
  <c r="W256" i="1"/>
  <c r="AJ256" i="1" s="1"/>
  <c r="X256" i="1"/>
  <c r="AK256" i="1" s="1"/>
  <c r="Y256" i="1"/>
  <c r="AL256" i="1" s="1"/>
  <c r="Q257" i="1"/>
  <c r="AD257" i="1" s="1"/>
  <c r="S257" i="1"/>
  <c r="AF257" i="1" s="1"/>
  <c r="W257" i="1"/>
  <c r="AJ257" i="1" s="1"/>
  <c r="X257" i="1"/>
  <c r="AK257" i="1" s="1"/>
  <c r="Y257" i="1"/>
  <c r="AL257" i="1" s="1"/>
  <c r="Q258" i="1"/>
  <c r="AD258" i="1" s="1"/>
  <c r="S258" i="1"/>
  <c r="AF258" i="1" s="1"/>
  <c r="W258" i="1"/>
  <c r="AJ258" i="1" s="1"/>
  <c r="X258" i="1"/>
  <c r="AK258" i="1" s="1"/>
  <c r="Y258" i="1"/>
  <c r="AL258" i="1" s="1"/>
  <c r="Q259" i="1"/>
  <c r="AD259" i="1" s="1"/>
  <c r="S259" i="1"/>
  <c r="AF259" i="1" s="1"/>
  <c r="W259" i="1"/>
  <c r="AJ259" i="1" s="1"/>
  <c r="X259" i="1"/>
  <c r="AK259" i="1" s="1"/>
  <c r="Y259" i="1"/>
  <c r="AL259" i="1" s="1"/>
  <c r="Q260" i="1"/>
  <c r="AD260" i="1" s="1"/>
  <c r="S260" i="1"/>
  <c r="AF260" i="1" s="1"/>
  <c r="W260" i="1"/>
  <c r="AJ260" i="1" s="1"/>
  <c r="X260" i="1"/>
  <c r="AK260" i="1" s="1"/>
  <c r="Y260" i="1"/>
  <c r="AL260" i="1" s="1"/>
  <c r="Q261" i="1"/>
  <c r="AD261" i="1" s="1"/>
  <c r="S261" i="1"/>
  <c r="AF261" i="1" s="1"/>
  <c r="W261" i="1"/>
  <c r="AJ261" i="1" s="1"/>
  <c r="X261" i="1"/>
  <c r="AK261" i="1" s="1"/>
  <c r="Y261" i="1"/>
  <c r="AL261" i="1" s="1"/>
  <c r="Q262" i="1"/>
  <c r="AD262" i="1" s="1"/>
  <c r="S262" i="1"/>
  <c r="AF262" i="1" s="1"/>
  <c r="W262" i="1"/>
  <c r="AJ262" i="1" s="1"/>
  <c r="X262" i="1"/>
  <c r="AK262" i="1" s="1"/>
  <c r="Y262" i="1"/>
  <c r="AL262" i="1" s="1"/>
  <c r="Q263" i="1"/>
  <c r="AD263" i="1" s="1"/>
  <c r="S263" i="1"/>
  <c r="AF263" i="1" s="1"/>
  <c r="W263" i="1"/>
  <c r="AJ263" i="1" s="1"/>
  <c r="X263" i="1"/>
  <c r="AK263" i="1" s="1"/>
  <c r="Y263" i="1"/>
  <c r="AL263" i="1" s="1"/>
  <c r="Q264" i="1"/>
  <c r="AD264" i="1" s="1"/>
  <c r="S264" i="1"/>
  <c r="AF264" i="1" s="1"/>
  <c r="W264" i="1"/>
  <c r="AJ264" i="1" s="1"/>
  <c r="X264" i="1"/>
  <c r="AK264" i="1" s="1"/>
  <c r="Y264" i="1"/>
  <c r="AL264" i="1" s="1"/>
  <c r="Q265" i="1"/>
  <c r="AD265" i="1" s="1"/>
  <c r="S265" i="1"/>
  <c r="AF265" i="1" s="1"/>
  <c r="W265" i="1"/>
  <c r="AJ265" i="1" s="1"/>
  <c r="X265" i="1"/>
  <c r="AK265" i="1" s="1"/>
  <c r="Y265" i="1"/>
  <c r="AL265" i="1" s="1"/>
  <c r="Q266" i="1"/>
  <c r="AD266" i="1" s="1"/>
  <c r="S266" i="1"/>
  <c r="AF266" i="1" s="1"/>
  <c r="W266" i="1"/>
  <c r="AJ266" i="1" s="1"/>
  <c r="X266" i="1"/>
  <c r="AK266" i="1" s="1"/>
  <c r="Y266" i="1"/>
  <c r="AL266" i="1" s="1"/>
  <c r="Q267" i="1"/>
  <c r="AD267" i="1" s="1"/>
  <c r="S267" i="1"/>
  <c r="AF267" i="1" s="1"/>
  <c r="W267" i="1"/>
  <c r="AJ267" i="1" s="1"/>
  <c r="X267" i="1"/>
  <c r="AK267" i="1" s="1"/>
  <c r="Y267" i="1"/>
  <c r="AL267" i="1" s="1"/>
  <c r="Q268" i="1"/>
  <c r="AD268" i="1" s="1"/>
  <c r="S268" i="1"/>
  <c r="AF268" i="1" s="1"/>
  <c r="W268" i="1"/>
  <c r="AJ268" i="1" s="1"/>
  <c r="X268" i="1"/>
  <c r="AK268" i="1" s="1"/>
  <c r="Y268" i="1"/>
  <c r="AL268" i="1" s="1"/>
  <c r="Q269" i="1"/>
  <c r="AD269" i="1" s="1"/>
  <c r="S269" i="1"/>
  <c r="AF269" i="1" s="1"/>
  <c r="W269" i="1"/>
  <c r="AJ269" i="1" s="1"/>
  <c r="X269" i="1"/>
  <c r="AK269" i="1" s="1"/>
  <c r="Y269" i="1"/>
  <c r="AL269" i="1" s="1"/>
  <c r="Q270" i="1"/>
  <c r="AD270" i="1" s="1"/>
  <c r="S270" i="1"/>
  <c r="AF270" i="1" s="1"/>
  <c r="W270" i="1"/>
  <c r="AJ270" i="1" s="1"/>
  <c r="X270" i="1"/>
  <c r="AK270" i="1" s="1"/>
  <c r="Y270" i="1"/>
  <c r="AL270" i="1" s="1"/>
  <c r="Q271" i="1"/>
  <c r="AD271" i="1" s="1"/>
  <c r="S271" i="1"/>
  <c r="AF271" i="1" s="1"/>
  <c r="W271" i="1"/>
  <c r="AJ271" i="1" s="1"/>
  <c r="X271" i="1"/>
  <c r="AK271" i="1" s="1"/>
  <c r="Y271" i="1"/>
  <c r="AL271" i="1" s="1"/>
  <c r="Q272" i="1"/>
  <c r="AD272" i="1" s="1"/>
  <c r="S272" i="1"/>
  <c r="AF272" i="1" s="1"/>
  <c r="W272" i="1"/>
  <c r="AJ272" i="1" s="1"/>
  <c r="X272" i="1"/>
  <c r="AK272" i="1" s="1"/>
  <c r="Y272" i="1"/>
  <c r="AL272" i="1" s="1"/>
  <c r="Q273" i="1"/>
  <c r="AD273" i="1" s="1"/>
  <c r="S273" i="1"/>
  <c r="AF273" i="1" s="1"/>
  <c r="W273" i="1"/>
  <c r="X273" i="1"/>
  <c r="AK273" i="1" s="1"/>
  <c r="Y273" i="1"/>
  <c r="AL273" i="1" s="1"/>
  <c r="Q274" i="1"/>
  <c r="AD274" i="1" s="1"/>
  <c r="S274" i="1"/>
  <c r="AF274" i="1" s="1"/>
  <c r="W274" i="1"/>
  <c r="AJ274" i="1" s="1"/>
  <c r="X274" i="1"/>
  <c r="AK274" i="1" s="1"/>
  <c r="Y274" i="1"/>
  <c r="AL274" i="1" s="1"/>
  <c r="Q275" i="1"/>
  <c r="AD275" i="1" s="1"/>
  <c r="S275" i="1"/>
  <c r="AF275" i="1" s="1"/>
  <c r="W275" i="1"/>
  <c r="AJ275" i="1" s="1"/>
  <c r="X275" i="1"/>
  <c r="AK275" i="1" s="1"/>
  <c r="Y275" i="1"/>
  <c r="Q276" i="1"/>
  <c r="AD276" i="1" s="1"/>
  <c r="S276" i="1"/>
  <c r="AF276" i="1" s="1"/>
  <c r="W276" i="1"/>
  <c r="AJ276" i="1" s="1"/>
  <c r="X276" i="1"/>
  <c r="AK276" i="1" s="1"/>
  <c r="Y276" i="1"/>
  <c r="AL276" i="1" s="1"/>
  <c r="Q277" i="1"/>
  <c r="AD277" i="1" s="1"/>
  <c r="S277" i="1"/>
  <c r="AF277" i="1" s="1"/>
  <c r="W277" i="1"/>
  <c r="AJ277" i="1" s="1"/>
  <c r="X277" i="1"/>
  <c r="AK277" i="1" s="1"/>
  <c r="Y277" i="1"/>
  <c r="AL277" i="1" s="1"/>
  <c r="Q278" i="1"/>
  <c r="AD278" i="1" s="1"/>
  <c r="S278" i="1"/>
  <c r="AF278" i="1" s="1"/>
  <c r="W278" i="1"/>
  <c r="AJ278" i="1" s="1"/>
  <c r="X278" i="1"/>
  <c r="AK278" i="1" s="1"/>
  <c r="Y278" i="1"/>
  <c r="AL278" i="1" s="1"/>
  <c r="Q279" i="1"/>
  <c r="AD279" i="1" s="1"/>
  <c r="S279" i="1"/>
  <c r="AF279" i="1" s="1"/>
  <c r="W279" i="1"/>
  <c r="AJ279" i="1" s="1"/>
  <c r="X279" i="1"/>
  <c r="AK279" i="1" s="1"/>
  <c r="Y279" i="1"/>
  <c r="AL279" i="1" s="1"/>
  <c r="Q280" i="1"/>
  <c r="AD280" i="1" s="1"/>
  <c r="S280" i="1"/>
  <c r="AF280" i="1" s="1"/>
  <c r="W280" i="1"/>
  <c r="AJ280" i="1" s="1"/>
  <c r="X280" i="1"/>
  <c r="AK280" i="1" s="1"/>
  <c r="Y280" i="1"/>
  <c r="AL280" i="1" s="1"/>
  <c r="Q281" i="1"/>
  <c r="AD281" i="1" s="1"/>
  <c r="S281" i="1"/>
  <c r="AF281" i="1" s="1"/>
  <c r="W281" i="1"/>
  <c r="AJ281" i="1" s="1"/>
  <c r="X281" i="1"/>
  <c r="AK281" i="1" s="1"/>
  <c r="Y281" i="1"/>
  <c r="AL281" i="1" s="1"/>
  <c r="Q282" i="1"/>
  <c r="AD282" i="1" s="1"/>
  <c r="S282" i="1"/>
  <c r="AF282" i="1" s="1"/>
  <c r="W282" i="1"/>
  <c r="AJ282" i="1" s="1"/>
  <c r="X282" i="1"/>
  <c r="AK282" i="1" s="1"/>
  <c r="Y282" i="1"/>
  <c r="AL282" i="1" s="1"/>
  <c r="Q283" i="1"/>
  <c r="AD283" i="1" s="1"/>
  <c r="S283" i="1"/>
  <c r="AF283" i="1" s="1"/>
  <c r="W283" i="1"/>
  <c r="AJ283" i="1" s="1"/>
  <c r="X283" i="1"/>
  <c r="AK283" i="1" s="1"/>
  <c r="Y283" i="1"/>
  <c r="AL283" i="1" s="1"/>
  <c r="Q284" i="1"/>
  <c r="AD284" i="1" s="1"/>
  <c r="S284" i="1"/>
  <c r="AF284" i="1" s="1"/>
  <c r="W284" i="1"/>
  <c r="AJ284" i="1" s="1"/>
  <c r="X284" i="1"/>
  <c r="AK284" i="1" s="1"/>
  <c r="Y284" i="1"/>
  <c r="AL284" i="1" s="1"/>
  <c r="Q285" i="1"/>
  <c r="AD285" i="1" s="1"/>
  <c r="S285" i="1"/>
  <c r="AF285" i="1" s="1"/>
  <c r="W285" i="1"/>
  <c r="AJ285" i="1" s="1"/>
  <c r="X285" i="1"/>
  <c r="AK285" i="1" s="1"/>
  <c r="Y285" i="1"/>
  <c r="AL285" i="1" s="1"/>
  <c r="Q286" i="1"/>
  <c r="AD286" i="1" s="1"/>
  <c r="S286" i="1"/>
  <c r="AF286" i="1" s="1"/>
  <c r="W286" i="1"/>
  <c r="AJ286" i="1" s="1"/>
  <c r="X286" i="1"/>
  <c r="AK286" i="1" s="1"/>
  <c r="Y286" i="1"/>
  <c r="AL286" i="1" s="1"/>
  <c r="Q287" i="1"/>
  <c r="AD287" i="1" s="1"/>
  <c r="S287" i="1"/>
  <c r="AF287" i="1" s="1"/>
  <c r="W287" i="1"/>
  <c r="AJ287" i="1" s="1"/>
  <c r="X287" i="1"/>
  <c r="AK287" i="1" s="1"/>
  <c r="Y287" i="1"/>
  <c r="AL287" i="1" s="1"/>
  <c r="Q288" i="1"/>
  <c r="AD288" i="1" s="1"/>
  <c r="S288" i="1"/>
  <c r="AF288" i="1" s="1"/>
  <c r="W288" i="1"/>
  <c r="AJ288" i="1" s="1"/>
  <c r="X288" i="1"/>
  <c r="AK288" i="1" s="1"/>
  <c r="Y288" i="1"/>
  <c r="AL288" i="1" s="1"/>
  <c r="Q289" i="1"/>
  <c r="AD289" i="1" s="1"/>
  <c r="S289" i="1"/>
  <c r="AF289" i="1" s="1"/>
  <c r="W289" i="1"/>
  <c r="AJ289" i="1" s="1"/>
  <c r="X289" i="1"/>
  <c r="AK289" i="1" s="1"/>
  <c r="Y289" i="1"/>
  <c r="AL289" i="1" s="1"/>
  <c r="Q290" i="1"/>
  <c r="AD290" i="1" s="1"/>
  <c r="S290" i="1"/>
  <c r="AF290" i="1" s="1"/>
  <c r="W290" i="1"/>
  <c r="AJ290" i="1" s="1"/>
  <c r="X290" i="1"/>
  <c r="AK290" i="1" s="1"/>
  <c r="Y290" i="1"/>
  <c r="AL290" i="1" s="1"/>
  <c r="Q291" i="1"/>
  <c r="AD291" i="1" s="1"/>
  <c r="S291" i="1"/>
  <c r="AF291" i="1" s="1"/>
  <c r="W291" i="1"/>
  <c r="AJ291" i="1" s="1"/>
  <c r="X291" i="1"/>
  <c r="AK291" i="1" s="1"/>
  <c r="Y291" i="1"/>
  <c r="AL291" i="1" s="1"/>
  <c r="Q292" i="1"/>
  <c r="AD292" i="1" s="1"/>
  <c r="S292" i="1"/>
  <c r="AF292" i="1" s="1"/>
  <c r="W292" i="1"/>
  <c r="AJ292" i="1" s="1"/>
  <c r="X292" i="1"/>
  <c r="AK292" i="1" s="1"/>
  <c r="Y292" i="1"/>
  <c r="AL292" i="1" s="1"/>
  <c r="Q293" i="1"/>
  <c r="AD293" i="1" s="1"/>
  <c r="S293" i="1"/>
  <c r="AF293" i="1" s="1"/>
  <c r="W293" i="1"/>
  <c r="AJ293" i="1" s="1"/>
  <c r="X293" i="1"/>
  <c r="AK293" i="1" s="1"/>
  <c r="Y293" i="1"/>
  <c r="AL293" i="1" s="1"/>
  <c r="Q294" i="1"/>
  <c r="AD294" i="1" s="1"/>
  <c r="S294" i="1"/>
  <c r="AF294" i="1" s="1"/>
  <c r="W294" i="1"/>
  <c r="AJ294" i="1" s="1"/>
  <c r="X294" i="1"/>
  <c r="AK294" i="1" s="1"/>
  <c r="Y294" i="1"/>
  <c r="AL294" i="1" s="1"/>
  <c r="Q295" i="1"/>
  <c r="AD295" i="1" s="1"/>
  <c r="S295" i="1"/>
  <c r="AF295" i="1" s="1"/>
  <c r="W295" i="1"/>
  <c r="AJ295" i="1" s="1"/>
  <c r="X295" i="1"/>
  <c r="AK295" i="1" s="1"/>
  <c r="Y295" i="1"/>
  <c r="AL295" i="1" s="1"/>
  <c r="Q296" i="1"/>
  <c r="AD296" i="1" s="1"/>
  <c r="S296" i="1"/>
  <c r="AF296" i="1" s="1"/>
  <c r="W296" i="1"/>
  <c r="AJ296" i="1" s="1"/>
  <c r="X296" i="1"/>
  <c r="AK296" i="1" s="1"/>
  <c r="Y296" i="1"/>
  <c r="AL296" i="1" s="1"/>
  <c r="Q297" i="1"/>
  <c r="AD297" i="1" s="1"/>
  <c r="S297" i="1"/>
  <c r="AF297" i="1" s="1"/>
  <c r="W297" i="1"/>
  <c r="AJ297" i="1" s="1"/>
  <c r="X297" i="1"/>
  <c r="AK297" i="1" s="1"/>
  <c r="Y297" i="1"/>
  <c r="AL297" i="1" s="1"/>
  <c r="Q298" i="1"/>
  <c r="AD298" i="1" s="1"/>
  <c r="S298" i="1"/>
  <c r="AF298" i="1" s="1"/>
  <c r="W298" i="1"/>
  <c r="AJ298" i="1" s="1"/>
  <c r="X298" i="1"/>
  <c r="AK298" i="1" s="1"/>
  <c r="Y298" i="1"/>
  <c r="AL298" i="1" s="1"/>
  <c r="Q299" i="1"/>
  <c r="AD299" i="1" s="1"/>
  <c r="S299" i="1"/>
  <c r="AF299" i="1" s="1"/>
  <c r="W299" i="1"/>
  <c r="AJ299" i="1" s="1"/>
  <c r="X299" i="1"/>
  <c r="AK299" i="1" s="1"/>
  <c r="Y299" i="1"/>
  <c r="AL299" i="1" s="1"/>
  <c r="Q300" i="1"/>
  <c r="AD300" i="1" s="1"/>
  <c r="S300" i="1"/>
  <c r="AF300" i="1" s="1"/>
  <c r="W300" i="1"/>
  <c r="AJ300" i="1" s="1"/>
  <c r="X300" i="1"/>
  <c r="AK300" i="1" s="1"/>
  <c r="Y300" i="1"/>
  <c r="AL300" i="1" s="1"/>
  <c r="Q301" i="1"/>
  <c r="AD301" i="1" s="1"/>
  <c r="S301" i="1"/>
  <c r="AF301" i="1" s="1"/>
  <c r="W301" i="1"/>
  <c r="AJ301" i="1" s="1"/>
  <c r="X301" i="1"/>
  <c r="AK301" i="1" s="1"/>
  <c r="Y301" i="1"/>
  <c r="AL301" i="1" s="1"/>
  <c r="Q302" i="1"/>
  <c r="AD302" i="1" s="1"/>
  <c r="S302" i="1"/>
  <c r="AF302" i="1" s="1"/>
  <c r="W302" i="1"/>
  <c r="AJ302" i="1" s="1"/>
  <c r="X302" i="1"/>
  <c r="AK302" i="1" s="1"/>
  <c r="Y302" i="1"/>
  <c r="AL302" i="1" s="1"/>
  <c r="Q303" i="1"/>
  <c r="AD303" i="1" s="1"/>
  <c r="S303" i="1"/>
  <c r="AF303" i="1" s="1"/>
  <c r="W303" i="1"/>
  <c r="AJ303" i="1" s="1"/>
  <c r="X303" i="1"/>
  <c r="AK303" i="1" s="1"/>
  <c r="Y303" i="1"/>
  <c r="AL303" i="1" s="1"/>
  <c r="Q304" i="1"/>
  <c r="AD304" i="1" s="1"/>
  <c r="S304" i="1"/>
  <c r="AF304" i="1" s="1"/>
  <c r="W304" i="1"/>
  <c r="AJ304" i="1" s="1"/>
  <c r="X304" i="1"/>
  <c r="AK304" i="1" s="1"/>
  <c r="Y304" i="1"/>
  <c r="AL304" i="1" s="1"/>
  <c r="Q305" i="1"/>
  <c r="AD305" i="1" s="1"/>
  <c r="S305" i="1"/>
  <c r="AF305" i="1" s="1"/>
  <c r="W305" i="1"/>
  <c r="AJ305" i="1" s="1"/>
  <c r="X305" i="1"/>
  <c r="AK305" i="1" s="1"/>
  <c r="Y305" i="1"/>
  <c r="AL305" i="1" s="1"/>
  <c r="Q306" i="1"/>
  <c r="AD306" i="1" s="1"/>
  <c r="S306" i="1"/>
  <c r="AF306" i="1" s="1"/>
  <c r="W306" i="1"/>
  <c r="AJ306" i="1" s="1"/>
  <c r="X306" i="1"/>
  <c r="AK306" i="1" s="1"/>
  <c r="Y306" i="1"/>
  <c r="AL306" i="1" s="1"/>
  <c r="Q307" i="1"/>
  <c r="AD307" i="1" s="1"/>
  <c r="S307" i="1"/>
  <c r="AF307" i="1" s="1"/>
  <c r="W307" i="1"/>
  <c r="AJ307" i="1" s="1"/>
  <c r="X307" i="1"/>
  <c r="AK307" i="1" s="1"/>
  <c r="Y307" i="1"/>
  <c r="AL307" i="1" s="1"/>
  <c r="Q308" i="1"/>
  <c r="AD308" i="1" s="1"/>
  <c r="S308" i="1"/>
  <c r="AF308" i="1" s="1"/>
  <c r="W308" i="1"/>
  <c r="AJ308" i="1" s="1"/>
  <c r="X308" i="1"/>
  <c r="AK308" i="1" s="1"/>
  <c r="Y308" i="1"/>
  <c r="AL308" i="1" s="1"/>
  <c r="Q309" i="1"/>
  <c r="AD309" i="1" s="1"/>
  <c r="S309" i="1"/>
  <c r="AF309" i="1" s="1"/>
  <c r="W309" i="1"/>
  <c r="AJ309" i="1" s="1"/>
  <c r="X309" i="1"/>
  <c r="AK309" i="1" s="1"/>
  <c r="Y309" i="1"/>
  <c r="AL309" i="1" s="1"/>
  <c r="Q310" i="1"/>
  <c r="AD310" i="1" s="1"/>
  <c r="S310" i="1"/>
  <c r="AF310" i="1" s="1"/>
  <c r="W310" i="1"/>
  <c r="AJ310" i="1" s="1"/>
  <c r="X310" i="1"/>
  <c r="AK310" i="1" s="1"/>
  <c r="Y310" i="1"/>
  <c r="AL310" i="1" s="1"/>
  <c r="Q311" i="1"/>
  <c r="AD311" i="1" s="1"/>
  <c r="S311" i="1"/>
  <c r="AF311" i="1" s="1"/>
  <c r="W311" i="1"/>
  <c r="AJ311" i="1" s="1"/>
  <c r="X311" i="1"/>
  <c r="AK311" i="1" s="1"/>
  <c r="Y311" i="1"/>
  <c r="AL311" i="1" s="1"/>
  <c r="Q312" i="1"/>
  <c r="AD312" i="1" s="1"/>
  <c r="S312" i="1"/>
  <c r="AF312" i="1" s="1"/>
  <c r="W312" i="1"/>
  <c r="AJ312" i="1" s="1"/>
  <c r="X312" i="1"/>
  <c r="AK312" i="1" s="1"/>
  <c r="Y312" i="1"/>
  <c r="AL312" i="1" s="1"/>
  <c r="Q313" i="1"/>
  <c r="AD313" i="1" s="1"/>
  <c r="S313" i="1"/>
  <c r="AF313" i="1" s="1"/>
  <c r="W313" i="1"/>
  <c r="AJ313" i="1" s="1"/>
  <c r="X313" i="1"/>
  <c r="AK313" i="1" s="1"/>
  <c r="Y313" i="1"/>
  <c r="AL313" i="1" s="1"/>
  <c r="Q314" i="1"/>
  <c r="AD314" i="1" s="1"/>
  <c r="S314" i="1"/>
  <c r="AF314" i="1" s="1"/>
  <c r="W314" i="1"/>
  <c r="AJ314" i="1" s="1"/>
  <c r="X314" i="1"/>
  <c r="AK314" i="1" s="1"/>
  <c r="Y314" i="1"/>
  <c r="AL314" i="1" s="1"/>
  <c r="Q315" i="1"/>
  <c r="AD315" i="1" s="1"/>
  <c r="S315" i="1"/>
  <c r="AF315" i="1" s="1"/>
  <c r="W315" i="1"/>
  <c r="AJ315" i="1" s="1"/>
  <c r="X315" i="1"/>
  <c r="AK315" i="1" s="1"/>
  <c r="Y315" i="1"/>
  <c r="AL315" i="1" s="1"/>
  <c r="Q316" i="1"/>
  <c r="AD316" i="1" s="1"/>
  <c r="S316" i="1"/>
  <c r="AF316" i="1" s="1"/>
  <c r="W316" i="1"/>
  <c r="AJ316" i="1" s="1"/>
  <c r="X316" i="1"/>
  <c r="AK316" i="1" s="1"/>
  <c r="Y316" i="1"/>
  <c r="AL316" i="1" s="1"/>
  <c r="Q317" i="1"/>
  <c r="AD317" i="1" s="1"/>
  <c r="S317" i="1"/>
  <c r="AF317" i="1" s="1"/>
  <c r="W317" i="1"/>
  <c r="AJ317" i="1" s="1"/>
  <c r="X317" i="1"/>
  <c r="AK317" i="1" s="1"/>
  <c r="Y317" i="1"/>
  <c r="AL317" i="1" s="1"/>
  <c r="Q318" i="1"/>
  <c r="AD318" i="1" s="1"/>
  <c r="S318" i="1"/>
  <c r="AF318" i="1" s="1"/>
  <c r="W318" i="1"/>
  <c r="AJ318" i="1" s="1"/>
  <c r="X318" i="1"/>
  <c r="AK318" i="1" s="1"/>
  <c r="Y318" i="1"/>
  <c r="AL318" i="1" s="1"/>
  <c r="Q319" i="1"/>
  <c r="AD319" i="1" s="1"/>
  <c r="S319" i="1"/>
  <c r="AF319" i="1" s="1"/>
  <c r="W319" i="1"/>
  <c r="AJ319" i="1" s="1"/>
  <c r="X319" i="1"/>
  <c r="AK319" i="1" s="1"/>
  <c r="Y319" i="1"/>
  <c r="AL319" i="1" s="1"/>
  <c r="Q320" i="1"/>
  <c r="AD320" i="1" s="1"/>
  <c r="S320" i="1"/>
  <c r="AF320" i="1" s="1"/>
  <c r="W320" i="1"/>
  <c r="AJ320" i="1" s="1"/>
  <c r="X320" i="1"/>
  <c r="AK320" i="1" s="1"/>
  <c r="Y320" i="1"/>
  <c r="AL320" i="1" s="1"/>
  <c r="Q321" i="1"/>
  <c r="AD321" i="1" s="1"/>
  <c r="S321" i="1"/>
  <c r="AF321" i="1" s="1"/>
  <c r="W321" i="1"/>
  <c r="AJ321" i="1" s="1"/>
  <c r="X321" i="1"/>
  <c r="AK321" i="1" s="1"/>
  <c r="Y321" i="1"/>
  <c r="AL321" i="1" s="1"/>
  <c r="Q322" i="1"/>
  <c r="AD322" i="1" s="1"/>
  <c r="S322" i="1"/>
  <c r="AF322" i="1" s="1"/>
  <c r="W322" i="1"/>
  <c r="AJ322" i="1" s="1"/>
  <c r="X322" i="1"/>
  <c r="AK322" i="1" s="1"/>
  <c r="Y322" i="1"/>
  <c r="AL322" i="1" s="1"/>
  <c r="Q323" i="1"/>
  <c r="AD323" i="1" s="1"/>
  <c r="S323" i="1"/>
  <c r="AF323" i="1" s="1"/>
  <c r="W323" i="1"/>
  <c r="AJ323" i="1" s="1"/>
  <c r="X323" i="1"/>
  <c r="AK323" i="1" s="1"/>
  <c r="Y323" i="1"/>
  <c r="AL323" i="1" s="1"/>
  <c r="Q324" i="1"/>
  <c r="AD324" i="1" s="1"/>
  <c r="S324" i="1"/>
  <c r="AF324" i="1" s="1"/>
  <c r="W324" i="1"/>
  <c r="AJ324" i="1" s="1"/>
  <c r="X324" i="1"/>
  <c r="AK324" i="1" s="1"/>
  <c r="Y324" i="1"/>
  <c r="AL324" i="1" s="1"/>
  <c r="Q325" i="1"/>
  <c r="AD325" i="1" s="1"/>
  <c r="S325" i="1"/>
  <c r="AF325" i="1" s="1"/>
  <c r="W325" i="1"/>
  <c r="AJ325" i="1" s="1"/>
  <c r="X325" i="1"/>
  <c r="AK325" i="1" s="1"/>
  <c r="Y325" i="1"/>
  <c r="AL325" i="1" s="1"/>
  <c r="Q326" i="1"/>
  <c r="AD326" i="1" s="1"/>
  <c r="S326" i="1"/>
  <c r="AF326" i="1" s="1"/>
  <c r="W326" i="1"/>
  <c r="AJ326" i="1" s="1"/>
  <c r="X326" i="1"/>
  <c r="AK326" i="1" s="1"/>
  <c r="Y326" i="1"/>
  <c r="AL326" i="1" s="1"/>
  <c r="Q327" i="1"/>
  <c r="AD327" i="1" s="1"/>
  <c r="S327" i="1"/>
  <c r="AF327" i="1" s="1"/>
  <c r="W327" i="1"/>
  <c r="AJ327" i="1" s="1"/>
  <c r="X327" i="1"/>
  <c r="AK327" i="1" s="1"/>
  <c r="Y327" i="1"/>
  <c r="AL327" i="1" s="1"/>
  <c r="Q328" i="1"/>
  <c r="AD328" i="1" s="1"/>
  <c r="S328" i="1"/>
  <c r="AF328" i="1" s="1"/>
  <c r="W328" i="1"/>
  <c r="AJ328" i="1" s="1"/>
  <c r="X328" i="1"/>
  <c r="AK328" i="1" s="1"/>
  <c r="Y328" i="1"/>
  <c r="AL328" i="1" s="1"/>
  <c r="Q329" i="1"/>
  <c r="AD329" i="1" s="1"/>
  <c r="S329" i="1"/>
  <c r="AF329" i="1" s="1"/>
  <c r="W329" i="1"/>
  <c r="AJ329" i="1" s="1"/>
  <c r="X329" i="1"/>
  <c r="AK329" i="1" s="1"/>
  <c r="Y329" i="1"/>
  <c r="AL329" i="1" s="1"/>
  <c r="Q330" i="1"/>
  <c r="AD330" i="1" s="1"/>
  <c r="S330" i="1"/>
  <c r="AF330" i="1" s="1"/>
  <c r="W330" i="1"/>
  <c r="AJ330" i="1" s="1"/>
  <c r="X330" i="1"/>
  <c r="AK330" i="1" s="1"/>
  <c r="Y330" i="1"/>
  <c r="AL330" i="1" s="1"/>
  <c r="Q331" i="1"/>
  <c r="AD331" i="1" s="1"/>
  <c r="S331" i="1"/>
  <c r="AF331" i="1" s="1"/>
  <c r="W331" i="1"/>
  <c r="AJ331" i="1" s="1"/>
  <c r="X331" i="1"/>
  <c r="AK331" i="1" s="1"/>
  <c r="Y331" i="1"/>
  <c r="AL331" i="1" s="1"/>
  <c r="Q332" i="1"/>
  <c r="AD332" i="1" s="1"/>
  <c r="S332" i="1"/>
  <c r="AF332" i="1" s="1"/>
  <c r="W332" i="1"/>
  <c r="AJ332" i="1" s="1"/>
  <c r="X332" i="1"/>
  <c r="AK332" i="1" s="1"/>
  <c r="Y332" i="1"/>
  <c r="AL332" i="1" s="1"/>
  <c r="Q333" i="1"/>
  <c r="AD333" i="1" s="1"/>
  <c r="S333" i="1"/>
  <c r="AF333" i="1" s="1"/>
  <c r="W333" i="1"/>
  <c r="AJ333" i="1" s="1"/>
  <c r="X333" i="1"/>
  <c r="AK333" i="1" s="1"/>
  <c r="Y333" i="1"/>
  <c r="AL333" i="1" s="1"/>
  <c r="Q334" i="1"/>
  <c r="AD334" i="1" s="1"/>
  <c r="S334" i="1"/>
  <c r="AF334" i="1" s="1"/>
  <c r="W334" i="1"/>
  <c r="AJ334" i="1" s="1"/>
  <c r="X334" i="1"/>
  <c r="AK334" i="1" s="1"/>
  <c r="Y334" i="1"/>
  <c r="AL334" i="1" s="1"/>
  <c r="Q335" i="1"/>
  <c r="AD335" i="1" s="1"/>
  <c r="S335" i="1"/>
  <c r="AF335" i="1" s="1"/>
  <c r="W335" i="1"/>
  <c r="AJ335" i="1" s="1"/>
  <c r="X335" i="1"/>
  <c r="AK335" i="1" s="1"/>
  <c r="Y335" i="1"/>
  <c r="AL335" i="1" s="1"/>
  <c r="Q336" i="1"/>
  <c r="AD336" i="1" s="1"/>
  <c r="S336" i="1"/>
  <c r="AF336" i="1" s="1"/>
  <c r="W336" i="1"/>
  <c r="AJ336" i="1" s="1"/>
  <c r="X336" i="1"/>
  <c r="AK336" i="1" s="1"/>
  <c r="Y336" i="1"/>
  <c r="AL336" i="1" s="1"/>
  <c r="Q337" i="1"/>
  <c r="AD337" i="1" s="1"/>
  <c r="S337" i="1"/>
  <c r="AF337" i="1" s="1"/>
  <c r="W337" i="1"/>
  <c r="AJ337" i="1" s="1"/>
  <c r="X337" i="1"/>
  <c r="AK337" i="1" s="1"/>
  <c r="Y337" i="1"/>
  <c r="AL337" i="1" s="1"/>
  <c r="Q338" i="1"/>
  <c r="AD338" i="1" s="1"/>
  <c r="S338" i="1"/>
  <c r="AF338" i="1" s="1"/>
  <c r="W338" i="1"/>
  <c r="AJ338" i="1" s="1"/>
  <c r="X338" i="1"/>
  <c r="AK338" i="1" s="1"/>
  <c r="Y338" i="1"/>
  <c r="AL338" i="1" s="1"/>
  <c r="Q339" i="1"/>
  <c r="AD339" i="1" s="1"/>
  <c r="S339" i="1"/>
  <c r="AF339" i="1" s="1"/>
  <c r="W339" i="1"/>
  <c r="AJ339" i="1" s="1"/>
  <c r="X339" i="1"/>
  <c r="AK339" i="1" s="1"/>
  <c r="Y339" i="1"/>
  <c r="AL339" i="1" s="1"/>
  <c r="Q340" i="1"/>
  <c r="AD340" i="1" s="1"/>
  <c r="S340" i="1"/>
  <c r="AF340" i="1" s="1"/>
  <c r="W340" i="1"/>
  <c r="AJ340" i="1" s="1"/>
  <c r="X340" i="1"/>
  <c r="AK340" i="1" s="1"/>
  <c r="Y340" i="1"/>
  <c r="AL340" i="1" s="1"/>
  <c r="Q341" i="1"/>
  <c r="AD341" i="1" s="1"/>
  <c r="S341" i="1"/>
  <c r="AF341" i="1" s="1"/>
  <c r="W341" i="1"/>
  <c r="AJ341" i="1" s="1"/>
  <c r="X341" i="1"/>
  <c r="AK341" i="1" s="1"/>
  <c r="Y341" i="1"/>
  <c r="AL341" i="1" s="1"/>
  <c r="Q342" i="1"/>
  <c r="AD342" i="1" s="1"/>
  <c r="S342" i="1"/>
  <c r="AF342" i="1" s="1"/>
  <c r="W342" i="1"/>
  <c r="AJ342" i="1" s="1"/>
  <c r="X342" i="1"/>
  <c r="AK342" i="1" s="1"/>
  <c r="Y342" i="1"/>
  <c r="AL342" i="1" s="1"/>
  <c r="Q343" i="1"/>
  <c r="AD343" i="1" s="1"/>
  <c r="S343" i="1"/>
  <c r="AF343" i="1" s="1"/>
  <c r="W343" i="1"/>
  <c r="AJ343" i="1" s="1"/>
  <c r="X343" i="1"/>
  <c r="AK343" i="1" s="1"/>
  <c r="Y343" i="1"/>
  <c r="AL343" i="1" s="1"/>
  <c r="Q344" i="1"/>
  <c r="AD344" i="1" s="1"/>
  <c r="S344" i="1"/>
  <c r="AF344" i="1" s="1"/>
  <c r="W344" i="1"/>
  <c r="AJ344" i="1" s="1"/>
  <c r="X344" i="1"/>
  <c r="AK344" i="1" s="1"/>
  <c r="Y344" i="1"/>
  <c r="AL344" i="1" s="1"/>
  <c r="Q345" i="1"/>
  <c r="AD345" i="1" s="1"/>
  <c r="S345" i="1"/>
  <c r="AF345" i="1" s="1"/>
  <c r="W345" i="1"/>
  <c r="AJ345" i="1" s="1"/>
  <c r="X345" i="1"/>
  <c r="AK345" i="1" s="1"/>
  <c r="Y345" i="1"/>
  <c r="AL345" i="1" s="1"/>
  <c r="Q346" i="1"/>
  <c r="AD346" i="1" s="1"/>
  <c r="S346" i="1"/>
  <c r="AF346" i="1" s="1"/>
  <c r="W346" i="1"/>
  <c r="AJ346" i="1" s="1"/>
  <c r="X346" i="1"/>
  <c r="AK346" i="1" s="1"/>
  <c r="Y346" i="1"/>
  <c r="AL346" i="1" s="1"/>
  <c r="Q347" i="1"/>
  <c r="AD347" i="1" s="1"/>
  <c r="S347" i="1"/>
  <c r="AF347" i="1" s="1"/>
  <c r="W347" i="1"/>
  <c r="AJ347" i="1" s="1"/>
  <c r="X347" i="1"/>
  <c r="AK347" i="1" s="1"/>
  <c r="Y347" i="1"/>
  <c r="AL347" i="1" s="1"/>
  <c r="Q348" i="1"/>
  <c r="AD348" i="1" s="1"/>
  <c r="S348" i="1"/>
  <c r="AF348" i="1" s="1"/>
  <c r="W348" i="1"/>
  <c r="AJ348" i="1" s="1"/>
  <c r="X348" i="1"/>
  <c r="AK348" i="1" s="1"/>
  <c r="Y348" i="1"/>
  <c r="AL348" i="1" s="1"/>
  <c r="Q349" i="1"/>
  <c r="AD349" i="1" s="1"/>
  <c r="S349" i="1"/>
  <c r="AF349" i="1" s="1"/>
  <c r="W349" i="1"/>
  <c r="AJ349" i="1" s="1"/>
  <c r="X349" i="1"/>
  <c r="AK349" i="1" s="1"/>
  <c r="Y349" i="1"/>
  <c r="AL349" i="1" s="1"/>
  <c r="Q350" i="1"/>
  <c r="AD350" i="1" s="1"/>
  <c r="S350" i="1"/>
  <c r="AF350" i="1" s="1"/>
  <c r="W350" i="1"/>
  <c r="AJ350" i="1" s="1"/>
  <c r="X350" i="1"/>
  <c r="AK350" i="1" s="1"/>
  <c r="Y350" i="1"/>
  <c r="AL350" i="1" s="1"/>
  <c r="Q351" i="1"/>
  <c r="AD351" i="1" s="1"/>
  <c r="S351" i="1"/>
  <c r="AF351" i="1" s="1"/>
  <c r="W351" i="1"/>
  <c r="AJ351" i="1" s="1"/>
  <c r="X351" i="1"/>
  <c r="AK351" i="1" s="1"/>
  <c r="Y351" i="1"/>
  <c r="AL351" i="1" s="1"/>
  <c r="Q352" i="1"/>
  <c r="AD352" i="1" s="1"/>
  <c r="S352" i="1"/>
  <c r="AF352" i="1" s="1"/>
  <c r="W352" i="1"/>
  <c r="AJ352" i="1" s="1"/>
  <c r="X352" i="1"/>
  <c r="AK352" i="1" s="1"/>
  <c r="Y352" i="1"/>
  <c r="AL352" i="1" s="1"/>
  <c r="Q353" i="1"/>
  <c r="AD353" i="1" s="1"/>
  <c r="S353" i="1"/>
  <c r="AF353" i="1" s="1"/>
  <c r="W353" i="1"/>
  <c r="AJ353" i="1" s="1"/>
  <c r="X353" i="1"/>
  <c r="AK353" i="1" s="1"/>
  <c r="Y353" i="1"/>
  <c r="AL353" i="1" s="1"/>
  <c r="Q354" i="1"/>
  <c r="AD354" i="1" s="1"/>
  <c r="S354" i="1"/>
  <c r="AF354" i="1" s="1"/>
  <c r="W354" i="1"/>
  <c r="AJ354" i="1" s="1"/>
  <c r="X354" i="1"/>
  <c r="AK354" i="1" s="1"/>
  <c r="Y354" i="1"/>
  <c r="AL354" i="1" s="1"/>
  <c r="Q355" i="1"/>
  <c r="AD355" i="1" s="1"/>
  <c r="S355" i="1"/>
  <c r="AF355" i="1" s="1"/>
  <c r="W355" i="1"/>
  <c r="AJ355" i="1" s="1"/>
  <c r="X355" i="1"/>
  <c r="AK355" i="1" s="1"/>
  <c r="Y355" i="1"/>
  <c r="AL355" i="1" s="1"/>
  <c r="Q356" i="1"/>
  <c r="AD356" i="1" s="1"/>
  <c r="S356" i="1"/>
  <c r="AF356" i="1" s="1"/>
  <c r="W356" i="1"/>
  <c r="AJ356" i="1" s="1"/>
  <c r="X356" i="1"/>
  <c r="AK356" i="1" s="1"/>
  <c r="Y356" i="1"/>
  <c r="AL356" i="1" s="1"/>
  <c r="Q357" i="1"/>
  <c r="AD357" i="1" s="1"/>
  <c r="S357" i="1"/>
  <c r="AF357" i="1" s="1"/>
  <c r="W357" i="1"/>
  <c r="AJ357" i="1" s="1"/>
  <c r="X357" i="1"/>
  <c r="AK357" i="1" s="1"/>
  <c r="Y357" i="1"/>
  <c r="AL357" i="1" s="1"/>
  <c r="Q358" i="1"/>
  <c r="AD358" i="1" s="1"/>
  <c r="S358" i="1"/>
  <c r="AF358" i="1" s="1"/>
  <c r="W358" i="1"/>
  <c r="AJ358" i="1" s="1"/>
  <c r="X358" i="1"/>
  <c r="AK358" i="1" s="1"/>
  <c r="Y358" i="1"/>
  <c r="AL358" i="1" s="1"/>
  <c r="Q359" i="1"/>
  <c r="AD359" i="1" s="1"/>
  <c r="S359" i="1"/>
  <c r="AF359" i="1" s="1"/>
  <c r="W359" i="1"/>
  <c r="AJ359" i="1" s="1"/>
  <c r="X359" i="1"/>
  <c r="AK359" i="1" s="1"/>
  <c r="Y359" i="1"/>
  <c r="AL359" i="1" s="1"/>
  <c r="W2" i="1"/>
  <c r="AJ2" i="1" s="1"/>
  <c r="Y2" i="1"/>
  <c r="AL2" i="1" s="1"/>
  <c r="X2" i="1"/>
  <c r="AK2" i="1" s="1"/>
  <c r="Q2" i="1"/>
  <c r="AD2" i="1" s="1"/>
  <c r="S2" i="1"/>
  <c r="AF2" i="1" s="1"/>
  <c r="W17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W183" i="2"/>
  <c r="X183" i="2"/>
  <c r="Y183" i="2"/>
  <c r="Z183" i="2"/>
  <c r="AA183" i="2"/>
  <c r="AE183" i="2"/>
  <c r="W157" i="2"/>
  <c r="X157" i="2"/>
  <c r="Y157" i="2"/>
  <c r="Z157" i="2"/>
  <c r="AA157" i="2"/>
  <c r="AE157" i="2"/>
  <c r="W158" i="2"/>
  <c r="X158" i="2"/>
  <c r="Y158" i="2"/>
  <c r="Z158" i="2"/>
  <c r="AA158" i="2"/>
  <c r="AE158" i="2"/>
  <c r="W159" i="2"/>
  <c r="X159" i="2"/>
  <c r="Y159" i="2"/>
  <c r="Z159" i="2"/>
  <c r="AA159" i="2"/>
  <c r="AE159" i="2"/>
  <c r="W160" i="2"/>
  <c r="X160" i="2"/>
  <c r="Y160" i="2"/>
  <c r="Z160" i="2"/>
  <c r="AA160" i="2"/>
  <c r="AE160" i="2"/>
  <c r="W161" i="2"/>
  <c r="X161" i="2"/>
  <c r="Y161" i="2"/>
  <c r="Z161" i="2"/>
  <c r="AA161" i="2"/>
  <c r="AE161" i="2"/>
  <c r="W162" i="2"/>
  <c r="X162" i="2"/>
  <c r="Y162" i="2"/>
  <c r="Z162" i="2"/>
  <c r="AA162" i="2"/>
  <c r="AE162" i="2"/>
  <c r="W163" i="2"/>
  <c r="X163" i="2"/>
  <c r="Y163" i="2"/>
  <c r="Z163" i="2"/>
  <c r="AA163" i="2"/>
  <c r="AE163" i="2"/>
  <c r="W164" i="2"/>
  <c r="X164" i="2"/>
  <c r="Y164" i="2"/>
  <c r="Z164" i="2"/>
  <c r="AA164" i="2"/>
  <c r="AE164" i="2"/>
  <c r="W165" i="2"/>
  <c r="X165" i="2"/>
  <c r="Y165" i="2"/>
  <c r="Z165" i="2"/>
  <c r="AA165" i="2"/>
  <c r="AE165" i="2"/>
  <c r="W166" i="2"/>
  <c r="X166" i="2"/>
  <c r="Y166" i="2"/>
  <c r="Z166" i="2"/>
  <c r="AA166" i="2"/>
  <c r="AE166" i="2"/>
  <c r="W167" i="2"/>
  <c r="X167" i="2"/>
  <c r="Y167" i="2"/>
  <c r="Z167" i="2"/>
  <c r="AA167" i="2"/>
  <c r="AE167" i="2"/>
  <c r="W168" i="2"/>
  <c r="X168" i="2"/>
  <c r="Y168" i="2"/>
  <c r="Z168" i="2"/>
  <c r="AA168" i="2"/>
  <c r="AE168" i="2"/>
  <c r="W169" i="2"/>
  <c r="X169" i="2"/>
  <c r="Y169" i="2"/>
  <c r="Z169" i="2"/>
  <c r="AA169" i="2"/>
  <c r="AE169" i="2"/>
  <c r="W170" i="2"/>
  <c r="X170" i="2"/>
  <c r="Y170" i="2"/>
  <c r="Z170" i="2"/>
  <c r="AA170" i="2"/>
  <c r="AE170" i="2"/>
  <c r="W171" i="2"/>
  <c r="X171" i="2"/>
  <c r="Y171" i="2"/>
  <c r="Z171" i="2"/>
  <c r="AA171" i="2"/>
  <c r="AE171" i="2"/>
  <c r="W172" i="2"/>
  <c r="X172" i="2"/>
  <c r="Y172" i="2"/>
  <c r="Z172" i="2"/>
  <c r="AA172" i="2"/>
  <c r="AE172" i="2"/>
  <c r="W173" i="2"/>
  <c r="X173" i="2"/>
  <c r="Y173" i="2"/>
  <c r="Z173" i="2"/>
  <c r="AA173" i="2"/>
  <c r="AE173" i="2"/>
  <c r="W174" i="2"/>
  <c r="X174" i="2"/>
  <c r="Y174" i="2"/>
  <c r="Z174" i="2"/>
  <c r="AA174" i="2"/>
  <c r="AE174" i="2"/>
  <c r="W175" i="2"/>
  <c r="X175" i="2"/>
  <c r="Y175" i="2"/>
  <c r="Z175" i="2"/>
  <c r="AA175" i="2"/>
  <c r="AE175" i="2"/>
  <c r="W176" i="2"/>
  <c r="X176" i="2"/>
  <c r="Y176" i="2"/>
  <c r="Z176" i="2"/>
  <c r="AA176" i="2"/>
  <c r="AE176" i="2"/>
  <c r="W177" i="2"/>
  <c r="X177" i="2"/>
  <c r="Y177" i="2"/>
  <c r="Z177" i="2"/>
  <c r="AA177" i="2"/>
  <c r="AE177" i="2"/>
  <c r="X178" i="2"/>
  <c r="Y178" i="2"/>
  <c r="Z178" i="2"/>
  <c r="AA178" i="2"/>
  <c r="AE178" i="2"/>
  <c r="W179" i="2"/>
  <c r="X179" i="2"/>
  <c r="Y179" i="2"/>
  <c r="Z179" i="2"/>
  <c r="AA179" i="2"/>
  <c r="AE179" i="2"/>
  <c r="W180" i="2"/>
  <c r="X180" i="2"/>
  <c r="Y180" i="2"/>
  <c r="Z180" i="2"/>
  <c r="AA180" i="2"/>
  <c r="AE180" i="2"/>
  <c r="W181" i="2"/>
  <c r="X181" i="2"/>
  <c r="Y181" i="2"/>
  <c r="Z181" i="2"/>
  <c r="AA181" i="2"/>
  <c r="AE181" i="2"/>
  <c r="W182" i="2"/>
  <c r="X182" i="2"/>
  <c r="Y182" i="2"/>
  <c r="Z182" i="2"/>
  <c r="AA182" i="2"/>
  <c r="AE182" i="2"/>
  <c r="W139" i="2"/>
  <c r="X139" i="2"/>
  <c r="Y139" i="2"/>
  <c r="Z139" i="2"/>
  <c r="AA139" i="2"/>
  <c r="AE139" i="2"/>
  <c r="W140" i="2"/>
  <c r="X140" i="2"/>
  <c r="Y140" i="2"/>
  <c r="Z140" i="2"/>
  <c r="AA140" i="2"/>
  <c r="AE140" i="2"/>
  <c r="W141" i="2"/>
  <c r="X141" i="2"/>
  <c r="Y141" i="2"/>
  <c r="Z141" i="2"/>
  <c r="AA141" i="2"/>
  <c r="AE141" i="2"/>
  <c r="W142" i="2"/>
  <c r="X142" i="2"/>
  <c r="Y142" i="2"/>
  <c r="Z142" i="2"/>
  <c r="AA142" i="2"/>
  <c r="AE142" i="2"/>
  <c r="W143" i="2"/>
  <c r="X143" i="2"/>
  <c r="Y143" i="2"/>
  <c r="Z143" i="2"/>
  <c r="AA143" i="2"/>
  <c r="AE143" i="2"/>
  <c r="W144" i="2"/>
  <c r="X144" i="2"/>
  <c r="Y144" i="2"/>
  <c r="Z144" i="2"/>
  <c r="AA144" i="2"/>
  <c r="AE144" i="2"/>
  <c r="W145" i="2"/>
  <c r="X145" i="2"/>
  <c r="Y145" i="2"/>
  <c r="Z145" i="2"/>
  <c r="AA145" i="2"/>
  <c r="AB145" i="2"/>
  <c r="AE145" i="2"/>
  <c r="W146" i="2"/>
  <c r="X146" i="2"/>
  <c r="Y146" i="2"/>
  <c r="Z146" i="2"/>
  <c r="AA146" i="2"/>
  <c r="AE146" i="2"/>
  <c r="W147" i="2"/>
  <c r="X147" i="2"/>
  <c r="Y147" i="2"/>
  <c r="Z147" i="2"/>
  <c r="AA147" i="2"/>
  <c r="AE147" i="2"/>
  <c r="W148" i="2"/>
  <c r="X148" i="2"/>
  <c r="Y148" i="2"/>
  <c r="Z148" i="2"/>
  <c r="AA148" i="2"/>
  <c r="AE148" i="2"/>
  <c r="W149" i="2"/>
  <c r="X149" i="2"/>
  <c r="Y149" i="2"/>
  <c r="Z149" i="2"/>
  <c r="AA149" i="2"/>
  <c r="AE149" i="2"/>
  <c r="W150" i="2"/>
  <c r="X150" i="2"/>
  <c r="Y150" i="2"/>
  <c r="Z150" i="2"/>
  <c r="AA150" i="2"/>
  <c r="AE150" i="2"/>
  <c r="W151" i="2"/>
  <c r="X151" i="2"/>
  <c r="Y151" i="2"/>
  <c r="Z151" i="2"/>
  <c r="AA151" i="2"/>
  <c r="AE151" i="2"/>
  <c r="W152" i="2"/>
  <c r="X152" i="2"/>
  <c r="Y152" i="2"/>
  <c r="Z152" i="2"/>
  <c r="AA152" i="2"/>
  <c r="AE152" i="2"/>
  <c r="W153" i="2"/>
  <c r="X153" i="2"/>
  <c r="Y153" i="2"/>
  <c r="Z153" i="2"/>
  <c r="AA153" i="2"/>
  <c r="AE153" i="2"/>
  <c r="W154" i="2"/>
  <c r="X154" i="2"/>
  <c r="Y154" i="2"/>
  <c r="Z154" i="2"/>
  <c r="AA154" i="2"/>
  <c r="AE154" i="2"/>
  <c r="W155" i="2"/>
  <c r="X155" i="2"/>
  <c r="Y155" i="2"/>
  <c r="Z155" i="2"/>
  <c r="AA155" i="2"/>
  <c r="AE155" i="2"/>
  <c r="W156" i="2"/>
  <c r="X156" i="2"/>
  <c r="Y156" i="2"/>
  <c r="Z156" i="2"/>
  <c r="AA156" i="2"/>
  <c r="AE156" i="2"/>
  <c r="W131" i="2"/>
  <c r="X131" i="2"/>
  <c r="Y131" i="2"/>
  <c r="Z131" i="2"/>
  <c r="AA131" i="2"/>
  <c r="AE131" i="2"/>
  <c r="W132" i="2"/>
  <c r="X132" i="2"/>
  <c r="Y132" i="2"/>
  <c r="Z132" i="2"/>
  <c r="AA132" i="2"/>
  <c r="AE132" i="2"/>
  <c r="W133" i="2"/>
  <c r="X133" i="2"/>
  <c r="Y133" i="2"/>
  <c r="Z133" i="2"/>
  <c r="AA133" i="2"/>
  <c r="AE133" i="2"/>
  <c r="W134" i="2"/>
  <c r="X134" i="2"/>
  <c r="Y134" i="2"/>
  <c r="Z134" i="2"/>
  <c r="AA134" i="2"/>
  <c r="AE134" i="2"/>
  <c r="W135" i="2"/>
  <c r="X135" i="2"/>
  <c r="Y135" i="2"/>
  <c r="Z135" i="2"/>
  <c r="AA135" i="2"/>
  <c r="AE135" i="2"/>
  <c r="W136" i="2"/>
  <c r="X136" i="2"/>
  <c r="Y136" i="2"/>
  <c r="Z136" i="2"/>
  <c r="AA136" i="2"/>
  <c r="AE136" i="2"/>
  <c r="W137" i="2"/>
  <c r="X137" i="2"/>
  <c r="Y137" i="2"/>
  <c r="Z137" i="2"/>
  <c r="AA137" i="2"/>
  <c r="AE137" i="2"/>
  <c r="W138" i="2"/>
  <c r="X138" i="2"/>
  <c r="Y138" i="2"/>
  <c r="Z138" i="2"/>
  <c r="AA138" i="2"/>
  <c r="AE138" i="2"/>
  <c r="W22" i="2"/>
  <c r="X22" i="2"/>
  <c r="Y22" i="2"/>
  <c r="Z22" i="2"/>
  <c r="AA22" i="2"/>
  <c r="AE22" i="2"/>
  <c r="W23" i="2"/>
  <c r="X23" i="2"/>
  <c r="Y23" i="2"/>
  <c r="Z23" i="2"/>
  <c r="AA23" i="2"/>
  <c r="AE23" i="2"/>
  <c r="W24" i="2"/>
  <c r="X24" i="2"/>
  <c r="Y24" i="2"/>
  <c r="Z24" i="2"/>
  <c r="AA24" i="2"/>
  <c r="AE24" i="2"/>
  <c r="W25" i="2"/>
  <c r="X25" i="2"/>
  <c r="Y25" i="2"/>
  <c r="Z25" i="2"/>
  <c r="AA25" i="2"/>
  <c r="AE25" i="2"/>
  <c r="W26" i="2"/>
  <c r="X26" i="2"/>
  <c r="Y26" i="2"/>
  <c r="Z26" i="2"/>
  <c r="AA26" i="2"/>
  <c r="AE26" i="2"/>
  <c r="W27" i="2"/>
  <c r="X27" i="2"/>
  <c r="Y27" i="2"/>
  <c r="Z27" i="2"/>
  <c r="AA27" i="2"/>
  <c r="AE27" i="2"/>
  <c r="W28" i="2"/>
  <c r="X28" i="2"/>
  <c r="Y28" i="2"/>
  <c r="Z28" i="2"/>
  <c r="AA28" i="2"/>
  <c r="AE28" i="2"/>
  <c r="W29" i="2"/>
  <c r="X29" i="2"/>
  <c r="Y29" i="2"/>
  <c r="Z29" i="2"/>
  <c r="AA29" i="2"/>
  <c r="AE29" i="2"/>
  <c r="W30" i="2"/>
  <c r="X30" i="2"/>
  <c r="Y30" i="2"/>
  <c r="Z30" i="2"/>
  <c r="AA30" i="2"/>
  <c r="AE30" i="2"/>
  <c r="W31" i="2"/>
  <c r="X31" i="2"/>
  <c r="Y31" i="2"/>
  <c r="Z31" i="2"/>
  <c r="AA31" i="2"/>
  <c r="AE31" i="2"/>
  <c r="W32" i="2"/>
  <c r="X32" i="2"/>
  <c r="Y32" i="2"/>
  <c r="Z32" i="2"/>
  <c r="AA32" i="2"/>
  <c r="AE32" i="2"/>
  <c r="W33" i="2"/>
  <c r="X33" i="2"/>
  <c r="Y33" i="2"/>
  <c r="Z33" i="2"/>
  <c r="AA33" i="2"/>
  <c r="AE33" i="2"/>
  <c r="W34" i="2"/>
  <c r="X34" i="2"/>
  <c r="Y34" i="2"/>
  <c r="Z34" i="2"/>
  <c r="AA34" i="2"/>
  <c r="AE34" i="2"/>
  <c r="W35" i="2"/>
  <c r="X35" i="2"/>
  <c r="Y35" i="2"/>
  <c r="Z35" i="2"/>
  <c r="AA35" i="2"/>
  <c r="AE35" i="2"/>
  <c r="W36" i="2"/>
  <c r="X36" i="2"/>
  <c r="Y36" i="2"/>
  <c r="Z36" i="2"/>
  <c r="AA36" i="2"/>
  <c r="AE36" i="2"/>
  <c r="W37" i="2"/>
  <c r="X37" i="2"/>
  <c r="Y37" i="2"/>
  <c r="Z37" i="2"/>
  <c r="AA37" i="2"/>
  <c r="AE37" i="2"/>
  <c r="W38" i="2"/>
  <c r="X38" i="2"/>
  <c r="Y38" i="2"/>
  <c r="Z38" i="2"/>
  <c r="AA38" i="2"/>
  <c r="AE38" i="2"/>
  <c r="W39" i="2"/>
  <c r="X39" i="2"/>
  <c r="Y39" i="2"/>
  <c r="Z39" i="2"/>
  <c r="AA39" i="2"/>
  <c r="AE39" i="2"/>
  <c r="W40" i="2"/>
  <c r="X40" i="2"/>
  <c r="Y40" i="2"/>
  <c r="Z40" i="2"/>
  <c r="AA40" i="2"/>
  <c r="AE40" i="2"/>
  <c r="W41" i="2"/>
  <c r="X41" i="2"/>
  <c r="Y41" i="2"/>
  <c r="Z41" i="2"/>
  <c r="AA41" i="2"/>
  <c r="AE41" i="2"/>
  <c r="W42" i="2"/>
  <c r="X42" i="2"/>
  <c r="Y42" i="2"/>
  <c r="Z42" i="2"/>
  <c r="AA42" i="2"/>
  <c r="AE42" i="2"/>
  <c r="W43" i="2"/>
  <c r="X43" i="2"/>
  <c r="Y43" i="2"/>
  <c r="Z43" i="2"/>
  <c r="AA43" i="2"/>
  <c r="AE43" i="2"/>
  <c r="W44" i="2"/>
  <c r="X44" i="2"/>
  <c r="Y44" i="2"/>
  <c r="Z44" i="2"/>
  <c r="AA44" i="2"/>
  <c r="AE44" i="2"/>
  <c r="W45" i="2"/>
  <c r="X45" i="2"/>
  <c r="Y45" i="2"/>
  <c r="Z45" i="2"/>
  <c r="AA45" i="2"/>
  <c r="AE45" i="2"/>
  <c r="W46" i="2"/>
  <c r="X46" i="2"/>
  <c r="Y46" i="2"/>
  <c r="Z46" i="2"/>
  <c r="AA46" i="2"/>
  <c r="AE46" i="2"/>
  <c r="W47" i="2"/>
  <c r="X47" i="2"/>
  <c r="Y47" i="2"/>
  <c r="Z47" i="2"/>
  <c r="AA47" i="2"/>
  <c r="AE47" i="2"/>
  <c r="W48" i="2"/>
  <c r="X48" i="2"/>
  <c r="Y48" i="2"/>
  <c r="Z48" i="2"/>
  <c r="AA48" i="2"/>
  <c r="AE48" i="2"/>
  <c r="W49" i="2"/>
  <c r="X49" i="2"/>
  <c r="Y49" i="2"/>
  <c r="Z49" i="2"/>
  <c r="AA49" i="2"/>
  <c r="AE49" i="2"/>
  <c r="W50" i="2"/>
  <c r="X50" i="2"/>
  <c r="Y50" i="2"/>
  <c r="Z50" i="2"/>
  <c r="AA50" i="2"/>
  <c r="AE50" i="2"/>
  <c r="W51" i="2"/>
  <c r="X51" i="2"/>
  <c r="Y51" i="2"/>
  <c r="Z51" i="2"/>
  <c r="AA51" i="2"/>
  <c r="AE51" i="2"/>
  <c r="W52" i="2"/>
  <c r="X52" i="2"/>
  <c r="Y52" i="2"/>
  <c r="Z52" i="2"/>
  <c r="AA52" i="2"/>
  <c r="AE52" i="2"/>
  <c r="W53" i="2"/>
  <c r="X53" i="2"/>
  <c r="Y53" i="2"/>
  <c r="Z53" i="2"/>
  <c r="AA53" i="2"/>
  <c r="AE53" i="2"/>
  <c r="W54" i="2"/>
  <c r="X54" i="2"/>
  <c r="Y54" i="2"/>
  <c r="Z54" i="2"/>
  <c r="AA54" i="2"/>
  <c r="AE54" i="2"/>
  <c r="W55" i="2"/>
  <c r="X55" i="2"/>
  <c r="Y55" i="2"/>
  <c r="Z55" i="2"/>
  <c r="AA55" i="2"/>
  <c r="AE55" i="2"/>
  <c r="W56" i="2"/>
  <c r="X56" i="2"/>
  <c r="Y56" i="2"/>
  <c r="Z56" i="2"/>
  <c r="AA56" i="2"/>
  <c r="AE56" i="2"/>
  <c r="W57" i="2"/>
  <c r="X57" i="2"/>
  <c r="Y57" i="2"/>
  <c r="Z57" i="2"/>
  <c r="AA57" i="2"/>
  <c r="AE57" i="2"/>
  <c r="W58" i="2"/>
  <c r="X58" i="2"/>
  <c r="Y58" i="2"/>
  <c r="Z58" i="2"/>
  <c r="AA58" i="2"/>
  <c r="AE58" i="2"/>
  <c r="W59" i="2"/>
  <c r="X59" i="2"/>
  <c r="Y59" i="2"/>
  <c r="Z59" i="2"/>
  <c r="AA59" i="2"/>
  <c r="AE59" i="2"/>
  <c r="W60" i="2"/>
  <c r="X60" i="2"/>
  <c r="Y60" i="2"/>
  <c r="Z60" i="2"/>
  <c r="AA60" i="2"/>
  <c r="AE60" i="2"/>
  <c r="W61" i="2"/>
  <c r="X61" i="2"/>
  <c r="Y61" i="2"/>
  <c r="Z61" i="2"/>
  <c r="AA61" i="2"/>
  <c r="AE61" i="2"/>
  <c r="W62" i="2"/>
  <c r="X62" i="2"/>
  <c r="Y62" i="2"/>
  <c r="Z62" i="2"/>
  <c r="AA62" i="2"/>
  <c r="AE62" i="2"/>
  <c r="W63" i="2"/>
  <c r="X63" i="2"/>
  <c r="Y63" i="2"/>
  <c r="Z63" i="2"/>
  <c r="AA63" i="2"/>
  <c r="AE63" i="2"/>
  <c r="W64" i="2"/>
  <c r="X64" i="2"/>
  <c r="Y64" i="2"/>
  <c r="Z64" i="2"/>
  <c r="AA64" i="2"/>
  <c r="AE64" i="2"/>
  <c r="W65" i="2"/>
  <c r="X65" i="2"/>
  <c r="Y65" i="2"/>
  <c r="Z65" i="2"/>
  <c r="AA65" i="2"/>
  <c r="AE65" i="2"/>
  <c r="W66" i="2"/>
  <c r="X66" i="2"/>
  <c r="Y66" i="2"/>
  <c r="Z66" i="2"/>
  <c r="AA66" i="2"/>
  <c r="AE66" i="2"/>
  <c r="W67" i="2"/>
  <c r="X67" i="2"/>
  <c r="Y67" i="2"/>
  <c r="Z67" i="2"/>
  <c r="AA67" i="2"/>
  <c r="AE67" i="2"/>
  <c r="W68" i="2"/>
  <c r="X68" i="2"/>
  <c r="Y68" i="2"/>
  <c r="Z68" i="2"/>
  <c r="AA68" i="2"/>
  <c r="AE68" i="2"/>
  <c r="W69" i="2"/>
  <c r="X69" i="2"/>
  <c r="Y69" i="2"/>
  <c r="Z69" i="2"/>
  <c r="AA69" i="2"/>
  <c r="AE69" i="2"/>
  <c r="W70" i="2"/>
  <c r="X70" i="2"/>
  <c r="Y70" i="2"/>
  <c r="Z70" i="2"/>
  <c r="AA70" i="2"/>
  <c r="AE70" i="2"/>
  <c r="W71" i="2"/>
  <c r="X71" i="2"/>
  <c r="Y71" i="2"/>
  <c r="Z71" i="2"/>
  <c r="AA71" i="2"/>
  <c r="AE71" i="2"/>
  <c r="W72" i="2"/>
  <c r="X72" i="2"/>
  <c r="Y72" i="2"/>
  <c r="Z72" i="2"/>
  <c r="AA72" i="2"/>
  <c r="AE72" i="2"/>
  <c r="W73" i="2"/>
  <c r="X73" i="2"/>
  <c r="Y73" i="2"/>
  <c r="Z73" i="2"/>
  <c r="AA73" i="2"/>
  <c r="AE73" i="2"/>
  <c r="W74" i="2"/>
  <c r="X74" i="2"/>
  <c r="Y74" i="2"/>
  <c r="Z74" i="2"/>
  <c r="AA74" i="2"/>
  <c r="AE74" i="2"/>
  <c r="W75" i="2"/>
  <c r="X75" i="2"/>
  <c r="Y75" i="2"/>
  <c r="Z75" i="2"/>
  <c r="AA75" i="2"/>
  <c r="AE75" i="2"/>
  <c r="W76" i="2"/>
  <c r="X76" i="2"/>
  <c r="Y76" i="2"/>
  <c r="Z76" i="2"/>
  <c r="AA76" i="2"/>
  <c r="AE76" i="2"/>
  <c r="W77" i="2"/>
  <c r="X77" i="2"/>
  <c r="Y77" i="2"/>
  <c r="Z77" i="2"/>
  <c r="AA77" i="2"/>
  <c r="AE77" i="2"/>
  <c r="W78" i="2"/>
  <c r="X78" i="2"/>
  <c r="Y78" i="2"/>
  <c r="Z78" i="2"/>
  <c r="AA78" i="2"/>
  <c r="AE78" i="2"/>
  <c r="W79" i="2"/>
  <c r="X79" i="2"/>
  <c r="Y79" i="2"/>
  <c r="Z79" i="2"/>
  <c r="AA79" i="2"/>
  <c r="AE79" i="2"/>
  <c r="W80" i="2"/>
  <c r="X80" i="2"/>
  <c r="Y80" i="2"/>
  <c r="Z80" i="2"/>
  <c r="AA80" i="2"/>
  <c r="AE80" i="2"/>
  <c r="W81" i="2"/>
  <c r="X81" i="2"/>
  <c r="Y81" i="2"/>
  <c r="Z81" i="2"/>
  <c r="AA81" i="2"/>
  <c r="AE81" i="2"/>
  <c r="W82" i="2"/>
  <c r="X82" i="2"/>
  <c r="Y82" i="2"/>
  <c r="Z82" i="2"/>
  <c r="AA82" i="2"/>
  <c r="AE82" i="2"/>
  <c r="W83" i="2"/>
  <c r="X83" i="2"/>
  <c r="Y83" i="2"/>
  <c r="Z83" i="2"/>
  <c r="AA83" i="2"/>
  <c r="AE83" i="2"/>
  <c r="W84" i="2"/>
  <c r="X84" i="2"/>
  <c r="Y84" i="2"/>
  <c r="Z84" i="2"/>
  <c r="AA84" i="2"/>
  <c r="AE84" i="2"/>
  <c r="W85" i="2"/>
  <c r="X85" i="2"/>
  <c r="Y85" i="2"/>
  <c r="Z85" i="2"/>
  <c r="AA85" i="2"/>
  <c r="AE85" i="2"/>
  <c r="W86" i="2"/>
  <c r="X86" i="2"/>
  <c r="Y86" i="2"/>
  <c r="Z86" i="2"/>
  <c r="AA86" i="2"/>
  <c r="AE86" i="2"/>
  <c r="W87" i="2"/>
  <c r="X87" i="2"/>
  <c r="Y87" i="2"/>
  <c r="Z87" i="2"/>
  <c r="AA87" i="2"/>
  <c r="AE87" i="2"/>
  <c r="W88" i="2"/>
  <c r="X88" i="2"/>
  <c r="Y88" i="2"/>
  <c r="Z88" i="2"/>
  <c r="AA88" i="2"/>
  <c r="AE88" i="2"/>
  <c r="W89" i="2"/>
  <c r="X89" i="2"/>
  <c r="Y89" i="2"/>
  <c r="Z89" i="2"/>
  <c r="AA89" i="2"/>
  <c r="AE89" i="2"/>
  <c r="W90" i="2"/>
  <c r="X90" i="2"/>
  <c r="Y90" i="2"/>
  <c r="Z90" i="2"/>
  <c r="AA90" i="2"/>
  <c r="AE90" i="2"/>
  <c r="W91" i="2"/>
  <c r="X91" i="2"/>
  <c r="Y91" i="2"/>
  <c r="Z91" i="2"/>
  <c r="AA91" i="2"/>
  <c r="AE91" i="2"/>
  <c r="W92" i="2"/>
  <c r="X92" i="2"/>
  <c r="Y92" i="2"/>
  <c r="Z92" i="2"/>
  <c r="AA92" i="2"/>
  <c r="AE92" i="2"/>
  <c r="W93" i="2"/>
  <c r="X93" i="2"/>
  <c r="Y93" i="2"/>
  <c r="Z93" i="2"/>
  <c r="AA93" i="2"/>
  <c r="AE93" i="2"/>
  <c r="W94" i="2"/>
  <c r="X94" i="2"/>
  <c r="Y94" i="2"/>
  <c r="Z94" i="2"/>
  <c r="AA94" i="2"/>
  <c r="AE94" i="2"/>
  <c r="W95" i="2"/>
  <c r="X95" i="2"/>
  <c r="Y95" i="2"/>
  <c r="Z95" i="2"/>
  <c r="AA95" i="2"/>
  <c r="AE95" i="2"/>
  <c r="W96" i="2"/>
  <c r="X96" i="2"/>
  <c r="Y96" i="2"/>
  <c r="Z96" i="2"/>
  <c r="AA96" i="2"/>
  <c r="AE96" i="2"/>
  <c r="W97" i="2"/>
  <c r="X97" i="2"/>
  <c r="Y97" i="2"/>
  <c r="Z97" i="2"/>
  <c r="AA97" i="2"/>
  <c r="AE97" i="2"/>
  <c r="W98" i="2"/>
  <c r="X98" i="2"/>
  <c r="Y98" i="2"/>
  <c r="Z98" i="2"/>
  <c r="AA98" i="2"/>
  <c r="AE98" i="2"/>
  <c r="W99" i="2"/>
  <c r="X99" i="2"/>
  <c r="Y99" i="2"/>
  <c r="Z99" i="2"/>
  <c r="AA99" i="2"/>
  <c r="AE99" i="2"/>
  <c r="W100" i="2"/>
  <c r="X100" i="2"/>
  <c r="Y100" i="2"/>
  <c r="Z100" i="2"/>
  <c r="AA100" i="2"/>
  <c r="AE100" i="2"/>
  <c r="W101" i="2"/>
  <c r="X101" i="2"/>
  <c r="Y101" i="2"/>
  <c r="Z101" i="2"/>
  <c r="AA101" i="2"/>
  <c r="AE101" i="2"/>
  <c r="W102" i="2"/>
  <c r="X102" i="2"/>
  <c r="Y102" i="2"/>
  <c r="Z102" i="2"/>
  <c r="AA102" i="2"/>
  <c r="AE102" i="2"/>
  <c r="W103" i="2"/>
  <c r="X103" i="2"/>
  <c r="Y103" i="2"/>
  <c r="Z103" i="2"/>
  <c r="AA103" i="2"/>
  <c r="AE103" i="2"/>
  <c r="W104" i="2"/>
  <c r="X104" i="2"/>
  <c r="Y104" i="2"/>
  <c r="Z104" i="2"/>
  <c r="AA104" i="2"/>
  <c r="AE104" i="2"/>
  <c r="W105" i="2"/>
  <c r="X105" i="2"/>
  <c r="Y105" i="2"/>
  <c r="Z105" i="2"/>
  <c r="AA105" i="2"/>
  <c r="AE105" i="2"/>
  <c r="W106" i="2"/>
  <c r="X106" i="2"/>
  <c r="Y106" i="2"/>
  <c r="Z106" i="2"/>
  <c r="AA106" i="2"/>
  <c r="AE106" i="2"/>
  <c r="W107" i="2"/>
  <c r="X107" i="2"/>
  <c r="Y107" i="2"/>
  <c r="Z107" i="2"/>
  <c r="AA107" i="2"/>
  <c r="AE107" i="2"/>
  <c r="W108" i="2"/>
  <c r="X108" i="2"/>
  <c r="Y108" i="2"/>
  <c r="Z108" i="2"/>
  <c r="AA108" i="2"/>
  <c r="AE108" i="2"/>
  <c r="W109" i="2"/>
  <c r="X109" i="2"/>
  <c r="Y109" i="2"/>
  <c r="Z109" i="2"/>
  <c r="AA109" i="2"/>
  <c r="AE109" i="2"/>
  <c r="W110" i="2"/>
  <c r="X110" i="2"/>
  <c r="Y110" i="2"/>
  <c r="Z110" i="2"/>
  <c r="AA110" i="2"/>
  <c r="AE110" i="2"/>
  <c r="W111" i="2"/>
  <c r="X111" i="2"/>
  <c r="Y111" i="2"/>
  <c r="Z111" i="2"/>
  <c r="AA111" i="2"/>
  <c r="AE111" i="2"/>
  <c r="W112" i="2"/>
  <c r="X112" i="2"/>
  <c r="Y112" i="2"/>
  <c r="Z112" i="2"/>
  <c r="AA112" i="2"/>
  <c r="AE112" i="2"/>
  <c r="W113" i="2"/>
  <c r="X113" i="2"/>
  <c r="Y113" i="2"/>
  <c r="Z113" i="2"/>
  <c r="AA113" i="2"/>
  <c r="AE113" i="2"/>
  <c r="W114" i="2"/>
  <c r="X114" i="2"/>
  <c r="Y114" i="2"/>
  <c r="Z114" i="2"/>
  <c r="AA114" i="2"/>
  <c r="AE114" i="2"/>
  <c r="W115" i="2"/>
  <c r="X115" i="2"/>
  <c r="Y115" i="2"/>
  <c r="Z115" i="2"/>
  <c r="AA115" i="2"/>
  <c r="AE115" i="2"/>
  <c r="W116" i="2"/>
  <c r="X116" i="2"/>
  <c r="Y116" i="2"/>
  <c r="Z116" i="2"/>
  <c r="AA116" i="2"/>
  <c r="AE116" i="2"/>
  <c r="W117" i="2"/>
  <c r="X117" i="2"/>
  <c r="Y117" i="2"/>
  <c r="Z117" i="2"/>
  <c r="AA117" i="2"/>
  <c r="AE117" i="2"/>
  <c r="W118" i="2"/>
  <c r="X118" i="2"/>
  <c r="Y118" i="2"/>
  <c r="Z118" i="2"/>
  <c r="AA118" i="2"/>
  <c r="AE118" i="2"/>
  <c r="W119" i="2"/>
  <c r="X119" i="2"/>
  <c r="Y119" i="2"/>
  <c r="Z119" i="2"/>
  <c r="AA119" i="2"/>
  <c r="AE119" i="2"/>
  <c r="W120" i="2"/>
  <c r="X120" i="2"/>
  <c r="Y120" i="2"/>
  <c r="Z120" i="2"/>
  <c r="AA120" i="2"/>
  <c r="AE120" i="2"/>
  <c r="W121" i="2"/>
  <c r="X121" i="2"/>
  <c r="Y121" i="2"/>
  <c r="Z121" i="2"/>
  <c r="AA121" i="2"/>
  <c r="AE121" i="2"/>
  <c r="W122" i="2"/>
  <c r="X122" i="2"/>
  <c r="Y122" i="2"/>
  <c r="Z122" i="2"/>
  <c r="AA122" i="2"/>
  <c r="AE122" i="2"/>
  <c r="W123" i="2"/>
  <c r="X123" i="2"/>
  <c r="Y123" i="2"/>
  <c r="Z123" i="2"/>
  <c r="AA123" i="2"/>
  <c r="AE123" i="2"/>
  <c r="W124" i="2"/>
  <c r="X124" i="2"/>
  <c r="Y124" i="2"/>
  <c r="Z124" i="2"/>
  <c r="AA124" i="2"/>
  <c r="AE124" i="2"/>
  <c r="W125" i="2"/>
  <c r="X125" i="2"/>
  <c r="Y125" i="2"/>
  <c r="Z125" i="2"/>
  <c r="AA125" i="2"/>
  <c r="AE125" i="2"/>
  <c r="W126" i="2"/>
  <c r="X126" i="2"/>
  <c r="Y126" i="2"/>
  <c r="Z126" i="2"/>
  <c r="AA126" i="2"/>
  <c r="AE126" i="2"/>
  <c r="W127" i="2"/>
  <c r="X127" i="2"/>
  <c r="Y127" i="2"/>
  <c r="Z127" i="2"/>
  <c r="AA127" i="2"/>
  <c r="AE127" i="2"/>
  <c r="W128" i="2"/>
  <c r="X128" i="2"/>
  <c r="Y128" i="2"/>
  <c r="Z128" i="2"/>
  <c r="AA128" i="2"/>
  <c r="AE128" i="2"/>
  <c r="W129" i="2"/>
  <c r="X129" i="2"/>
  <c r="Y129" i="2"/>
  <c r="Z129" i="2"/>
  <c r="AA129" i="2"/>
  <c r="AE129" i="2"/>
  <c r="W130" i="2"/>
  <c r="X130" i="2"/>
  <c r="Y130" i="2"/>
  <c r="Z130" i="2"/>
  <c r="AA130" i="2"/>
  <c r="AE130" i="2"/>
  <c r="W3" i="2"/>
  <c r="X3" i="2"/>
  <c r="Y3" i="2"/>
  <c r="Z3" i="2"/>
  <c r="AA3" i="2"/>
  <c r="AE3" i="2"/>
  <c r="W4" i="2"/>
  <c r="X4" i="2"/>
  <c r="Y4" i="2"/>
  <c r="Z4" i="2"/>
  <c r="AA4" i="2"/>
  <c r="AE4" i="2"/>
  <c r="W5" i="2"/>
  <c r="X5" i="2"/>
  <c r="Y5" i="2"/>
  <c r="Z5" i="2"/>
  <c r="AA5" i="2"/>
  <c r="AB5" i="2"/>
  <c r="AE5" i="2"/>
  <c r="W6" i="2"/>
  <c r="X6" i="2"/>
  <c r="Y6" i="2"/>
  <c r="Z6" i="2"/>
  <c r="AA6" i="2"/>
  <c r="AE6" i="2"/>
  <c r="W7" i="2"/>
  <c r="X7" i="2"/>
  <c r="Y7" i="2"/>
  <c r="Z7" i="2"/>
  <c r="AA7" i="2"/>
  <c r="AE7" i="2"/>
  <c r="W8" i="2"/>
  <c r="X8" i="2"/>
  <c r="Y8" i="2"/>
  <c r="Z8" i="2"/>
  <c r="AA8" i="2"/>
  <c r="AE8" i="2"/>
  <c r="W9" i="2"/>
  <c r="X9" i="2"/>
  <c r="Y9" i="2"/>
  <c r="Z9" i="2"/>
  <c r="AA9" i="2"/>
  <c r="AE9" i="2"/>
  <c r="W10" i="2"/>
  <c r="X10" i="2"/>
  <c r="Y10" i="2"/>
  <c r="Z10" i="2"/>
  <c r="AA10" i="2"/>
  <c r="AE10" i="2"/>
  <c r="W11" i="2"/>
  <c r="X11" i="2"/>
  <c r="Y11" i="2"/>
  <c r="Z11" i="2"/>
  <c r="AA11" i="2"/>
  <c r="AE11" i="2"/>
  <c r="W12" i="2"/>
  <c r="X12" i="2"/>
  <c r="Y12" i="2"/>
  <c r="Z12" i="2"/>
  <c r="AA12" i="2"/>
  <c r="AE12" i="2"/>
  <c r="W13" i="2"/>
  <c r="X13" i="2"/>
  <c r="Y13" i="2"/>
  <c r="Z13" i="2"/>
  <c r="AA13" i="2"/>
  <c r="AE13" i="2"/>
  <c r="W14" i="2"/>
  <c r="X14" i="2"/>
  <c r="Y14" i="2"/>
  <c r="Z14" i="2"/>
  <c r="AA14" i="2"/>
  <c r="AE14" i="2"/>
  <c r="W15" i="2"/>
  <c r="X15" i="2"/>
  <c r="Y15" i="2"/>
  <c r="Z15" i="2"/>
  <c r="AA15" i="2"/>
  <c r="AE15" i="2"/>
  <c r="W16" i="2"/>
  <c r="X16" i="2"/>
  <c r="Y16" i="2"/>
  <c r="Z16" i="2"/>
  <c r="AA16" i="2"/>
  <c r="AC16" i="2"/>
  <c r="AE16" i="2"/>
  <c r="W17" i="2"/>
  <c r="X17" i="2"/>
  <c r="Y17" i="2"/>
  <c r="Z17" i="2"/>
  <c r="AA17" i="2"/>
  <c r="AE17" i="2"/>
  <c r="W18" i="2"/>
  <c r="X18" i="2"/>
  <c r="Y18" i="2"/>
  <c r="Z18" i="2"/>
  <c r="AA18" i="2"/>
  <c r="AE18" i="2"/>
  <c r="W19" i="2"/>
  <c r="X19" i="2"/>
  <c r="Y19" i="2"/>
  <c r="Z19" i="2"/>
  <c r="AA19" i="2"/>
  <c r="AE19" i="2"/>
  <c r="W20" i="2"/>
  <c r="X20" i="2"/>
  <c r="Y20" i="2"/>
  <c r="Z20" i="2"/>
  <c r="AA20" i="2"/>
  <c r="AE20" i="2"/>
  <c r="W21" i="2"/>
  <c r="X21" i="2"/>
  <c r="Y21" i="2"/>
  <c r="Z21" i="2"/>
  <c r="AA21" i="2"/>
  <c r="AE21" i="2"/>
  <c r="AE2" i="2"/>
  <c r="AA2" i="2"/>
  <c r="Z2" i="2"/>
  <c r="Y2" i="2"/>
  <c r="X2" i="2"/>
  <c r="W2" i="2"/>
  <c r="P139" i="2"/>
  <c r="AB139" i="2" s="1"/>
  <c r="P140" i="2"/>
  <c r="AB140" i="2" s="1"/>
  <c r="P141" i="2"/>
  <c r="AB141" i="2" s="1"/>
  <c r="P142" i="2"/>
  <c r="AB142" i="2" s="1"/>
  <c r="P143" i="2"/>
  <c r="AB143" i="2" s="1"/>
  <c r="P144" i="2"/>
  <c r="AB144" i="2" s="1"/>
  <c r="P145" i="2"/>
  <c r="P146" i="2"/>
  <c r="AB146" i="2" s="1"/>
  <c r="P147" i="2"/>
  <c r="AB147" i="2" s="1"/>
  <c r="P148" i="2"/>
  <c r="AB148" i="2" s="1"/>
  <c r="P149" i="2"/>
  <c r="AB149" i="2" s="1"/>
  <c r="P150" i="2"/>
  <c r="AB150" i="2" s="1"/>
  <c r="P151" i="2"/>
  <c r="AB151" i="2" s="1"/>
  <c r="P152" i="2"/>
  <c r="AB152" i="2" s="1"/>
  <c r="P153" i="2"/>
  <c r="AB153" i="2" s="1"/>
  <c r="P154" i="2"/>
  <c r="AB154" i="2" s="1"/>
  <c r="P155" i="2"/>
  <c r="AB155" i="2" s="1"/>
  <c r="P156" i="2"/>
  <c r="AB156" i="2" s="1"/>
  <c r="P157" i="2"/>
  <c r="AB157" i="2" s="1"/>
  <c r="P158" i="2"/>
  <c r="AB158" i="2" s="1"/>
  <c r="P159" i="2"/>
  <c r="AB159" i="2" s="1"/>
  <c r="P160" i="2"/>
  <c r="AB160" i="2" s="1"/>
  <c r="P161" i="2"/>
  <c r="AB161" i="2" s="1"/>
  <c r="P162" i="2"/>
  <c r="AB162" i="2" s="1"/>
  <c r="P163" i="2"/>
  <c r="AB163" i="2" s="1"/>
  <c r="P164" i="2"/>
  <c r="AB164" i="2" s="1"/>
  <c r="P165" i="2"/>
  <c r="AB165" i="2" s="1"/>
  <c r="P166" i="2"/>
  <c r="AB166" i="2" s="1"/>
  <c r="P167" i="2"/>
  <c r="AB167" i="2" s="1"/>
  <c r="P168" i="2"/>
  <c r="AB168" i="2" s="1"/>
  <c r="P169" i="2"/>
  <c r="AB169" i="2" s="1"/>
  <c r="P170" i="2"/>
  <c r="AB170" i="2" s="1"/>
  <c r="P171" i="2"/>
  <c r="AB171" i="2" s="1"/>
  <c r="P172" i="2"/>
  <c r="AB172" i="2" s="1"/>
  <c r="P173" i="2"/>
  <c r="AB173" i="2" s="1"/>
  <c r="P174" i="2"/>
  <c r="AB174" i="2" s="1"/>
  <c r="P175" i="2"/>
  <c r="AB175" i="2" s="1"/>
  <c r="P176" i="2"/>
  <c r="AB176" i="2" s="1"/>
  <c r="P177" i="2"/>
  <c r="AB177" i="2" s="1"/>
  <c r="P178" i="2"/>
  <c r="AB178" i="2" s="1"/>
  <c r="P179" i="2"/>
  <c r="AB179" i="2" s="1"/>
  <c r="P180" i="2"/>
  <c r="AB180" i="2" s="1"/>
  <c r="P181" i="2"/>
  <c r="AB181" i="2" s="1"/>
  <c r="P182" i="2"/>
  <c r="AB182" i="2" s="1"/>
  <c r="P183" i="2"/>
  <c r="AB183" i="2" s="1"/>
  <c r="P138" i="2"/>
  <c r="AB138" i="2" s="1"/>
  <c r="P3" i="2"/>
  <c r="AB3" i="2" s="1"/>
  <c r="P4" i="2"/>
  <c r="AB4" i="2" s="1"/>
  <c r="P5" i="2"/>
  <c r="P6" i="2"/>
  <c r="AB6" i="2" s="1"/>
  <c r="P7" i="2"/>
  <c r="AB7" i="2" s="1"/>
  <c r="P8" i="2"/>
  <c r="AB8" i="2" s="1"/>
  <c r="P9" i="2"/>
  <c r="AB9" i="2" s="1"/>
  <c r="P10" i="2"/>
  <c r="AB10" i="2" s="1"/>
  <c r="P11" i="2"/>
  <c r="AB11" i="2" s="1"/>
  <c r="P12" i="2"/>
  <c r="AB12" i="2" s="1"/>
  <c r="P13" i="2"/>
  <c r="AB13" i="2" s="1"/>
  <c r="P14" i="2"/>
  <c r="AB14" i="2" s="1"/>
  <c r="P15" i="2"/>
  <c r="AB15" i="2" s="1"/>
  <c r="P16" i="2"/>
  <c r="AB16" i="2" s="1"/>
  <c r="P17" i="2"/>
  <c r="AB17" i="2" s="1"/>
  <c r="P18" i="2"/>
  <c r="AB18" i="2" s="1"/>
  <c r="P19" i="2"/>
  <c r="AB19" i="2" s="1"/>
  <c r="P20" i="2"/>
  <c r="AB20" i="2" s="1"/>
  <c r="P21" i="2"/>
  <c r="AB21" i="2" s="1"/>
  <c r="P22" i="2"/>
  <c r="AB22" i="2" s="1"/>
  <c r="P23" i="2"/>
  <c r="AB23" i="2" s="1"/>
  <c r="P24" i="2"/>
  <c r="AB24" i="2" s="1"/>
  <c r="P25" i="2"/>
  <c r="AB25" i="2" s="1"/>
  <c r="P26" i="2"/>
  <c r="AB26" i="2" s="1"/>
  <c r="P27" i="2"/>
  <c r="AB27" i="2" s="1"/>
  <c r="P28" i="2"/>
  <c r="AB28" i="2" s="1"/>
  <c r="P29" i="2"/>
  <c r="AB29" i="2" s="1"/>
  <c r="P30" i="2"/>
  <c r="AB30" i="2" s="1"/>
  <c r="P31" i="2"/>
  <c r="AB31" i="2" s="1"/>
  <c r="P32" i="2"/>
  <c r="AB32" i="2" s="1"/>
  <c r="P33" i="2"/>
  <c r="AB33" i="2" s="1"/>
  <c r="P34" i="2"/>
  <c r="AB34" i="2" s="1"/>
  <c r="P35" i="2"/>
  <c r="AB35" i="2" s="1"/>
  <c r="P36" i="2"/>
  <c r="AB36" i="2" s="1"/>
  <c r="P37" i="2"/>
  <c r="AB37" i="2" s="1"/>
  <c r="P38" i="2"/>
  <c r="AB38" i="2" s="1"/>
  <c r="P39" i="2"/>
  <c r="AB39" i="2" s="1"/>
  <c r="P40" i="2"/>
  <c r="AB40" i="2" s="1"/>
  <c r="P41" i="2"/>
  <c r="AB41" i="2" s="1"/>
  <c r="P42" i="2"/>
  <c r="AB42" i="2" s="1"/>
  <c r="P43" i="2"/>
  <c r="AB43" i="2" s="1"/>
  <c r="P44" i="2"/>
  <c r="AB44" i="2" s="1"/>
  <c r="P45" i="2"/>
  <c r="AB45" i="2" s="1"/>
  <c r="P46" i="2"/>
  <c r="AB46" i="2" s="1"/>
  <c r="P47" i="2"/>
  <c r="AB47" i="2" s="1"/>
  <c r="P48" i="2"/>
  <c r="AB48" i="2" s="1"/>
  <c r="P49" i="2"/>
  <c r="AB49" i="2" s="1"/>
  <c r="P50" i="2"/>
  <c r="AB50" i="2" s="1"/>
  <c r="P51" i="2"/>
  <c r="AB51" i="2" s="1"/>
  <c r="P52" i="2"/>
  <c r="AB52" i="2" s="1"/>
  <c r="P53" i="2"/>
  <c r="AB53" i="2" s="1"/>
  <c r="P54" i="2"/>
  <c r="AB54" i="2" s="1"/>
  <c r="P55" i="2"/>
  <c r="AB55" i="2" s="1"/>
  <c r="P56" i="2"/>
  <c r="AB56" i="2" s="1"/>
  <c r="P57" i="2"/>
  <c r="AB57" i="2" s="1"/>
  <c r="P58" i="2"/>
  <c r="AB58" i="2" s="1"/>
  <c r="P59" i="2"/>
  <c r="AB59" i="2" s="1"/>
  <c r="P60" i="2"/>
  <c r="AB60" i="2" s="1"/>
  <c r="P61" i="2"/>
  <c r="AB61" i="2" s="1"/>
  <c r="P62" i="2"/>
  <c r="AB62" i="2" s="1"/>
  <c r="P63" i="2"/>
  <c r="AB63" i="2" s="1"/>
  <c r="P64" i="2"/>
  <c r="AB64" i="2" s="1"/>
  <c r="P65" i="2"/>
  <c r="AB65" i="2" s="1"/>
  <c r="P66" i="2"/>
  <c r="AB66" i="2" s="1"/>
  <c r="P67" i="2"/>
  <c r="AB67" i="2" s="1"/>
  <c r="P68" i="2"/>
  <c r="AB68" i="2" s="1"/>
  <c r="P69" i="2"/>
  <c r="AB69" i="2" s="1"/>
  <c r="P70" i="2"/>
  <c r="AB70" i="2" s="1"/>
  <c r="P71" i="2"/>
  <c r="AB71" i="2" s="1"/>
  <c r="P72" i="2"/>
  <c r="AB72" i="2" s="1"/>
  <c r="P73" i="2"/>
  <c r="AB73" i="2" s="1"/>
  <c r="P74" i="2"/>
  <c r="AB74" i="2" s="1"/>
  <c r="P75" i="2"/>
  <c r="AB75" i="2" s="1"/>
  <c r="P76" i="2"/>
  <c r="AB76" i="2" s="1"/>
  <c r="P77" i="2"/>
  <c r="AB77" i="2" s="1"/>
  <c r="P78" i="2"/>
  <c r="AB78" i="2" s="1"/>
  <c r="P79" i="2"/>
  <c r="AB79" i="2" s="1"/>
  <c r="P80" i="2"/>
  <c r="AB80" i="2" s="1"/>
  <c r="P81" i="2"/>
  <c r="AB81" i="2" s="1"/>
  <c r="P82" i="2"/>
  <c r="AB82" i="2" s="1"/>
  <c r="P83" i="2"/>
  <c r="AB83" i="2" s="1"/>
  <c r="P84" i="2"/>
  <c r="AB84" i="2" s="1"/>
  <c r="P85" i="2"/>
  <c r="AB85" i="2" s="1"/>
  <c r="P86" i="2"/>
  <c r="AB86" i="2" s="1"/>
  <c r="P87" i="2"/>
  <c r="AB87" i="2" s="1"/>
  <c r="P88" i="2"/>
  <c r="AB88" i="2" s="1"/>
  <c r="P89" i="2"/>
  <c r="AB89" i="2" s="1"/>
  <c r="P90" i="2"/>
  <c r="AB90" i="2" s="1"/>
  <c r="P91" i="2"/>
  <c r="AB91" i="2" s="1"/>
  <c r="P92" i="2"/>
  <c r="AB92" i="2" s="1"/>
  <c r="P93" i="2"/>
  <c r="AB93" i="2" s="1"/>
  <c r="P94" i="2"/>
  <c r="AB94" i="2" s="1"/>
  <c r="P95" i="2"/>
  <c r="AB95" i="2" s="1"/>
  <c r="P96" i="2"/>
  <c r="AB96" i="2" s="1"/>
  <c r="P97" i="2"/>
  <c r="AB97" i="2" s="1"/>
  <c r="P98" i="2"/>
  <c r="AB98" i="2" s="1"/>
  <c r="P99" i="2"/>
  <c r="AB99" i="2" s="1"/>
  <c r="P100" i="2"/>
  <c r="AB100" i="2" s="1"/>
  <c r="P101" i="2"/>
  <c r="AB101" i="2" s="1"/>
  <c r="P102" i="2"/>
  <c r="AB102" i="2" s="1"/>
  <c r="P103" i="2"/>
  <c r="AB103" i="2" s="1"/>
  <c r="P104" i="2"/>
  <c r="AB104" i="2" s="1"/>
  <c r="P105" i="2"/>
  <c r="AB105" i="2" s="1"/>
  <c r="P106" i="2"/>
  <c r="AB106" i="2" s="1"/>
  <c r="P107" i="2"/>
  <c r="AB107" i="2" s="1"/>
  <c r="P108" i="2"/>
  <c r="AB108" i="2" s="1"/>
  <c r="P109" i="2"/>
  <c r="AB109" i="2" s="1"/>
  <c r="P110" i="2"/>
  <c r="AB110" i="2" s="1"/>
  <c r="P111" i="2"/>
  <c r="AB111" i="2" s="1"/>
  <c r="P112" i="2"/>
  <c r="AB112" i="2" s="1"/>
  <c r="P113" i="2"/>
  <c r="AB113" i="2" s="1"/>
  <c r="P114" i="2"/>
  <c r="AB114" i="2" s="1"/>
  <c r="P115" i="2"/>
  <c r="AB115" i="2" s="1"/>
  <c r="P116" i="2"/>
  <c r="AB116" i="2" s="1"/>
  <c r="P117" i="2"/>
  <c r="AB117" i="2" s="1"/>
  <c r="P118" i="2"/>
  <c r="AB118" i="2" s="1"/>
  <c r="P119" i="2"/>
  <c r="AB119" i="2" s="1"/>
  <c r="P120" i="2"/>
  <c r="AB120" i="2" s="1"/>
  <c r="P121" i="2"/>
  <c r="AB121" i="2" s="1"/>
  <c r="P122" i="2"/>
  <c r="AB122" i="2" s="1"/>
  <c r="P123" i="2"/>
  <c r="AB123" i="2" s="1"/>
  <c r="P124" i="2"/>
  <c r="AB124" i="2" s="1"/>
  <c r="P125" i="2"/>
  <c r="AB125" i="2" s="1"/>
  <c r="P126" i="2"/>
  <c r="AB126" i="2" s="1"/>
  <c r="P127" i="2"/>
  <c r="AB127" i="2" s="1"/>
  <c r="P128" i="2"/>
  <c r="AB128" i="2" s="1"/>
  <c r="P129" i="2"/>
  <c r="AB129" i="2" s="1"/>
  <c r="P130" i="2"/>
  <c r="AB130" i="2" s="1"/>
  <c r="P131" i="2"/>
  <c r="AB131" i="2" s="1"/>
  <c r="P132" i="2"/>
  <c r="AB132" i="2" s="1"/>
  <c r="P133" i="2"/>
  <c r="AB133" i="2" s="1"/>
  <c r="P134" i="2"/>
  <c r="AB134" i="2" s="1"/>
  <c r="P135" i="2"/>
  <c r="AB135" i="2" s="1"/>
  <c r="P136" i="2"/>
  <c r="AB136" i="2" s="1"/>
  <c r="P137" i="2"/>
  <c r="AB137" i="2" s="1"/>
  <c r="P2" i="2"/>
  <c r="AB2" i="2" s="1"/>
  <c r="Q3" i="2"/>
  <c r="AC3" i="2" s="1"/>
  <c r="Q4" i="2"/>
  <c r="AC4" i="2" s="1"/>
  <c r="Q5" i="2"/>
  <c r="AC5" i="2" s="1"/>
  <c r="Q6" i="2"/>
  <c r="AC6" i="2" s="1"/>
  <c r="Q7" i="2"/>
  <c r="AC7" i="2" s="1"/>
  <c r="Q8" i="2"/>
  <c r="AC8" i="2" s="1"/>
  <c r="Q9" i="2"/>
  <c r="AC9" i="2" s="1"/>
  <c r="Q10" i="2"/>
  <c r="AC10" i="2" s="1"/>
  <c r="Q11" i="2"/>
  <c r="AC11" i="2" s="1"/>
  <c r="Q12" i="2"/>
  <c r="AC12" i="2" s="1"/>
  <c r="Q13" i="2"/>
  <c r="AC13" i="2" s="1"/>
  <c r="Q14" i="2"/>
  <c r="AC14" i="2" s="1"/>
  <c r="Q15" i="2"/>
  <c r="AC15" i="2" s="1"/>
  <c r="Q16" i="2"/>
  <c r="Q17" i="2"/>
  <c r="AC17" i="2" s="1"/>
  <c r="Q18" i="2"/>
  <c r="AC18" i="2" s="1"/>
  <c r="Q19" i="2"/>
  <c r="AC19" i="2" s="1"/>
  <c r="Q20" i="2"/>
  <c r="AC20" i="2" s="1"/>
  <c r="Q21" i="2"/>
  <c r="AC21" i="2" s="1"/>
  <c r="Q22" i="2"/>
  <c r="AC22" i="2" s="1"/>
  <c r="Q23" i="2"/>
  <c r="AC23" i="2" s="1"/>
  <c r="Q24" i="2"/>
  <c r="AC24" i="2" s="1"/>
  <c r="Q25" i="2"/>
  <c r="AC25" i="2" s="1"/>
  <c r="Q26" i="2"/>
  <c r="AC26" i="2" s="1"/>
  <c r="Q27" i="2"/>
  <c r="AC27" i="2" s="1"/>
  <c r="Q28" i="2"/>
  <c r="AC28" i="2" s="1"/>
  <c r="Q29" i="2"/>
  <c r="AC29" i="2" s="1"/>
  <c r="Q30" i="2"/>
  <c r="AC30" i="2" s="1"/>
  <c r="Q31" i="2"/>
  <c r="AC31" i="2" s="1"/>
  <c r="Q32" i="2"/>
  <c r="AC32" i="2" s="1"/>
  <c r="Q33" i="2"/>
  <c r="AC33" i="2" s="1"/>
  <c r="Q34" i="2"/>
  <c r="AC34" i="2" s="1"/>
  <c r="Q35" i="2"/>
  <c r="AC35" i="2" s="1"/>
  <c r="Q36" i="2"/>
  <c r="AC36" i="2" s="1"/>
  <c r="Q37" i="2"/>
  <c r="AC37" i="2" s="1"/>
  <c r="Q38" i="2"/>
  <c r="AC38" i="2" s="1"/>
  <c r="Q39" i="2"/>
  <c r="AC39" i="2" s="1"/>
  <c r="Q40" i="2"/>
  <c r="AC40" i="2" s="1"/>
  <c r="Q41" i="2"/>
  <c r="AC41" i="2" s="1"/>
  <c r="Q42" i="2"/>
  <c r="AC42" i="2" s="1"/>
  <c r="Q43" i="2"/>
  <c r="AC43" i="2" s="1"/>
  <c r="Q44" i="2"/>
  <c r="AC44" i="2" s="1"/>
  <c r="Q45" i="2"/>
  <c r="AC45" i="2" s="1"/>
  <c r="Q46" i="2"/>
  <c r="AC46" i="2" s="1"/>
  <c r="Q47" i="2"/>
  <c r="AC47" i="2" s="1"/>
  <c r="Q48" i="2"/>
  <c r="AC48" i="2" s="1"/>
  <c r="Q49" i="2"/>
  <c r="AC49" i="2" s="1"/>
  <c r="Q50" i="2"/>
  <c r="AC50" i="2" s="1"/>
  <c r="Q51" i="2"/>
  <c r="AC51" i="2" s="1"/>
  <c r="Q52" i="2"/>
  <c r="AC52" i="2" s="1"/>
  <c r="Q53" i="2"/>
  <c r="AC53" i="2" s="1"/>
  <c r="Q54" i="2"/>
  <c r="AC54" i="2" s="1"/>
  <c r="Q55" i="2"/>
  <c r="AC55" i="2" s="1"/>
  <c r="Q56" i="2"/>
  <c r="AC56" i="2" s="1"/>
  <c r="Q57" i="2"/>
  <c r="AC57" i="2" s="1"/>
  <c r="Q58" i="2"/>
  <c r="AC58" i="2" s="1"/>
  <c r="Q59" i="2"/>
  <c r="AC59" i="2" s="1"/>
  <c r="Q60" i="2"/>
  <c r="AC60" i="2" s="1"/>
  <c r="Q61" i="2"/>
  <c r="AC61" i="2" s="1"/>
  <c r="Q62" i="2"/>
  <c r="AC62" i="2" s="1"/>
  <c r="Q63" i="2"/>
  <c r="AC63" i="2" s="1"/>
  <c r="Q64" i="2"/>
  <c r="AC64" i="2" s="1"/>
  <c r="Q65" i="2"/>
  <c r="AC65" i="2" s="1"/>
  <c r="Q66" i="2"/>
  <c r="AC66" i="2" s="1"/>
  <c r="Q67" i="2"/>
  <c r="AC67" i="2" s="1"/>
  <c r="Q68" i="2"/>
  <c r="AC68" i="2" s="1"/>
  <c r="Q69" i="2"/>
  <c r="AC69" i="2" s="1"/>
  <c r="Q70" i="2"/>
  <c r="AC70" i="2" s="1"/>
  <c r="Q71" i="2"/>
  <c r="AC71" i="2" s="1"/>
  <c r="Q72" i="2"/>
  <c r="AC72" i="2" s="1"/>
  <c r="Q73" i="2"/>
  <c r="AC73" i="2" s="1"/>
  <c r="Q74" i="2"/>
  <c r="AC74" i="2" s="1"/>
  <c r="Q75" i="2"/>
  <c r="AC75" i="2" s="1"/>
  <c r="Q76" i="2"/>
  <c r="AC76" i="2" s="1"/>
  <c r="Q77" i="2"/>
  <c r="AC77" i="2" s="1"/>
  <c r="Q78" i="2"/>
  <c r="AC78" i="2" s="1"/>
  <c r="Q79" i="2"/>
  <c r="AC79" i="2" s="1"/>
  <c r="Q80" i="2"/>
  <c r="AC80" i="2" s="1"/>
  <c r="Q81" i="2"/>
  <c r="AC81" i="2" s="1"/>
  <c r="Q82" i="2"/>
  <c r="AC82" i="2" s="1"/>
  <c r="Q83" i="2"/>
  <c r="AC83" i="2" s="1"/>
  <c r="Q84" i="2"/>
  <c r="AC84" i="2" s="1"/>
  <c r="Q85" i="2"/>
  <c r="AC85" i="2" s="1"/>
  <c r="Q86" i="2"/>
  <c r="AC86" i="2" s="1"/>
  <c r="Q87" i="2"/>
  <c r="AC87" i="2" s="1"/>
  <c r="Q88" i="2"/>
  <c r="AC88" i="2" s="1"/>
  <c r="Q89" i="2"/>
  <c r="AC89" i="2" s="1"/>
  <c r="Q90" i="2"/>
  <c r="AC90" i="2" s="1"/>
  <c r="Q91" i="2"/>
  <c r="AC91" i="2" s="1"/>
  <c r="Q92" i="2"/>
  <c r="AC92" i="2" s="1"/>
  <c r="Q93" i="2"/>
  <c r="AC93" i="2" s="1"/>
  <c r="Q94" i="2"/>
  <c r="AC94" i="2" s="1"/>
  <c r="Q95" i="2"/>
  <c r="AC95" i="2" s="1"/>
  <c r="Q96" i="2"/>
  <c r="AC96" i="2" s="1"/>
  <c r="Q97" i="2"/>
  <c r="AC97" i="2" s="1"/>
  <c r="Q98" i="2"/>
  <c r="AC98" i="2" s="1"/>
  <c r="Q99" i="2"/>
  <c r="AC99" i="2" s="1"/>
  <c r="Q100" i="2"/>
  <c r="AC100" i="2" s="1"/>
  <c r="Q101" i="2"/>
  <c r="AC101" i="2" s="1"/>
  <c r="Q102" i="2"/>
  <c r="AC102" i="2" s="1"/>
  <c r="Q103" i="2"/>
  <c r="AC103" i="2" s="1"/>
  <c r="Q104" i="2"/>
  <c r="AC104" i="2" s="1"/>
  <c r="Q105" i="2"/>
  <c r="AC105" i="2" s="1"/>
  <c r="Q106" i="2"/>
  <c r="AC106" i="2" s="1"/>
  <c r="Q107" i="2"/>
  <c r="AC107" i="2" s="1"/>
  <c r="Q108" i="2"/>
  <c r="AC108" i="2" s="1"/>
  <c r="Q109" i="2"/>
  <c r="AC109" i="2" s="1"/>
  <c r="Q110" i="2"/>
  <c r="AC110" i="2" s="1"/>
  <c r="Q111" i="2"/>
  <c r="AC111" i="2" s="1"/>
  <c r="Q112" i="2"/>
  <c r="AC112" i="2" s="1"/>
  <c r="Q113" i="2"/>
  <c r="AC113" i="2" s="1"/>
  <c r="Q114" i="2"/>
  <c r="AC114" i="2" s="1"/>
  <c r="Q115" i="2"/>
  <c r="AC115" i="2" s="1"/>
  <c r="Q116" i="2"/>
  <c r="AC116" i="2" s="1"/>
  <c r="Q117" i="2"/>
  <c r="AC117" i="2" s="1"/>
  <c r="Q118" i="2"/>
  <c r="AC118" i="2" s="1"/>
  <c r="Q119" i="2"/>
  <c r="AC119" i="2" s="1"/>
  <c r="Q120" i="2"/>
  <c r="AC120" i="2" s="1"/>
  <c r="Q121" i="2"/>
  <c r="AC121" i="2" s="1"/>
  <c r="Q122" i="2"/>
  <c r="AC122" i="2" s="1"/>
  <c r="Q123" i="2"/>
  <c r="AC123" i="2" s="1"/>
  <c r="Q124" i="2"/>
  <c r="AC124" i="2" s="1"/>
  <c r="Q125" i="2"/>
  <c r="AC125" i="2" s="1"/>
  <c r="Q126" i="2"/>
  <c r="AC126" i="2" s="1"/>
  <c r="Q127" i="2"/>
  <c r="AC127" i="2" s="1"/>
  <c r="Q128" i="2"/>
  <c r="AC128" i="2" s="1"/>
  <c r="Q129" i="2"/>
  <c r="AC129" i="2" s="1"/>
  <c r="Q130" i="2"/>
  <c r="AC130" i="2" s="1"/>
  <c r="Q131" i="2"/>
  <c r="AC131" i="2" s="1"/>
  <c r="Q132" i="2"/>
  <c r="AC132" i="2" s="1"/>
  <c r="Q133" i="2"/>
  <c r="AC133" i="2" s="1"/>
  <c r="Q134" i="2"/>
  <c r="AC134" i="2" s="1"/>
  <c r="Q135" i="2"/>
  <c r="AC135" i="2" s="1"/>
  <c r="Q136" i="2"/>
  <c r="AC136" i="2" s="1"/>
  <c r="Q137" i="2"/>
  <c r="AC137" i="2" s="1"/>
  <c r="Q138" i="2"/>
  <c r="AC138" i="2" s="1"/>
  <c r="Q139" i="2"/>
  <c r="AC139" i="2" s="1"/>
  <c r="Q140" i="2"/>
  <c r="AC140" i="2" s="1"/>
  <c r="Q141" i="2"/>
  <c r="AC141" i="2" s="1"/>
  <c r="Q142" i="2"/>
  <c r="AC142" i="2" s="1"/>
  <c r="Q143" i="2"/>
  <c r="AC143" i="2" s="1"/>
  <c r="Q144" i="2"/>
  <c r="AC144" i="2" s="1"/>
  <c r="Q145" i="2"/>
  <c r="AC145" i="2" s="1"/>
  <c r="Q146" i="2"/>
  <c r="AC146" i="2" s="1"/>
  <c r="Q147" i="2"/>
  <c r="AC147" i="2" s="1"/>
  <c r="Q148" i="2"/>
  <c r="AC148" i="2" s="1"/>
  <c r="Q149" i="2"/>
  <c r="AC149" i="2" s="1"/>
  <c r="Q150" i="2"/>
  <c r="AC150" i="2" s="1"/>
  <c r="Q151" i="2"/>
  <c r="AC151" i="2" s="1"/>
  <c r="Q152" i="2"/>
  <c r="AC152" i="2" s="1"/>
  <c r="Q153" i="2"/>
  <c r="AC153" i="2" s="1"/>
  <c r="Q154" i="2"/>
  <c r="AC154" i="2" s="1"/>
  <c r="Q155" i="2"/>
  <c r="AC155" i="2" s="1"/>
  <c r="Q156" i="2"/>
  <c r="AC156" i="2" s="1"/>
  <c r="Q157" i="2"/>
  <c r="AC157" i="2" s="1"/>
  <c r="Q158" i="2"/>
  <c r="AC158" i="2" s="1"/>
  <c r="Q159" i="2"/>
  <c r="AC159" i="2" s="1"/>
  <c r="Q160" i="2"/>
  <c r="AC160" i="2" s="1"/>
  <c r="Q161" i="2"/>
  <c r="AC161" i="2" s="1"/>
  <c r="Q162" i="2"/>
  <c r="AC162" i="2" s="1"/>
  <c r="Q163" i="2"/>
  <c r="AC163" i="2" s="1"/>
  <c r="Q164" i="2"/>
  <c r="AC164" i="2" s="1"/>
  <c r="Q165" i="2"/>
  <c r="AC165" i="2" s="1"/>
  <c r="Q166" i="2"/>
  <c r="AC166" i="2" s="1"/>
  <c r="Q167" i="2"/>
  <c r="AC167" i="2" s="1"/>
  <c r="Q168" i="2"/>
  <c r="AC168" i="2" s="1"/>
  <c r="Q169" i="2"/>
  <c r="AC169" i="2" s="1"/>
  <c r="Q170" i="2"/>
  <c r="AC170" i="2" s="1"/>
  <c r="Q171" i="2"/>
  <c r="AC171" i="2" s="1"/>
  <c r="Q172" i="2"/>
  <c r="AC172" i="2" s="1"/>
  <c r="Q173" i="2"/>
  <c r="AC173" i="2" s="1"/>
  <c r="Q174" i="2"/>
  <c r="AC174" i="2" s="1"/>
  <c r="Q175" i="2"/>
  <c r="AC175" i="2" s="1"/>
  <c r="Q176" i="2"/>
  <c r="AC176" i="2" s="1"/>
  <c r="Q177" i="2"/>
  <c r="AC177" i="2" s="1"/>
  <c r="Q178" i="2"/>
  <c r="AC178" i="2" s="1"/>
  <c r="Q179" i="2"/>
  <c r="AC179" i="2" s="1"/>
  <c r="Q180" i="2"/>
  <c r="AC180" i="2" s="1"/>
  <c r="Q181" i="2"/>
  <c r="AC181" i="2" s="1"/>
  <c r="Q182" i="2"/>
  <c r="AC182" i="2" s="1"/>
  <c r="Q183" i="2"/>
  <c r="AC183" i="2" s="1"/>
  <c r="Q2" i="2"/>
  <c r="AC2" i="2" s="1"/>
  <c r="AL3" i="11" l="1"/>
  <c r="AL5" i="11"/>
  <c r="AL7" i="11"/>
  <c r="AL9" i="11"/>
  <c r="AL11" i="11"/>
  <c r="AL13" i="11"/>
  <c r="AL15" i="11"/>
  <c r="AL17" i="11"/>
  <c r="AL19" i="11"/>
  <c r="AL21" i="11"/>
  <c r="AL23" i="11"/>
  <c r="AL25" i="11"/>
  <c r="AL27" i="11"/>
  <c r="AL29" i="11"/>
  <c r="AL31" i="11"/>
  <c r="AL33" i="11"/>
  <c r="AL35" i="11"/>
  <c r="AL37" i="11"/>
  <c r="AL39" i="11"/>
  <c r="AL41" i="11"/>
  <c r="AL43" i="11"/>
  <c r="AL45" i="11"/>
  <c r="AL47" i="11"/>
  <c r="AL49" i="11"/>
  <c r="AL51" i="11"/>
  <c r="AL53" i="11"/>
  <c r="AL55" i="11"/>
  <c r="AL57" i="11"/>
  <c r="AL59" i="11"/>
  <c r="AL61" i="11"/>
  <c r="AL63" i="11"/>
  <c r="AL65" i="11"/>
  <c r="AL67" i="11"/>
  <c r="AL69" i="11"/>
  <c r="AL71" i="11"/>
  <c r="AL73" i="11"/>
  <c r="AL75" i="11"/>
  <c r="AL77" i="11"/>
  <c r="AL79" i="11"/>
  <c r="AL81" i="11"/>
  <c r="AL83" i="11"/>
  <c r="AL85" i="11"/>
  <c r="AL87" i="11"/>
  <c r="AL89" i="11"/>
  <c r="AL91" i="11"/>
  <c r="AL93" i="11"/>
  <c r="AL95" i="11"/>
  <c r="AL97" i="11"/>
  <c r="AL99" i="11"/>
  <c r="AL101" i="11"/>
  <c r="AL103" i="11"/>
  <c r="AL105" i="11"/>
  <c r="AL107" i="11"/>
  <c r="AL109" i="11"/>
  <c r="AL111" i="11"/>
  <c r="AL113" i="11"/>
  <c r="AL115" i="11"/>
  <c r="AL117" i="11"/>
  <c r="AL119" i="11"/>
  <c r="AL121" i="11"/>
  <c r="AL123" i="11"/>
  <c r="AL125" i="11"/>
  <c r="AL127" i="11"/>
  <c r="AL129" i="11"/>
  <c r="AL131" i="11"/>
  <c r="AL133" i="11"/>
  <c r="AL135" i="11"/>
  <c r="AL137" i="11"/>
  <c r="AL139" i="11"/>
  <c r="AL141" i="11"/>
  <c r="AL143" i="11"/>
  <c r="AL145" i="11"/>
  <c r="AL147" i="11"/>
  <c r="AL149" i="11"/>
  <c r="AL151" i="11"/>
  <c r="AL153" i="11"/>
  <c r="AL155" i="11"/>
  <c r="AL157" i="11"/>
  <c r="AL159" i="11"/>
  <c r="AL161" i="11"/>
  <c r="AL163" i="11"/>
  <c r="AL165" i="11"/>
  <c r="AL167" i="11"/>
  <c r="AL169" i="11"/>
  <c r="AL171" i="11"/>
  <c r="AL173" i="11"/>
  <c r="AL175" i="11"/>
  <c r="AL177" i="11"/>
  <c r="AL179" i="11"/>
  <c r="AL181" i="11"/>
  <c r="AL183" i="11"/>
  <c r="AL185" i="11"/>
  <c r="AL187" i="11"/>
  <c r="AL189" i="11"/>
  <c r="AL191" i="11"/>
  <c r="AL193" i="11"/>
  <c r="AL195" i="11"/>
  <c r="AL197" i="11"/>
  <c r="AL199" i="11"/>
  <c r="AL201" i="11"/>
  <c r="AL203" i="11"/>
  <c r="AL205" i="11"/>
  <c r="AL207" i="11"/>
  <c r="AL209" i="11"/>
  <c r="AL211" i="11"/>
  <c r="AL213" i="11"/>
  <c r="AL215" i="11"/>
  <c r="AL2" i="11"/>
  <c r="AL4" i="11"/>
  <c r="AL6" i="11"/>
  <c r="AL8" i="11"/>
  <c r="AL10" i="11"/>
  <c r="AL12" i="11"/>
  <c r="AL14" i="11"/>
  <c r="AL16" i="11"/>
  <c r="AL18" i="11"/>
  <c r="AL20" i="11"/>
  <c r="AL22" i="11"/>
  <c r="AL24" i="11"/>
  <c r="AL26" i="11"/>
  <c r="AL28" i="11"/>
  <c r="AL30" i="11"/>
  <c r="AL32" i="11"/>
  <c r="AL34" i="11"/>
  <c r="AL36" i="11"/>
  <c r="AL38" i="11"/>
  <c r="AL40" i="11"/>
  <c r="AL42" i="11"/>
  <c r="AL44" i="11"/>
  <c r="AL46" i="11"/>
  <c r="AL48" i="11"/>
  <c r="AL50" i="11"/>
  <c r="AL52" i="11"/>
  <c r="AL54" i="11"/>
  <c r="AL56" i="11"/>
  <c r="AL58" i="11"/>
  <c r="AL60" i="11"/>
  <c r="AL62" i="11"/>
  <c r="AL64" i="11"/>
  <c r="AL66" i="11"/>
  <c r="AL68" i="11"/>
  <c r="AL70" i="11"/>
  <c r="AL72" i="11"/>
  <c r="AL74" i="11"/>
  <c r="AL76" i="11"/>
  <c r="AL78" i="11"/>
  <c r="AL80" i="11"/>
  <c r="AL82" i="11"/>
  <c r="AL84" i="11"/>
  <c r="AL86" i="11"/>
  <c r="AL88" i="11"/>
  <c r="AL90" i="11"/>
  <c r="AL92" i="11"/>
  <c r="AL94" i="11"/>
  <c r="AL96" i="11"/>
  <c r="AL98" i="11"/>
  <c r="AL100" i="11"/>
  <c r="AL102" i="11"/>
  <c r="AL104" i="11"/>
  <c r="AL106" i="11"/>
  <c r="AL108" i="11"/>
  <c r="AL110" i="11"/>
  <c r="AL112" i="11"/>
  <c r="AL114" i="11"/>
  <c r="AL116" i="11"/>
  <c r="AL118" i="11"/>
  <c r="AL120" i="11"/>
  <c r="AL122" i="11"/>
  <c r="AL124" i="11"/>
  <c r="AL126" i="11"/>
  <c r="AL128" i="11"/>
  <c r="AL130" i="11"/>
  <c r="AL132" i="11"/>
  <c r="AL134" i="11"/>
  <c r="AL136" i="11"/>
  <c r="AL138" i="11"/>
  <c r="AL140" i="11"/>
  <c r="AL142" i="11"/>
  <c r="AL144" i="11"/>
  <c r="AL146" i="11"/>
  <c r="AL148" i="11"/>
  <c r="AL150" i="11"/>
  <c r="AL152" i="11"/>
  <c r="AL154" i="11"/>
  <c r="AL156" i="11"/>
  <c r="AL158" i="11"/>
  <c r="AL160" i="11"/>
  <c r="AL162" i="11"/>
  <c r="AL164" i="11"/>
  <c r="AL166" i="11"/>
  <c r="AL168" i="11"/>
  <c r="AL170" i="11"/>
  <c r="AL172" i="11"/>
  <c r="AL174" i="11"/>
  <c r="AL176" i="11"/>
  <c r="AL178" i="11"/>
  <c r="AL180" i="11"/>
  <c r="AL217" i="11"/>
  <c r="AL219" i="11"/>
  <c r="AL221" i="11"/>
  <c r="AL223" i="11"/>
  <c r="AL225" i="11"/>
  <c r="AL227" i="11"/>
  <c r="AL229" i="11"/>
  <c r="AL231" i="11"/>
  <c r="AL233" i="11"/>
  <c r="AL235" i="11"/>
  <c r="AL237" i="11"/>
  <c r="AL239" i="11"/>
  <c r="AL241" i="11"/>
  <c r="AL243" i="11"/>
  <c r="AL245" i="11"/>
  <c r="AL247" i="11"/>
  <c r="AL249" i="11"/>
  <c r="AL251" i="11"/>
  <c r="AL253" i="11"/>
  <c r="AL255" i="11"/>
  <c r="AL257" i="11"/>
  <c r="AL259" i="11"/>
  <c r="AL261" i="11"/>
  <c r="AL263" i="11"/>
  <c r="AL265" i="11"/>
  <c r="AL267" i="11"/>
  <c r="AL269" i="11"/>
  <c r="AL271" i="11"/>
  <c r="AL273" i="11"/>
  <c r="AL275" i="11"/>
  <c r="AL277" i="11"/>
  <c r="AL279" i="11"/>
  <c r="AL281" i="11"/>
  <c r="AL283" i="11"/>
  <c r="AL285" i="11"/>
  <c r="AL287" i="11"/>
  <c r="AL289" i="11"/>
  <c r="AL291" i="11"/>
  <c r="AL293" i="11"/>
  <c r="AL295" i="11"/>
  <c r="AL297" i="11"/>
  <c r="AL299" i="11"/>
  <c r="AL301" i="11"/>
  <c r="AL303" i="11"/>
  <c r="AL305" i="11"/>
  <c r="AL307" i="11"/>
  <c r="AL309" i="11"/>
  <c r="AL311" i="11"/>
  <c r="AL313" i="11"/>
  <c r="AL315" i="11"/>
  <c r="AL317" i="11"/>
  <c r="AL319" i="11"/>
  <c r="AL321" i="11"/>
  <c r="AL323" i="11"/>
  <c r="AL325" i="11"/>
  <c r="AL327" i="11"/>
  <c r="AL329" i="11"/>
  <c r="AL331" i="11"/>
  <c r="AL333" i="11"/>
  <c r="AL335" i="11"/>
  <c r="AL337" i="11"/>
  <c r="AL339" i="11"/>
  <c r="AL341" i="11"/>
  <c r="AL343" i="11"/>
  <c r="AL345" i="11"/>
  <c r="AL347" i="11"/>
  <c r="AL349" i="11"/>
  <c r="AL351" i="11"/>
  <c r="AL182" i="11"/>
  <c r="AL184" i="11"/>
  <c r="AL186" i="11"/>
  <c r="AL188" i="11"/>
  <c r="AL190" i="11"/>
  <c r="AL192" i="11"/>
  <c r="AL194" i="11"/>
  <c r="AL196" i="11"/>
  <c r="AL198" i="11"/>
  <c r="AL200" i="11"/>
  <c r="AL202" i="11"/>
  <c r="AL204" i="11"/>
  <c r="AL206" i="11"/>
  <c r="AL208" i="11"/>
  <c r="AL210" i="11"/>
  <c r="AL212" i="11"/>
  <c r="AL214" i="11"/>
  <c r="AL216" i="11"/>
  <c r="AL218" i="11"/>
  <c r="AL220" i="11"/>
  <c r="AL222" i="11"/>
  <c r="AL224" i="11"/>
  <c r="AL226" i="11"/>
  <c r="AL228" i="11"/>
  <c r="AL230" i="11"/>
  <c r="AL232" i="11"/>
  <c r="AL234" i="11"/>
  <c r="AL236" i="11"/>
  <c r="AL238" i="11"/>
  <c r="AL240" i="11"/>
  <c r="AL242" i="11"/>
  <c r="AL244" i="11"/>
  <c r="AL246" i="11"/>
  <c r="AL248" i="11"/>
  <c r="AL250" i="11"/>
  <c r="AL252" i="11"/>
  <c r="AL254" i="11"/>
  <c r="AL256" i="11"/>
  <c r="AL258" i="11"/>
  <c r="AL260" i="11"/>
  <c r="AL262" i="11"/>
  <c r="AL264" i="11"/>
  <c r="AL266" i="11"/>
  <c r="AL268" i="11"/>
  <c r="AL270" i="11"/>
  <c r="AL272" i="11"/>
  <c r="AL274" i="11"/>
  <c r="AL276" i="11"/>
  <c r="AL278" i="11"/>
  <c r="AL280" i="11"/>
  <c r="AL282" i="11"/>
  <c r="AL284" i="11"/>
  <c r="AL286" i="11"/>
  <c r="AL288" i="11"/>
  <c r="AL290" i="11"/>
  <c r="AL292" i="11"/>
  <c r="AL294" i="11"/>
  <c r="AL296" i="11"/>
  <c r="AL298" i="11"/>
  <c r="AL300" i="11"/>
  <c r="AL302" i="11"/>
  <c r="AL304" i="11"/>
  <c r="AL306" i="11"/>
  <c r="AL308" i="11"/>
  <c r="AL310" i="11"/>
  <c r="AL312" i="11"/>
  <c r="AL314" i="11"/>
  <c r="AL316" i="11"/>
  <c r="AL318" i="11"/>
  <c r="AL320" i="11"/>
  <c r="AL322" i="11"/>
  <c r="AL324" i="11"/>
  <c r="AL326" i="11"/>
  <c r="AL328" i="11"/>
  <c r="AL330" i="11"/>
  <c r="AL332" i="11"/>
  <c r="AL334" i="11"/>
  <c r="AL336" i="11"/>
  <c r="AL338" i="11"/>
  <c r="AL340" i="11"/>
  <c r="AL342" i="11"/>
  <c r="AL344" i="11"/>
  <c r="AL346" i="11"/>
  <c r="AL348" i="11"/>
  <c r="AL350" i="11"/>
  <c r="T119" i="2"/>
  <c r="AF119" i="2" s="1"/>
  <c r="T120" i="2"/>
  <c r="AF120" i="2" s="1"/>
  <c r="T121" i="2"/>
  <c r="AF121" i="2" s="1"/>
  <c r="T122" i="2"/>
  <c r="AF122" i="2" s="1"/>
  <c r="T123" i="2"/>
  <c r="AF123" i="2" s="1"/>
  <c r="T124" i="2"/>
  <c r="AF124" i="2" s="1"/>
  <c r="T125" i="2"/>
  <c r="AF125" i="2" s="1"/>
  <c r="T126" i="2"/>
  <c r="AF126" i="2" s="1"/>
  <c r="T127" i="2"/>
  <c r="AF127" i="2" s="1"/>
  <c r="T128" i="2"/>
  <c r="AF128" i="2" s="1"/>
  <c r="T129" i="2"/>
  <c r="AF129" i="2" s="1"/>
  <c r="T130" i="2"/>
  <c r="AF130" i="2" s="1"/>
  <c r="T131" i="2"/>
  <c r="AF131" i="2" s="1"/>
  <c r="T132" i="2"/>
  <c r="AF132" i="2" s="1"/>
  <c r="T133" i="2"/>
  <c r="AF133" i="2" s="1"/>
  <c r="T134" i="2"/>
  <c r="AF134" i="2" s="1"/>
  <c r="T135" i="2"/>
  <c r="AF135" i="2" s="1"/>
  <c r="T136" i="2"/>
  <c r="AF136" i="2" s="1"/>
  <c r="T137" i="2"/>
  <c r="AF137" i="2" s="1"/>
  <c r="T138" i="2"/>
  <c r="AF138" i="2" s="1"/>
  <c r="T139" i="2"/>
  <c r="AF139" i="2" s="1"/>
  <c r="T140" i="2"/>
  <c r="AF140" i="2" s="1"/>
  <c r="T141" i="2"/>
  <c r="AF141" i="2" s="1"/>
  <c r="T142" i="2"/>
  <c r="AF142" i="2" s="1"/>
  <c r="T143" i="2"/>
  <c r="AF143" i="2" s="1"/>
  <c r="T144" i="2"/>
  <c r="AF144" i="2" s="1"/>
  <c r="T145" i="2"/>
  <c r="AF145" i="2" s="1"/>
  <c r="T146" i="2"/>
  <c r="AF146" i="2" s="1"/>
  <c r="T147" i="2"/>
  <c r="AF147" i="2" s="1"/>
  <c r="T148" i="2"/>
  <c r="AF148" i="2" s="1"/>
  <c r="T149" i="2"/>
  <c r="AF149" i="2" s="1"/>
  <c r="T150" i="2"/>
  <c r="AF150" i="2" s="1"/>
  <c r="T151" i="2"/>
  <c r="AF151" i="2" s="1"/>
  <c r="T152" i="2"/>
  <c r="AF152" i="2" s="1"/>
  <c r="T153" i="2"/>
  <c r="AF153" i="2" s="1"/>
  <c r="T154" i="2"/>
  <c r="AF154" i="2" s="1"/>
  <c r="T155" i="2"/>
  <c r="AF155" i="2" s="1"/>
  <c r="T156" i="2"/>
  <c r="AF156" i="2" s="1"/>
  <c r="T157" i="2"/>
  <c r="AF157" i="2" s="1"/>
  <c r="T158" i="2"/>
  <c r="AF158" i="2" s="1"/>
  <c r="T159" i="2"/>
  <c r="AF159" i="2" s="1"/>
  <c r="T160" i="2"/>
  <c r="AF160" i="2" s="1"/>
  <c r="T161" i="2"/>
  <c r="AF161" i="2" s="1"/>
  <c r="T162" i="2"/>
  <c r="AF162" i="2" s="1"/>
  <c r="T163" i="2"/>
  <c r="AF163" i="2" s="1"/>
  <c r="T164" i="2"/>
  <c r="AF164" i="2" s="1"/>
  <c r="T165" i="2"/>
  <c r="AF165" i="2" s="1"/>
  <c r="T166" i="2"/>
  <c r="AF166" i="2" s="1"/>
  <c r="T167" i="2"/>
  <c r="AF167" i="2" s="1"/>
  <c r="T168" i="2"/>
  <c r="AF168" i="2" s="1"/>
  <c r="T169" i="2"/>
  <c r="AF169" i="2" s="1"/>
  <c r="T170" i="2"/>
  <c r="AF170" i="2" s="1"/>
  <c r="T171" i="2"/>
  <c r="AF171" i="2" s="1"/>
  <c r="T172" i="2"/>
  <c r="AF172" i="2" s="1"/>
  <c r="T173" i="2"/>
  <c r="AF173" i="2" s="1"/>
  <c r="T174" i="2"/>
  <c r="AF174" i="2" s="1"/>
  <c r="T175" i="2"/>
  <c r="AF175" i="2" s="1"/>
  <c r="T176" i="2"/>
  <c r="AF176" i="2" s="1"/>
  <c r="T177" i="2"/>
  <c r="AF177" i="2" s="1"/>
  <c r="T178" i="2"/>
  <c r="AF178" i="2" s="1"/>
  <c r="T179" i="2"/>
  <c r="AF179" i="2" s="1"/>
  <c r="T180" i="2"/>
  <c r="AF180" i="2" s="1"/>
  <c r="T181" i="2"/>
  <c r="AF181" i="2" s="1"/>
  <c r="T182" i="2"/>
  <c r="AF182" i="2" s="1"/>
  <c r="T183" i="2"/>
  <c r="AF183" i="2" s="1"/>
  <c r="R3" i="2"/>
  <c r="AD3" i="2" s="1"/>
  <c r="R4" i="2"/>
  <c r="AD4" i="2" s="1"/>
  <c r="R5" i="2"/>
  <c r="AD5" i="2" s="1"/>
  <c r="R6" i="2"/>
  <c r="AD6" i="2" s="1"/>
  <c r="R7" i="2"/>
  <c r="AD7" i="2" s="1"/>
  <c r="R8" i="2"/>
  <c r="AD8" i="2" s="1"/>
  <c r="R9" i="2"/>
  <c r="AD9" i="2" s="1"/>
  <c r="R10" i="2"/>
  <c r="AD10" i="2" s="1"/>
  <c r="R11" i="2"/>
  <c r="AD11" i="2" s="1"/>
  <c r="R12" i="2"/>
  <c r="AD12" i="2" s="1"/>
  <c r="R13" i="2"/>
  <c r="AD13" i="2" s="1"/>
  <c r="R14" i="2"/>
  <c r="AD14" i="2" s="1"/>
  <c r="R15" i="2"/>
  <c r="AD15" i="2" s="1"/>
  <c r="R16" i="2"/>
  <c r="AD16" i="2" s="1"/>
  <c r="R17" i="2"/>
  <c r="AD17" i="2" s="1"/>
  <c r="R18" i="2"/>
  <c r="AD18" i="2" s="1"/>
  <c r="R19" i="2"/>
  <c r="AD19" i="2" s="1"/>
  <c r="R20" i="2"/>
  <c r="AD20" i="2" s="1"/>
  <c r="R21" i="2"/>
  <c r="AD21" i="2" s="1"/>
  <c r="R22" i="2"/>
  <c r="AD22" i="2" s="1"/>
  <c r="R23" i="2"/>
  <c r="AD23" i="2" s="1"/>
  <c r="R24" i="2"/>
  <c r="AD24" i="2" s="1"/>
  <c r="R25" i="2"/>
  <c r="AD25" i="2" s="1"/>
  <c r="R26" i="2"/>
  <c r="AD26" i="2" s="1"/>
  <c r="R27" i="2"/>
  <c r="AD27" i="2" s="1"/>
  <c r="R28" i="2"/>
  <c r="AD28" i="2" s="1"/>
  <c r="R29" i="2"/>
  <c r="AD29" i="2" s="1"/>
  <c r="R30" i="2"/>
  <c r="AD30" i="2" s="1"/>
  <c r="R31" i="2"/>
  <c r="AD31" i="2" s="1"/>
  <c r="R32" i="2"/>
  <c r="AD32" i="2" s="1"/>
  <c r="R33" i="2"/>
  <c r="AD33" i="2" s="1"/>
  <c r="R34" i="2"/>
  <c r="AD34" i="2" s="1"/>
  <c r="R35" i="2"/>
  <c r="AD35" i="2" s="1"/>
  <c r="R36" i="2"/>
  <c r="AD36" i="2" s="1"/>
  <c r="R37" i="2"/>
  <c r="AD37" i="2" s="1"/>
  <c r="R38" i="2"/>
  <c r="AD38" i="2" s="1"/>
  <c r="R39" i="2"/>
  <c r="AD39" i="2" s="1"/>
  <c r="R40" i="2"/>
  <c r="AD40" i="2" s="1"/>
  <c r="R41" i="2"/>
  <c r="AD41" i="2" s="1"/>
  <c r="R42" i="2"/>
  <c r="AD42" i="2" s="1"/>
  <c r="R43" i="2"/>
  <c r="AD43" i="2" s="1"/>
  <c r="R44" i="2"/>
  <c r="AD44" i="2" s="1"/>
  <c r="R45" i="2"/>
  <c r="AD45" i="2" s="1"/>
  <c r="R46" i="2"/>
  <c r="AD46" i="2" s="1"/>
  <c r="R47" i="2"/>
  <c r="AD47" i="2" s="1"/>
  <c r="R48" i="2"/>
  <c r="AD48" i="2" s="1"/>
  <c r="R49" i="2"/>
  <c r="AD49" i="2" s="1"/>
  <c r="R50" i="2"/>
  <c r="AD50" i="2" s="1"/>
  <c r="R51" i="2"/>
  <c r="AD51" i="2" s="1"/>
  <c r="R52" i="2"/>
  <c r="AD52" i="2" s="1"/>
  <c r="R53" i="2"/>
  <c r="AD53" i="2" s="1"/>
  <c r="R54" i="2"/>
  <c r="AD54" i="2" s="1"/>
  <c r="R55" i="2"/>
  <c r="AD55" i="2" s="1"/>
  <c r="R56" i="2"/>
  <c r="AD56" i="2" s="1"/>
  <c r="R57" i="2"/>
  <c r="AD57" i="2" s="1"/>
  <c r="R58" i="2"/>
  <c r="AD58" i="2" s="1"/>
  <c r="R59" i="2"/>
  <c r="AD59" i="2" s="1"/>
  <c r="R60" i="2"/>
  <c r="AD60" i="2" s="1"/>
  <c r="R61" i="2"/>
  <c r="AD61" i="2" s="1"/>
  <c r="R62" i="2"/>
  <c r="AD62" i="2" s="1"/>
  <c r="R63" i="2"/>
  <c r="AD63" i="2" s="1"/>
  <c r="R64" i="2"/>
  <c r="AD64" i="2" s="1"/>
  <c r="R65" i="2"/>
  <c r="AD65" i="2" s="1"/>
  <c r="R66" i="2"/>
  <c r="AD66" i="2" s="1"/>
  <c r="R67" i="2"/>
  <c r="AD67" i="2" s="1"/>
  <c r="R68" i="2"/>
  <c r="AD68" i="2" s="1"/>
  <c r="R69" i="2"/>
  <c r="AD69" i="2" s="1"/>
  <c r="R70" i="2"/>
  <c r="AD70" i="2" s="1"/>
  <c r="R71" i="2"/>
  <c r="AD71" i="2" s="1"/>
  <c r="R72" i="2"/>
  <c r="AD72" i="2" s="1"/>
  <c r="R73" i="2"/>
  <c r="AD73" i="2" s="1"/>
  <c r="R74" i="2"/>
  <c r="AD74" i="2" s="1"/>
  <c r="R75" i="2"/>
  <c r="AD75" i="2" s="1"/>
  <c r="R76" i="2"/>
  <c r="AD76" i="2" s="1"/>
  <c r="R77" i="2"/>
  <c r="AD77" i="2" s="1"/>
  <c r="R78" i="2"/>
  <c r="AD78" i="2" s="1"/>
  <c r="R79" i="2"/>
  <c r="AD79" i="2" s="1"/>
  <c r="R80" i="2"/>
  <c r="AD80" i="2" s="1"/>
  <c r="R81" i="2"/>
  <c r="AD81" i="2" s="1"/>
  <c r="R82" i="2"/>
  <c r="AD82" i="2" s="1"/>
  <c r="R83" i="2"/>
  <c r="AD83" i="2" s="1"/>
  <c r="R84" i="2"/>
  <c r="AD84" i="2" s="1"/>
  <c r="R85" i="2"/>
  <c r="AD85" i="2" s="1"/>
  <c r="R86" i="2"/>
  <c r="AD86" i="2" s="1"/>
  <c r="R87" i="2"/>
  <c r="AD87" i="2" s="1"/>
  <c r="R88" i="2"/>
  <c r="AD88" i="2" s="1"/>
  <c r="R89" i="2"/>
  <c r="AD89" i="2" s="1"/>
  <c r="R90" i="2"/>
  <c r="AD90" i="2" s="1"/>
  <c r="R91" i="2"/>
  <c r="AD91" i="2" s="1"/>
  <c r="R92" i="2"/>
  <c r="AD92" i="2" s="1"/>
  <c r="R93" i="2"/>
  <c r="AD93" i="2" s="1"/>
  <c r="R94" i="2"/>
  <c r="AD94" i="2" s="1"/>
  <c r="R95" i="2"/>
  <c r="AD95" i="2" s="1"/>
  <c r="R96" i="2"/>
  <c r="AD96" i="2" s="1"/>
  <c r="R97" i="2"/>
  <c r="AD97" i="2" s="1"/>
  <c r="R98" i="2"/>
  <c r="AD98" i="2" s="1"/>
  <c r="R99" i="2"/>
  <c r="AD99" i="2" s="1"/>
  <c r="R100" i="2"/>
  <c r="AD100" i="2" s="1"/>
  <c r="R101" i="2"/>
  <c r="AD101" i="2" s="1"/>
  <c r="R102" i="2"/>
  <c r="AD102" i="2" s="1"/>
  <c r="R103" i="2"/>
  <c r="AD103" i="2" s="1"/>
  <c r="R104" i="2"/>
  <c r="AD104" i="2" s="1"/>
  <c r="R105" i="2"/>
  <c r="AD105" i="2" s="1"/>
  <c r="R106" i="2"/>
  <c r="AD106" i="2" s="1"/>
  <c r="R107" i="2"/>
  <c r="AD107" i="2" s="1"/>
  <c r="R108" i="2"/>
  <c r="AD108" i="2" s="1"/>
  <c r="R109" i="2"/>
  <c r="AD109" i="2" s="1"/>
  <c r="R110" i="2"/>
  <c r="AD110" i="2" s="1"/>
  <c r="R111" i="2"/>
  <c r="AD111" i="2" s="1"/>
  <c r="R112" i="2"/>
  <c r="AD112" i="2" s="1"/>
  <c r="R113" i="2"/>
  <c r="AD113" i="2" s="1"/>
  <c r="R114" i="2"/>
  <c r="AD114" i="2" s="1"/>
  <c r="R115" i="2"/>
  <c r="AD115" i="2" s="1"/>
  <c r="R116" i="2"/>
  <c r="AD116" i="2" s="1"/>
  <c r="R117" i="2"/>
  <c r="AD117" i="2" s="1"/>
  <c r="R118" i="2"/>
  <c r="AD118" i="2" s="1"/>
  <c r="R119" i="2"/>
  <c r="AD119" i="2" s="1"/>
  <c r="R120" i="2"/>
  <c r="AD120" i="2" s="1"/>
  <c r="R121" i="2"/>
  <c r="AD121" i="2" s="1"/>
  <c r="R122" i="2"/>
  <c r="AD122" i="2" s="1"/>
  <c r="R123" i="2"/>
  <c r="AD123" i="2" s="1"/>
  <c r="R124" i="2"/>
  <c r="AD124" i="2" s="1"/>
  <c r="R125" i="2"/>
  <c r="AD125" i="2" s="1"/>
  <c r="R126" i="2"/>
  <c r="AD126" i="2" s="1"/>
  <c r="R127" i="2"/>
  <c r="AD127" i="2" s="1"/>
  <c r="R128" i="2"/>
  <c r="AD128" i="2" s="1"/>
  <c r="R129" i="2"/>
  <c r="AD129" i="2" s="1"/>
  <c r="R130" i="2"/>
  <c r="AD130" i="2" s="1"/>
  <c r="R131" i="2"/>
  <c r="AD131" i="2" s="1"/>
  <c r="R132" i="2"/>
  <c r="AD132" i="2" s="1"/>
  <c r="R133" i="2"/>
  <c r="AD133" i="2" s="1"/>
  <c r="R134" i="2"/>
  <c r="AD134" i="2" s="1"/>
  <c r="R135" i="2"/>
  <c r="AD135" i="2" s="1"/>
  <c r="R136" i="2"/>
  <c r="AD136" i="2" s="1"/>
  <c r="R137" i="2"/>
  <c r="AD137" i="2" s="1"/>
  <c r="R138" i="2"/>
  <c r="AD138" i="2" s="1"/>
  <c r="R139" i="2"/>
  <c r="AD139" i="2" s="1"/>
  <c r="R140" i="2"/>
  <c r="AD140" i="2" s="1"/>
  <c r="R141" i="2"/>
  <c r="AD141" i="2" s="1"/>
  <c r="R142" i="2"/>
  <c r="AD142" i="2" s="1"/>
  <c r="R143" i="2"/>
  <c r="AD143" i="2" s="1"/>
  <c r="R144" i="2"/>
  <c r="AD144" i="2" s="1"/>
  <c r="R145" i="2"/>
  <c r="AD145" i="2" s="1"/>
  <c r="R146" i="2"/>
  <c r="AD146" i="2" s="1"/>
  <c r="R147" i="2"/>
  <c r="AD147" i="2" s="1"/>
  <c r="R148" i="2"/>
  <c r="AD148" i="2" s="1"/>
  <c r="R149" i="2"/>
  <c r="AD149" i="2" s="1"/>
  <c r="R150" i="2"/>
  <c r="AD150" i="2" s="1"/>
  <c r="R151" i="2"/>
  <c r="AD151" i="2" s="1"/>
  <c r="R152" i="2"/>
  <c r="AD152" i="2" s="1"/>
  <c r="R153" i="2"/>
  <c r="AD153" i="2" s="1"/>
  <c r="R154" i="2"/>
  <c r="AD154" i="2" s="1"/>
  <c r="R155" i="2"/>
  <c r="AD155" i="2" s="1"/>
  <c r="R156" i="2"/>
  <c r="AD156" i="2" s="1"/>
  <c r="R157" i="2"/>
  <c r="AD157" i="2" s="1"/>
  <c r="R158" i="2"/>
  <c r="AD158" i="2" s="1"/>
  <c r="R159" i="2"/>
  <c r="AD159" i="2" s="1"/>
  <c r="R160" i="2"/>
  <c r="AD160" i="2" s="1"/>
  <c r="R161" i="2"/>
  <c r="AD161" i="2" s="1"/>
  <c r="R162" i="2"/>
  <c r="AD162" i="2" s="1"/>
  <c r="R163" i="2"/>
  <c r="AD163" i="2" s="1"/>
  <c r="R164" i="2"/>
  <c r="AD164" i="2" s="1"/>
  <c r="R165" i="2"/>
  <c r="AD165" i="2" s="1"/>
  <c r="R166" i="2"/>
  <c r="AD166" i="2" s="1"/>
  <c r="R167" i="2"/>
  <c r="AD167" i="2" s="1"/>
  <c r="R168" i="2"/>
  <c r="AD168" i="2" s="1"/>
  <c r="R169" i="2"/>
  <c r="AD169" i="2" s="1"/>
  <c r="R170" i="2"/>
  <c r="AD170" i="2" s="1"/>
  <c r="R171" i="2"/>
  <c r="AD171" i="2" s="1"/>
  <c r="R172" i="2"/>
  <c r="AD172" i="2" s="1"/>
  <c r="R173" i="2"/>
  <c r="AD173" i="2" s="1"/>
  <c r="R174" i="2"/>
  <c r="AD174" i="2" s="1"/>
  <c r="R175" i="2"/>
  <c r="AD175" i="2" s="1"/>
  <c r="R176" i="2"/>
  <c r="AD176" i="2" s="1"/>
  <c r="R177" i="2"/>
  <c r="AD177" i="2" s="1"/>
  <c r="R178" i="2"/>
  <c r="AD178" i="2" s="1"/>
  <c r="R179" i="2"/>
  <c r="AD179" i="2" s="1"/>
  <c r="R180" i="2"/>
  <c r="AD180" i="2" s="1"/>
  <c r="R181" i="2"/>
  <c r="AD181" i="2" s="1"/>
  <c r="R182" i="2"/>
  <c r="AD182" i="2" s="1"/>
  <c r="R183" i="2"/>
  <c r="AD183" i="2" s="1"/>
  <c r="R2" i="2"/>
  <c r="AD2" i="2" s="1"/>
  <c r="AH183" i="2" l="1"/>
  <c r="AH175" i="2"/>
  <c r="AH167" i="2"/>
  <c r="AH159" i="2"/>
  <c r="AH151" i="2"/>
  <c r="AH143" i="2"/>
  <c r="AH135" i="2"/>
  <c r="AH127" i="2"/>
  <c r="AH119" i="2"/>
  <c r="AH179" i="2"/>
  <c r="AH171" i="2"/>
  <c r="AH163" i="2"/>
  <c r="AH155" i="2"/>
  <c r="AH147" i="2"/>
  <c r="AH139" i="2"/>
  <c r="AH131" i="2"/>
  <c r="AH123" i="2"/>
  <c r="AH178" i="2"/>
  <c r="AH154" i="2"/>
  <c r="AH122" i="2"/>
  <c r="AH162" i="2"/>
  <c r="AH138" i="2"/>
  <c r="AH177" i="2"/>
  <c r="AH169" i="2"/>
  <c r="AH161" i="2"/>
  <c r="AH153" i="2"/>
  <c r="AH145" i="2"/>
  <c r="AH137" i="2"/>
  <c r="AH129" i="2"/>
  <c r="AH121" i="2"/>
  <c r="AH170" i="2"/>
  <c r="AH146" i="2"/>
  <c r="AH130" i="2"/>
  <c r="AH176" i="2"/>
  <c r="AH168" i="2"/>
  <c r="AH160" i="2"/>
  <c r="AH152" i="2"/>
  <c r="AH144" i="2"/>
  <c r="AH136" i="2"/>
  <c r="AH128" i="2"/>
  <c r="AH120" i="2"/>
  <c r="AH182" i="2"/>
  <c r="AH174" i="2"/>
  <c r="AH166" i="2"/>
  <c r="AH158" i="2"/>
  <c r="AH150" i="2"/>
  <c r="AH142" i="2"/>
  <c r="AH134" i="2"/>
  <c r="AH126" i="2"/>
  <c r="AH181" i="2"/>
  <c r="AH173" i="2"/>
  <c r="AH165" i="2"/>
  <c r="AH157" i="2"/>
  <c r="AH149" i="2"/>
  <c r="AH141" i="2"/>
  <c r="AH133" i="2"/>
  <c r="AH125" i="2"/>
  <c r="AH180" i="2"/>
  <c r="AH172" i="2"/>
  <c r="AH164" i="2"/>
  <c r="AH156" i="2"/>
  <c r="AH148" i="2"/>
  <c r="AH140" i="2"/>
  <c r="AH132" i="2"/>
  <c r="AH124" i="2"/>
  <c r="C151" i="2"/>
  <c r="C152" i="2"/>
  <c r="C153" i="2"/>
  <c r="C154" i="2"/>
  <c r="C155" i="2"/>
  <c r="C156" i="2"/>
  <c r="C182" i="2"/>
  <c r="C157" i="2"/>
  <c r="C183" i="2"/>
  <c r="C145" i="2"/>
  <c r="C146" i="2"/>
  <c r="C147" i="2"/>
  <c r="C148" i="2"/>
  <c r="C149" i="2"/>
  <c r="C180" i="2"/>
  <c r="C181" i="2"/>
  <c r="C150" i="2"/>
  <c r="C174" i="2"/>
  <c r="C175" i="2"/>
  <c r="C176" i="2"/>
  <c r="C177" i="2"/>
  <c r="C178" i="2"/>
  <c r="C179" i="2"/>
  <c r="E348" i="1" l="1"/>
  <c r="E349" i="1"/>
  <c r="E350" i="1"/>
  <c r="E351" i="1"/>
  <c r="E352" i="1"/>
  <c r="E353" i="1"/>
  <c r="E354" i="1"/>
  <c r="E355" i="1"/>
  <c r="E356" i="1"/>
  <c r="E357" i="1"/>
  <c r="E358" i="1"/>
  <c r="E359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C173" i="2" l="1"/>
  <c r="C30" i="2"/>
  <c r="E298" i="1" l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C137" i="2" l="1"/>
  <c r="C138" i="2"/>
  <c r="C139" i="2"/>
  <c r="C140" i="2"/>
  <c r="C141" i="2"/>
  <c r="C142" i="2"/>
  <c r="C143" i="2"/>
  <c r="C171" i="2"/>
  <c r="C144" i="2"/>
  <c r="C172" i="2"/>
  <c r="C166" i="2" l="1"/>
  <c r="C167" i="2"/>
  <c r="C168" i="2"/>
  <c r="C169" i="2"/>
  <c r="C170" i="2"/>
  <c r="C29" i="2"/>
  <c r="C132" i="2" l="1"/>
  <c r="C133" i="2"/>
  <c r="C163" i="2"/>
  <c r="C134" i="2"/>
  <c r="C164" i="2"/>
  <c r="C135" i="2"/>
  <c r="C165" i="2"/>
  <c r="C136" i="2"/>
  <c r="C28" i="2"/>
  <c r="C125" i="2"/>
  <c r="C126" i="2"/>
  <c r="C127" i="2"/>
  <c r="C128" i="2"/>
  <c r="C129" i="2"/>
  <c r="C130" i="2"/>
  <c r="C131" i="2"/>
  <c r="C103" i="4" l="1"/>
  <c r="D103" i="4"/>
  <c r="E103" i="4"/>
  <c r="F103" i="4"/>
  <c r="G103" i="4"/>
  <c r="H103" i="4"/>
  <c r="E294" i="1"/>
  <c r="E295" i="1"/>
  <c r="E296" i="1"/>
  <c r="E297" i="1"/>
  <c r="I103" i="4" l="1"/>
  <c r="C124" i="2"/>
  <c r="C98" i="4"/>
  <c r="D98" i="4"/>
  <c r="E98" i="4"/>
  <c r="F98" i="4"/>
  <c r="G98" i="4"/>
  <c r="H98" i="4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79" i="1"/>
  <c r="I98" i="4" l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E278" i="1"/>
  <c r="E277" i="1"/>
  <c r="E276" i="1"/>
  <c r="E275" i="1"/>
  <c r="E274" i="1"/>
  <c r="E273" i="1"/>
  <c r="E272" i="1"/>
  <c r="E271" i="1"/>
  <c r="E270" i="1"/>
  <c r="E269" i="1"/>
  <c r="E268" i="1"/>
  <c r="E267" i="1"/>
  <c r="E266" i="1"/>
  <c r="E265" i="1"/>
  <c r="E264" i="1"/>
  <c r="E263" i="1"/>
  <c r="E262" i="1"/>
  <c r="E261" i="1"/>
  <c r="E260" i="1"/>
  <c r="C122" i="2" l="1"/>
  <c r="C123" i="2"/>
  <c r="C120" i="2" l="1"/>
  <c r="C119" i="2"/>
  <c r="C121" i="2"/>
  <c r="E259" i="1" l="1"/>
  <c r="E258" i="1"/>
  <c r="E257" i="1"/>
  <c r="E256" i="1"/>
  <c r="E255" i="1"/>
  <c r="E254" i="1"/>
  <c r="E253" i="1"/>
  <c r="E252" i="1"/>
  <c r="E251" i="1"/>
  <c r="E250" i="1"/>
  <c r="E249" i="1"/>
  <c r="E248" i="1"/>
  <c r="C18" i="2"/>
  <c r="H71" i="2"/>
  <c r="T71" i="2" s="1"/>
  <c r="AF71" i="2" s="1"/>
  <c r="AH71" i="2" s="1"/>
  <c r="J2" i="5" l="1"/>
  <c r="K2" i="5"/>
  <c r="J3" i="5"/>
  <c r="K3" i="5"/>
  <c r="J5" i="5"/>
  <c r="K5" i="5"/>
  <c r="J6" i="5"/>
  <c r="K6" i="5"/>
  <c r="J7" i="5"/>
  <c r="K7" i="5"/>
  <c r="J8" i="5"/>
  <c r="K8" i="5"/>
  <c r="J9" i="5"/>
  <c r="K9" i="5"/>
  <c r="J10" i="5"/>
  <c r="K10" i="5"/>
  <c r="J11" i="5"/>
  <c r="K11" i="5"/>
  <c r="J12" i="5"/>
  <c r="K12" i="5"/>
  <c r="J13" i="5"/>
  <c r="K13" i="5"/>
  <c r="K4" i="5"/>
  <c r="J4" i="5"/>
  <c r="C112" i="2" l="1"/>
  <c r="C113" i="2"/>
  <c r="H103" i="2"/>
  <c r="T103" i="2" s="1"/>
  <c r="AF103" i="2" s="1"/>
  <c r="AH103" i="2" s="1"/>
  <c r="H104" i="2"/>
  <c r="T104" i="2" s="1"/>
  <c r="AF104" i="2" s="1"/>
  <c r="AH104" i="2" s="1"/>
  <c r="H105" i="2"/>
  <c r="T105" i="2" s="1"/>
  <c r="AF105" i="2" s="1"/>
  <c r="AH105" i="2" s="1"/>
  <c r="H106" i="2"/>
  <c r="T106" i="2" s="1"/>
  <c r="AF106" i="2" s="1"/>
  <c r="AH106" i="2" s="1"/>
  <c r="H107" i="2"/>
  <c r="T107" i="2" s="1"/>
  <c r="AF107" i="2" s="1"/>
  <c r="AH107" i="2" s="1"/>
  <c r="H108" i="2"/>
  <c r="T108" i="2" s="1"/>
  <c r="AF108" i="2" s="1"/>
  <c r="AH108" i="2" s="1"/>
  <c r="H109" i="2"/>
  <c r="T109" i="2" s="1"/>
  <c r="AF109" i="2" s="1"/>
  <c r="AH109" i="2" s="1"/>
  <c r="H110" i="2"/>
  <c r="T110" i="2" s="1"/>
  <c r="AF110" i="2" s="1"/>
  <c r="AH110" i="2" s="1"/>
  <c r="H111" i="2"/>
  <c r="T111" i="2" s="1"/>
  <c r="AF111" i="2" s="1"/>
  <c r="AH111" i="2" s="1"/>
  <c r="H112" i="2"/>
  <c r="T112" i="2" s="1"/>
  <c r="AF112" i="2" s="1"/>
  <c r="AH112" i="2" s="1"/>
  <c r="H113" i="2"/>
  <c r="T113" i="2" s="1"/>
  <c r="AF113" i="2" s="1"/>
  <c r="AH113" i="2" s="1"/>
  <c r="H114" i="2"/>
  <c r="T114" i="2" s="1"/>
  <c r="AF114" i="2" s="1"/>
  <c r="AH114" i="2" s="1"/>
  <c r="H115" i="2"/>
  <c r="T115" i="2" s="1"/>
  <c r="AF115" i="2" s="1"/>
  <c r="AH115" i="2" s="1"/>
  <c r="H116" i="2"/>
  <c r="T116" i="2" s="1"/>
  <c r="AF116" i="2" s="1"/>
  <c r="AH116" i="2" s="1"/>
  <c r="H117" i="2"/>
  <c r="T117" i="2" s="1"/>
  <c r="AF117" i="2" s="1"/>
  <c r="AH117" i="2" s="1"/>
  <c r="H118" i="2"/>
  <c r="T118" i="2" s="1"/>
  <c r="AF118" i="2" s="1"/>
  <c r="AH118" i="2" s="1"/>
  <c r="C101" i="2"/>
  <c r="C102" i="2"/>
  <c r="C103" i="2"/>
  <c r="C104" i="2"/>
  <c r="C105" i="2"/>
  <c r="C106" i="2"/>
  <c r="C118" i="2"/>
  <c r="C107" i="2"/>
  <c r="C108" i="2"/>
  <c r="C109" i="2"/>
  <c r="C110" i="2"/>
  <c r="C111" i="2"/>
  <c r="C97" i="2"/>
  <c r="C98" i="2"/>
  <c r="C99" i="2"/>
  <c r="C100" i="2"/>
  <c r="I2" i="5" l="1"/>
  <c r="I3" i="5"/>
  <c r="I5" i="5"/>
  <c r="I6" i="5"/>
  <c r="I7" i="5"/>
  <c r="I8" i="5"/>
  <c r="I9" i="5"/>
  <c r="I10" i="5"/>
  <c r="I11" i="5"/>
  <c r="I12" i="5"/>
  <c r="I13" i="5"/>
  <c r="I4" i="5"/>
  <c r="H3" i="5"/>
  <c r="H4" i="5"/>
  <c r="H5" i="5"/>
  <c r="H6" i="5"/>
  <c r="H7" i="5"/>
  <c r="H8" i="5"/>
  <c r="H9" i="5"/>
  <c r="H10" i="5"/>
  <c r="H11" i="5"/>
  <c r="H12" i="5"/>
  <c r="H13" i="5"/>
  <c r="H2" i="5"/>
  <c r="C126" i="4"/>
  <c r="D126" i="4"/>
  <c r="E126" i="4"/>
  <c r="F126" i="4"/>
  <c r="G126" i="4"/>
  <c r="H126" i="4"/>
  <c r="I126" i="4" l="1"/>
  <c r="H95" i="2"/>
  <c r="T95" i="2" s="1"/>
  <c r="AF95" i="2" s="1"/>
  <c r="AH95" i="2" s="1"/>
  <c r="H96" i="2"/>
  <c r="T96" i="2" s="1"/>
  <c r="AF96" i="2" s="1"/>
  <c r="AH96" i="2" s="1"/>
  <c r="H97" i="2"/>
  <c r="T97" i="2" s="1"/>
  <c r="AF97" i="2" s="1"/>
  <c r="AH97" i="2" s="1"/>
  <c r="H98" i="2"/>
  <c r="T98" i="2" s="1"/>
  <c r="AF98" i="2" s="1"/>
  <c r="AH98" i="2" s="1"/>
  <c r="H99" i="2"/>
  <c r="T99" i="2" s="1"/>
  <c r="AF99" i="2" s="1"/>
  <c r="AH99" i="2" s="1"/>
  <c r="H100" i="2"/>
  <c r="T100" i="2" s="1"/>
  <c r="AF100" i="2" s="1"/>
  <c r="AH100" i="2" s="1"/>
  <c r="H101" i="2"/>
  <c r="T101" i="2" s="1"/>
  <c r="AF101" i="2" s="1"/>
  <c r="AH101" i="2" s="1"/>
  <c r="H102" i="2"/>
  <c r="T102" i="2" s="1"/>
  <c r="AF102" i="2" s="1"/>
  <c r="AH102" i="2" s="1"/>
  <c r="C20" i="2"/>
  <c r="C21" i="2"/>
  <c r="C96" i="2"/>
  <c r="C22" i="2"/>
  <c r="C161" i="2"/>
  <c r="C162" i="2"/>
  <c r="C23" i="2"/>
  <c r="C24" i="2"/>
  <c r="A5" i="5" l="1"/>
  <c r="C2" i="2"/>
  <c r="H2" i="2"/>
  <c r="T2" i="2" s="1"/>
  <c r="AF2" i="2" s="1"/>
  <c r="AH2" i="2" s="1"/>
  <c r="H3" i="2"/>
  <c r="T3" i="2" s="1"/>
  <c r="AF3" i="2" s="1"/>
  <c r="AH3" i="2" s="1"/>
  <c r="H4" i="2"/>
  <c r="T4" i="2" s="1"/>
  <c r="AF4" i="2" s="1"/>
  <c r="AH4" i="2" s="1"/>
  <c r="C33" i="2"/>
  <c r="C32" i="2"/>
  <c r="E8" i="1"/>
  <c r="E7" i="1"/>
  <c r="H3" i="4"/>
  <c r="G3" i="4"/>
  <c r="F3" i="4"/>
  <c r="E3" i="4"/>
  <c r="D3" i="4"/>
  <c r="C3" i="4"/>
  <c r="E2" i="1"/>
  <c r="E3" i="1"/>
  <c r="E4" i="1"/>
  <c r="E5" i="1"/>
  <c r="E6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K2" i="1"/>
  <c r="K3" i="1"/>
  <c r="K4" i="1"/>
  <c r="K5" i="1"/>
  <c r="K6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L2" i="1"/>
  <c r="K30" i="1"/>
  <c r="K31" i="1"/>
  <c r="K32" i="1"/>
  <c r="K33" i="1"/>
  <c r="K34" i="1"/>
  <c r="K35" i="1"/>
  <c r="E3" i="5"/>
  <c r="E4" i="5"/>
  <c r="E5" i="5"/>
  <c r="E6" i="5"/>
  <c r="E7" i="5"/>
  <c r="E8" i="5"/>
  <c r="E9" i="5"/>
  <c r="E10" i="5"/>
  <c r="E11" i="5"/>
  <c r="E12" i="5"/>
  <c r="E13" i="5"/>
  <c r="D3" i="5"/>
  <c r="D4" i="5"/>
  <c r="D5" i="5"/>
  <c r="D6" i="5"/>
  <c r="D7" i="5"/>
  <c r="D8" i="5"/>
  <c r="D9" i="5"/>
  <c r="D10" i="5"/>
  <c r="D11" i="5"/>
  <c r="D12" i="5"/>
  <c r="D13" i="5"/>
  <c r="E2" i="5"/>
  <c r="D2" i="5"/>
  <c r="O3" i="5"/>
  <c r="O4" i="5"/>
  <c r="O5" i="5"/>
  <c r="O6" i="5"/>
  <c r="O7" i="5"/>
  <c r="O8" i="5"/>
  <c r="O9" i="5"/>
  <c r="O10" i="5"/>
  <c r="O11" i="5"/>
  <c r="O12" i="5"/>
  <c r="O13" i="5"/>
  <c r="O2" i="5"/>
  <c r="C10" i="2"/>
  <c r="H5" i="2"/>
  <c r="T5" i="2" s="1"/>
  <c r="AF5" i="2" s="1"/>
  <c r="AH5" i="2" s="1"/>
  <c r="H18" i="2"/>
  <c r="T18" i="2" s="1"/>
  <c r="AF18" i="2" s="1"/>
  <c r="AH18" i="2" s="1"/>
  <c r="H19" i="2"/>
  <c r="T19" i="2" s="1"/>
  <c r="AF19" i="2" s="1"/>
  <c r="AH19" i="2" s="1"/>
  <c r="H20" i="2"/>
  <c r="T20" i="2" s="1"/>
  <c r="AF20" i="2" s="1"/>
  <c r="AH20" i="2" s="1"/>
  <c r="H21" i="2"/>
  <c r="T21" i="2" s="1"/>
  <c r="AF21" i="2" s="1"/>
  <c r="AH21" i="2" s="1"/>
  <c r="H22" i="2"/>
  <c r="T22" i="2" s="1"/>
  <c r="AF22" i="2" s="1"/>
  <c r="AH22" i="2" s="1"/>
  <c r="H23" i="2"/>
  <c r="T23" i="2" s="1"/>
  <c r="AF23" i="2" s="1"/>
  <c r="AH23" i="2" s="1"/>
  <c r="H24" i="2"/>
  <c r="T24" i="2" s="1"/>
  <c r="AF24" i="2" s="1"/>
  <c r="AH24" i="2" s="1"/>
  <c r="H25" i="2"/>
  <c r="T25" i="2" s="1"/>
  <c r="AF25" i="2" s="1"/>
  <c r="AH25" i="2" s="1"/>
  <c r="H26" i="2"/>
  <c r="T26" i="2" s="1"/>
  <c r="AF26" i="2" s="1"/>
  <c r="AH26" i="2" s="1"/>
  <c r="H27" i="2"/>
  <c r="T27" i="2" s="1"/>
  <c r="AF27" i="2" s="1"/>
  <c r="AH27" i="2" s="1"/>
  <c r="H28" i="2"/>
  <c r="T28" i="2" s="1"/>
  <c r="AF28" i="2" s="1"/>
  <c r="AH28" i="2" s="1"/>
  <c r="H29" i="2"/>
  <c r="T29" i="2" s="1"/>
  <c r="AF29" i="2" s="1"/>
  <c r="AH29" i="2" s="1"/>
  <c r="H30" i="2"/>
  <c r="T30" i="2" s="1"/>
  <c r="AF30" i="2" s="1"/>
  <c r="AH30" i="2" s="1"/>
  <c r="H31" i="2"/>
  <c r="T31" i="2" s="1"/>
  <c r="AF31" i="2" s="1"/>
  <c r="AH31" i="2" s="1"/>
  <c r="H32" i="2"/>
  <c r="T32" i="2" s="1"/>
  <c r="AF32" i="2" s="1"/>
  <c r="AH32" i="2" s="1"/>
  <c r="H33" i="2"/>
  <c r="T33" i="2" s="1"/>
  <c r="AF33" i="2" s="1"/>
  <c r="AH33" i="2" s="1"/>
  <c r="H34" i="2"/>
  <c r="T34" i="2" s="1"/>
  <c r="AF34" i="2" s="1"/>
  <c r="AH34" i="2" s="1"/>
  <c r="H35" i="2"/>
  <c r="T35" i="2" s="1"/>
  <c r="AF35" i="2" s="1"/>
  <c r="AH35" i="2" s="1"/>
  <c r="H36" i="2"/>
  <c r="T36" i="2" s="1"/>
  <c r="AF36" i="2" s="1"/>
  <c r="AH36" i="2" s="1"/>
  <c r="H37" i="2"/>
  <c r="T37" i="2" s="1"/>
  <c r="AF37" i="2" s="1"/>
  <c r="AH37" i="2" s="1"/>
  <c r="H38" i="2"/>
  <c r="T38" i="2" s="1"/>
  <c r="AF38" i="2" s="1"/>
  <c r="AH38" i="2" s="1"/>
  <c r="H39" i="2"/>
  <c r="T39" i="2" s="1"/>
  <c r="AF39" i="2" s="1"/>
  <c r="AH39" i="2" s="1"/>
  <c r="H40" i="2"/>
  <c r="T40" i="2" s="1"/>
  <c r="AF40" i="2" s="1"/>
  <c r="AH40" i="2" s="1"/>
  <c r="H41" i="2"/>
  <c r="T41" i="2" s="1"/>
  <c r="AF41" i="2" s="1"/>
  <c r="AH41" i="2" s="1"/>
  <c r="H42" i="2"/>
  <c r="T42" i="2" s="1"/>
  <c r="AF42" i="2" s="1"/>
  <c r="AH42" i="2" s="1"/>
  <c r="H43" i="2"/>
  <c r="T43" i="2" s="1"/>
  <c r="AF43" i="2" s="1"/>
  <c r="AH43" i="2" s="1"/>
  <c r="H44" i="2"/>
  <c r="T44" i="2" s="1"/>
  <c r="AF44" i="2" s="1"/>
  <c r="AH44" i="2" s="1"/>
  <c r="H45" i="2"/>
  <c r="T45" i="2" s="1"/>
  <c r="AF45" i="2" s="1"/>
  <c r="AH45" i="2" s="1"/>
  <c r="H46" i="2"/>
  <c r="T46" i="2" s="1"/>
  <c r="AF46" i="2" s="1"/>
  <c r="AH46" i="2" s="1"/>
  <c r="H47" i="2"/>
  <c r="T47" i="2" s="1"/>
  <c r="AF47" i="2" s="1"/>
  <c r="AH47" i="2" s="1"/>
  <c r="H48" i="2"/>
  <c r="T48" i="2" s="1"/>
  <c r="AF48" i="2" s="1"/>
  <c r="AH48" i="2" s="1"/>
  <c r="H49" i="2"/>
  <c r="T49" i="2" s="1"/>
  <c r="AF49" i="2" s="1"/>
  <c r="AH49" i="2" s="1"/>
  <c r="H50" i="2"/>
  <c r="T50" i="2" s="1"/>
  <c r="AF50" i="2" s="1"/>
  <c r="AH50" i="2" s="1"/>
  <c r="H51" i="2"/>
  <c r="T51" i="2" s="1"/>
  <c r="AF51" i="2" s="1"/>
  <c r="AH51" i="2" s="1"/>
  <c r="H52" i="2"/>
  <c r="T52" i="2" s="1"/>
  <c r="AF52" i="2" s="1"/>
  <c r="AH52" i="2" s="1"/>
  <c r="H53" i="2"/>
  <c r="T53" i="2" s="1"/>
  <c r="AF53" i="2" s="1"/>
  <c r="AH53" i="2" s="1"/>
  <c r="H54" i="2"/>
  <c r="T54" i="2" s="1"/>
  <c r="AF54" i="2" s="1"/>
  <c r="AH54" i="2" s="1"/>
  <c r="H55" i="2"/>
  <c r="T55" i="2" s="1"/>
  <c r="AF55" i="2" s="1"/>
  <c r="AH55" i="2" s="1"/>
  <c r="H56" i="2"/>
  <c r="T56" i="2" s="1"/>
  <c r="AF56" i="2" s="1"/>
  <c r="AH56" i="2" s="1"/>
  <c r="H57" i="2"/>
  <c r="T57" i="2" s="1"/>
  <c r="AF57" i="2" s="1"/>
  <c r="AH57" i="2" s="1"/>
  <c r="H58" i="2"/>
  <c r="T58" i="2" s="1"/>
  <c r="AF58" i="2" s="1"/>
  <c r="AH58" i="2" s="1"/>
  <c r="H59" i="2"/>
  <c r="T59" i="2" s="1"/>
  <c r="AF59" i="2" s="1"/>
  <c r="AH59" i="2" s="1"/>
  <c r="H60" i="2"/>
  <c r="T60" i="2" s="1"/>
  <c r="AF60" i="2" s="1"/>
  <c r="AH60" i="2" s="1"/>
  <c r="H61" i="2"/>
  <c r="T61" i="2" s="1"/>
  <c r="AF61" i="2" s="1"/>
  <c r="AH61" i="2" s="1"/>
  <c r="H62" i="2"/>
  <c r="T62" i="2" s="1"/>
  <c r="AF62" i="2" s="1"/>
  <c r="AH62" i="2" s="1"/>
  <c r="H63" i="2"/>
  <c r="T63" i="2" s="1"/>
  <c r="AF63" i="2" s="1"/>
  <c r="AH63" i="2" s="1"/>
  <c r="H64" i="2"/>
  <c r="T64" i="2" s="1"/>
  <c r="AF64" i="2" s="1"/>
  <c r="AH64" i="2" s="1"/>
  <c r="H65" i="2"/>
  <c r="T65" i="2" s="1"/>
  <c r="AF65" i="2" s="1"/>
  <c r="AH65" i="2" s="1"/>
  <c r="H66" i="2"/>
  <c r="T66" i="2" s="1"/>
  <c r="AF66" i="2" s="1"/>
  <c r="AH66" i="2" s="1"/>
  <c r="H67" i="2"/>
  <c r="T67" i="2" s="1"/>
  <c r="AF67" i="2" s="1"/>
  <c r="AH67" i="2" s="1"/>
  <c r="H68" i="2"/>
  <c r="T68" i="2" s="1"/>
  <c r="AF68" i="2" s="1"/>
  <c r="AH68" i="2" s="1"/>
  <c r="H69" i="2"/>
  <c r="T69" i="2" s="1"/>
  <c r="AF69" i="2" s="1"/>
  <c r="AH69" i="2" s="1"/>
  <c r="H70" i="2"/>
  <c r="T70" i="2" s="1"/>
  <c r="AF70" i="2" s="1"/>
  <c r="AH70" i="2" s="1"/>
  <c r="H72" i="2"/>
  <c r="T72" i="2" s="1"/>
  <c r="AF72" i="2" s="1"/>
  <c r="AH72" i="2" s="1"/>
  <c r="H73" i="2"/>
  <c r="T73" i="2" s="1"/>
  <c r="AF73" i="2" s="1"/>
  <c r="AH73" i="2" s="1"/>
  <c r="H74" i="2"/>
  <c r="T74" i="2" s="1"/>
  <c r="AF74" i="2" s="1"/>
  <c r="AH74" i="2" s="1"/>
  <c r="H75" i="2"/>
  <c r="T75" i="2" s="1"/>
  <c r="AF75" i="2" s="1"/>
  <c r="AH75" i="2" s="1"/>
  <c r="H76" i="2"/>
  <c r="T76" i="2" s="1"/>
  <c r="AF76" i="2" s="1"/>
  <c r="AH76" i="2" s="1"/>
  <c r="H77" i="2"/>
  <c r="T77" i="2" s="1"/>
  <c r="AF77" i="2" s="1"/>
  <c r="AH77" i="2" s="1"/>
  <c r="H78" i="2"/>
  <c r="T78" i="2" s="1"/>
  <c r="AF78" i="2" s="1"/>
  <c r="AH78" i="2" s="1"/>
  <c r="H79" i="2"/>
  <c r="T79" i="2" s="1"/>
  <c r="AF79" i="2" s="1"/>
  <c r="AH79" i="2" s="1"/>
  <c r="H80" i="2"/>
  <c r="T80" i="2" s="1"/>
  <c r="AF80" i="2" s="1"/>
  <c r="AH80" i="2" s="1"/>
  <c r="H81" i="2"/>
  <c r="T81" i="2" s="1"/>
  <c r="AF81" i="2" s="1"/>
  <c r="AH81" i="2" s="1"/>
  <c r="H82" i="2"/>
  <c r="T82" i="2" s="1"/>
  <c r="AF82" i="2" s="1"/>
  <c r="AH82" i="2" s="1"/>
  <c r="H83" i="2"/>
  <c r="T83" i="2" s="1"/>
  <c r="AF83" i="2" s="1"/>
  <c r="AH83" i="2" s="1"/>
  <c r="H84" i="2"/>
  <c r="T84" i="2" s="1"/>
  <c r="AF84" i="2" s="1"/>
  <c r="AH84" i="2" s="1"/>
  <c r="H85" i="2"/>
  <c r="T85" i="2" s="1"/>
  <c r="AF85" i="2" s="1"/>
  <c r="AH85" i="2" s="1"/>
  <c r="H86" i="2"/>
  <c r="T86" i="2" s="1"/>
  <c r="AF86" i="2" s="1"/>
  <c r="AH86" i="2" s="1"/>
  <c r="H87" i="2"/>
  <c r="T87" i="2" s="1"/>
  <c r="AF87" i="2" s="1"/>
  <c r="AH87" i="2" s="1"/>
  <c r="H88" i="2"/>
  <c r="T88" i="2" s="1"/>
  <c r="AF88" i="2" s="1"/>
  <c r="AH88" i="2" s="1"/>
  <c r="H89" i="2"/>
  <c r="T89" i="2" s="1"/>
  <c r="AF89" i="2" s="1"/>
  <c r="AH89" i="2" s="1"/>
  <c r="H90" i="2"/>
  <c r="T90" i="2" s="1"/>
  <c r="AF90" i="2" s="1"/>
  <c r="AH90" i="2" s="1"/>
  <c r="H91" i="2"/>
  <c r="T91" i="2" s="1"/>
  <c r="AF91" i="2" s="1"/>
  <c r="AH91" i="2" s="1"/>
  <c r="H92" i="2"/>
  <c r="T92" i="2" s="1"/>
  <c r="AF92" i="2" s="1"/>
  <c r="AH92" i="2" s="1"/>
  <c r="H93" i="2"/>
  <c r="T93" i="2" s="1"/>
  <c r="AF93" i="2" s="1"/>
  <c r="AH93" i="2" s="1"/>
  <c r="H94" i="2"/>
  <c r="T94" i="2" s="1"/>
  <c r="AF94" i="2" s="1"/>
  <c r="AH94" i="2" s="1"/>
  <c r="H17" i="2"/>
  <c r="T17" i="2" s="1"/>
  <c r="AF17" i="2" s="1"/>
  <c r="AH17" i="2" s="1"/>
  <c r="H16" i="2"/>
  <c r="T16" i="2" s="1"/>
  <c r="AF16" i="2" s="1"/>
  <c r="AH16" i="2" s="1"/>
  <c r="H15" i="2"/>
  <c r="T15" i="2" s="1"/>
  <c r="AF15" i="2" s="1"/>
  <c r="AH15" i="2" s="1"/>
  <c r="H7" i="2"/>
  <c r="T7" i="2" s="1"/>
  <c r="AF7" i="2" s="1"/>
  <c r="AH7" i="2" s="1"/>
  <c r="H8" i="2"/>
  <c r="T8" i="2" s="1"/>
  <c r="AF8" i="2" s="1"/>
  <c r="AH8" i="2" s="1"/>
  <c r="H9" i="2"/>
  <c r="T9" i="2" s="1"/>
  <c r="AF9" i="2" s="1"/>
  <c r="AH9" i="2" s="1"/>
  <c r="H10" i="2"/>
  <c r="T10" i="2" s="1"/>
  <c r="AF10" i="2" s="1"/>
  <c r="AH10" i="2" s="1"/>
  <c r="H11" i="2"/>
  <c r="T11" i="2" s="1"/>
  <c r="AF11" i="2" s="1"/>
  <c r="AH11" i="2" s="1"/>
  <c r="H12" i="2"/>
  <c r="T12" i="2" s="1"/>
  <c r="AF12" i="2" s="1"/>
  <c r="AH12" i="2" s="1"/>
  <c r="H13" i="2"/>
  <c r="T13" i="2" s="1"/>
  <c r="AF13" i="2" s="1"/>
  <c r="AH13" i="2" s="1"/>
  <c r="H14" i="2"/>
  <c r="T14" i="2" s="1"/>
  <c r="AF14" i="2" s="1"/>
  <c r="AH14" i="2" s="1"/>
  <c r="K238" i="1"/>
  <c r="K236" i="1"/>
  <c r="K237" i="1"/>
  <c r="K224" i="1"/>
  <c r="K191" i="1"/>
  <c r="L3" i="1" l="1"/>
  <c r="V2" i="1"/>
  <c r="AI2" i="1" s="1"/>
  <c r="AN2" i="1" s="1"/>
  <c r="N6" i="5"/>
  <c r="P6" i="5" s="1"/>
  <c r="L6" i="5"/>
  <c r="N2" i="5"/>
  <c r="P2" i="5" s="1"/>
  <c r="L2" i="5"/>
  <c r="L13" i="5"/>
  <c r="N13" i="5"/>
  <c r="P13" i="5" s="1"/>
  <c r="N11" i="5"/>
  <c r="P11" i="5" s="1"/>
  <c r="L11" i="5"/>
  <c r="L3" i="5"/>
  <c r="N3" i="5"/>
  <c r="P3" i="5" s="1"/>
  <c r="N10" i="5"/>
  <c r="P10" i="5" s="1"/>
  <c r="L10" i="5"/>
  <c r="L12" i="5"/>
  <c r="N12" i="5"/>
  <c r="P12" i="5" s="1"/>
  <c r="L9" i="5"/>
  <c r="N9" i="5"/>
  <c r="P9" i="5" s="1"/>
  <c r="N5" i="5"/>
  <c r="P5" i="5" s="1"/>
  <c r="L5" i="5"/>
  <c r="L8" i="5"/>
  <c r="N8" i="5"/>
  <c r="P8" i="5" s="1"/>
  <c r="N4" i="5"/>
  <c r="P4" i="5" s="1"/>
  <c r="L4" i="5"/>
  <c r="L7" i="5"/>
  <c r="N7" i="5"/>
  <c r="P7" i="5" s="1"/>
  <c r="F11" i="5"/>
  <c r="F10" i="5"/>
  <c r="F9" i="5"/>
  <c r="F8" i="5"/>
  <c r="F7" i="5"/>
  <c r="F6" i="5"/>
  <c r="F13" i="5"/>
  <c r="F5" i="5"/>
  <c r="F12" i="5"/>
  <c r="F4" i="5"/>
  <c r="F2" i="5"/>
  <c r="F3" i="5" s="1"/>
  <c r="I3" i="4"/>
  <c r="H6" i="2"/>
  <c r="T6" i="2" s="1"/>
  <c r="AF6" i="2" s="1"/>
  <c r="AH6" i="2" s="1"/>
  <c r="G2" i="4"/>
  <c r="G4" i="4"/>
  <c r="G6" i="4"/>
  <c r="G7" i="4"/>
  <c r="G8" i="4"/>
  <c r="G9" i="4"/>
  <c r="G10" i="4"/>
  <c r="G11" i="4"/>
  <c r="G12" i="4"/>
  <c r="G13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2" i="4"/>
  <c r="G43" i="4"/>
  <c r="G44" i="4"/>
  <c r="G45" i="4"/>
  <c r="G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123" i="4"/>
  <c r="G81" i="4"/>
  <c r="G82" i="4"/>
  <c r="G83" i="4"/>
  <c r="G84" i="4"/>
  <c r="G85" i="4"/>
  <c r="G86" i="4"/>
  <c r="G87" i="4"/>
  <c r="G88" i="4"/>
  <c r="G90" i="4"/>
  <c r="G91" i="4"/>
  <c r="G92" i="4"/>
  <c r="G93" i="4"/>
  <c r="G94" i="4"/>
  <c r="G95" i="4"/>
  <c r="G96" i="4"/>
  <c r="G97" i="4"/>
  <c r="G99" i="4"/>
  <c r="G124" i="4"/>
  <c r="G100" i="4"/>
  <c r="G101" i="4"/>
  <c r="G102" i="4"/>
  <c r="G104" i="4"/>
  <c r="G105" i="4"/>
  <c r="G106" i="4"/>
  <c r="G107" i="4"/>
  <c r="G125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7" i="4"/>
  <c r="G128" i="4"/>
  <c r="G129" i="4"/>
  <c r="G130" i="4"/>
  <c r="G131" i="4"/>
  <c r="G132" i="4"/>
  <c r="G133" i="4"/>
  <c r="G89" i="4"/>
  <c r="G41" i="4"/>
  <c r="E2" i="4"/>
  <c r="E4" i="4"/>
  <c r="E6" i="4"/>
  <c r="E7" i="4"/>
  <c r="E8" i="4"/>
  <c r="E9" i="4"/>
  <c r="E10" i="4"/>
  <c r="E11" i="4"/>
  <c r="E12" i="4"/>
  <c r="E13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2" i="4"/>
  <c r="E43" i="4"/>
  <c r="E44" i="4"/>
  <c r="E45" i="4"/>
  <c r="E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123" i="4"/>
  <c r="E81" i="4"/>
  <c r="E82" i="4"/>
  <c r="E83" i="4"/>
  <c r="E84" i="4"/>
  <c r="E85" i="4"/>
  <c r="E86" i="4"/>
  <c r="E87" i="4"/>
  <c r="E88" i="4"/>
  <c r="E90" i="4"/>
  <c r="E91" i="4"/>
  <c r="E92" i="4"/>
  <c r="E93" i="4"/>
  <c r="E94" i="4"/>
  <c r="E95" i="4"/>
  <c r="E96" i="4"/>
  <c r="E97" i="4"/>
  <c r="E99" i="4"/>
  <c r="E124" i="4"/>
  <c r="E100" i="4"/>
  <c r="E101" i="4"/>
  <c r="E102" i="4"/>
  <c r="E104" i="4"/>
  <c r="E105" i="4"/>
  <c r="E106" i="4"/>
  <c r="E107" i="4"/>
  <c r="E125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7" i="4"/>
  <c r="E128" i="4"/>
  <c r="E129" i="4"/>
  <c r="E130" i="4"/>
  <c r="E131" i="4"/>
  <c r="E132" i="4"/>
  <c r="E133" i="4"/>
  <c r="E89" i="4"/>
  <c r="E41" i="4"/>
  <c r="G14" i="4"/>
  <c r="E14" i="4"/>
  <c r="C4" i="4"/>
  <c r="D4" i="4"/>
  <c r="F4" i="4"/>
  <c r="H4" i="4"/>
  <c r="C6" i="4"/>
  <c r="D6" i="4"/>
  <c r="F6" i="4"/>
  <c r="H6" i="4"/>
  <c r="C7" i="4"/>
  <c r="D7" i="4"/>
  <c r="F7" i="4"/>
  <c r="H7" i="4"/>
  <c r="C8" i="4"/>
  <c r="D8" i="4"/>
  <c r="F8" i="4"/>
  <c r="H8" i="4"/>
  <c r="C9" i="4"/>
  <c r="D9" i="4"/>
  <c r="F9" i="4"/>
  <c r="H9" i="4"/>
  <c r="C10" i="4"/>
  <c r="D10" i="4"/>
  <c r="F10" i="4"/>
  <c r="H10" i="4"/>
  <c r="C11" i="4"/>
  <c r="D11" i="4"/>
  <c r="F11" i="4"/>
  <c r="H11" i="4"/>
  <c r="C12" i="4"/>
  <c r="D12" i="4"/>
  <c r="F12" i="4"/>
  <c r="H12" i="4"/>
  <c r="C13" i="4"/>
  <c r="D13" i="4"/>
  <c r="F13" i="4"/>
  <c r="H13" i="4"/>
  <c r="C14" i="4"/>
  <c r="D14" i="4"/>
  <c r="F14" i="4"/>
  <c r="H14" i="4"/>
  <c r="C15" i="4"/>
  <c r="D15" i="4"/>
  <c r="F15" i="4"/>
  <c r="H15" i="4"/>
  <c r="C16" i="4"/>
  <c r="D16" i="4"/>
  <c r="F16" i="4"/>
  <c r="H16" i="4"/>
  <c r="C17" i="4"/>
  <c r="D17" i="4"/>
  <c r="F17" i="4"/>
  <c r="H17" i="4"/>
  <c r="C18" i="4"/>
  <c r="D18" i="4"/>
  <c r="F18" i="4"/>
  <c r="H18" i="4"/>
  <c r="C19" i="4"/>
  <c r="D19" i="4"/>
  <c r="F19" i="4"/>
  <c r="H19" i="4"/>
  <c r="C20" i="4"/>
  <c r="D20" i="4"/>
  <c r="F20" i="4"/>
  <c r="H20" i="4"/>
  <c r="C21" i="4"/>
  <c r="D21" i="4"/>
  <c r="F21" i="4"/>
  <c r="H21" i="4"/>
  <c r="C22" i="4"/>
  <c r="D22" i="4"/>
  <c r="F22" i="4"/>
  <c r="H22" i="4"/>
  <c r="C23" i="4"/>
  <c r="D23" i="4"/>
  <c r="F23" i="4"/>
  <c r="H23" i="4"/>
  <c r="C24" i="4"/>
  <c r="D24" i="4"/>
  <c r="F24" i="4"/>
  <c r="H24" i="4"/>
  <c r="C25" i="4"/>
  <c r="D25" i="4"/>
  <c r="F25" i="4"/>
  <c r="H25" i="4"/>
  <c r="C26" i="4"/>
  <c r="D26" i="4"/>
  <c r="F26" i="4"/>
  <c r="H26" i="4"/>
  <c r="C27" i="4"/>
  <c r="D27" i="4"/>
  <c r="F27" i="4"/>
  <c r="H27" i="4"/>
  <c r="C28" i="4"/>
  <c r="D28" i="4"/>
  <c r="F28" i="4"/>
  <c r="H28" i="4"/>
  <c r="C29" i="4"/>
  <c r="D29" i="4"/>
  <c r="F29" i="4"/>
  <c r="H29" i="4"/>
  <c r="C30" i="4"/>
  <c r="D30" i="4"/>
  <c r="F30" i="4"/>
  <c r="H30" i="4"/>
  <c r="C31" i="4"/>
  <c r="D31" i="4"/>
  <c r="F31" i="4"/>
  <c r="H31" i="4"/>
  <c r="C32" i="4"/>
  <c r="D32" i="4"/>
  <c r="F32" i="4"/>
  <c r="H32" i="4"/>
  <c r="C33" i="4"/>
  <c r="D33" i="4"/>
  <c r="F33" i="4"/>
  <c r="H33" i="4"/>
  <c r="C34" i="4"/>
  <c r="D34" i="4"/>
  <c r="F34" i="4"/>
  <c r="H34" i="4"/>
  <c r="C35" i="4"/>
  <c r="D35" i="4"/>
  <c r="F35" i="4"/>
  <c r="H35" i="4"/>
  <c r="C36" i="4"/>
  <c r="D36" i="4"/>
  <c r="F36" i="4"/>
  <c r="H36" i="4"/>
  <c r="C37" i="4"/>
  <c r="D37" i="4"/>
  <c r="F37" i="4"/>
  <c r="H37" i="4"/>
  <c r="C38" i="4"/>
  <c r="D38" i="4"/>
  <c r="F38" i="4"/>
  <c r="H38" i="4"/>
  <c r="C39" i="4"/>
  <c r="D39" i="4"/>
  <c r="F39" i="4"/>
  <c r="H39" i="4"/>
  <c r="C40" i="4"/>
  <c r="D40" i="4"/>
  <c r="F40" i="4"/>
  <c r="H40" i="4"/>
  <c r="C42" i="4"/>
  <c r="D42" i="4"/>
  <c r="F42" i="4"/>
  <c r="H42" i="4"/>
  <c r="C43" i="4"/>
  <c r="D43" i="4"/>
  <c r="F43" i="4"/>
  <c r="H43" i="4"/>
  <c r="C44" i="4"/>
  <c r="D44" i="4"/>
  <c r="F44" i="4"/>
  <c r="H44" i="4"/>
  <c r="C45" i="4"/>
  <c r="D45" i="4"/>
  <c r="F45" i="4"/>
  <c r="H45" i="4"/>
  <c r="C5" i="4"/>
  <c r="D5" i="4"/>
  <c r="F5" i="4"/>
  <c r="H5" i="4"/>
  <c r="C46" i="4"/>
  <c r="D46" i="4"/>
  <c r="F46" i="4"/>
  <c r="H46" i="4"/>
  <c r="C47" i="4"/>
  <c r="D47" i="4"/>
  <c r="F47" i="4"/>
  <c r="H47" i="4"/>
  <c r="C48" i="4"/>
  <c r="D48" i="4"/>
  <c r="F48" i="4"/>
  <c r="H48" i="4"/>
  <c r="C49" i="4"/>
  <c r="D49" i="4"/>
  <c r="F49" i="4"/>
  <c r="H49" i="4"/>
  <c r="C50" i="4"/>
  <c r="D50" i="4"/>
  <c r="F50" i="4"/>
  <c r="H50" i="4"/>
  <c r="C51" i="4"/>
  <c r="D51" i="4"/>
  <c r="F51" i="4"/>
  <c r="H51" i="4"/>
  <c r="C52" i="4"/>
  <c r="D52" i="4"/>
  <c r="F52" i="4"/>
  <c r="H52" i="4"/>
  <c r="C53" i="4"/>
  <c r="D53" i="4"/>
  <c r="F53" i="4"/>
  <c r="H53" i="4"/>
  <c r="C54" i="4"/>
  <c r="D54" i="4"/>
  <c r="F54" i="4"/>
  <c r="H54" i="4"/>
  <c r="C55" i="4"/>
  <c r="D55" i="4"/>
  <c r="F55" i="4"/>
  <c r="H55" i="4"/>
  <c r="C56" i="4"/>
  <c r="D56" i="4"/>
  <c r="F56" i="4"/>
  <c r="H56" i="4"/>
  <c r="C57" i="4"/>
  <c r="D57" i="4"/>
  <c r="F57" i="4"/>
  <c r="H57" i="4"/>
  <c r="C58" i="4"/>
  <c r="D58" i="4"/>
  <c r="F58" i="4"/>
  <c r="H58" i="4"/>
  <c r="C59" i="4"/>
  <c r="D59" i="4"/>
  <c r="F59" i="4"/>
  <c r="H59" i="4"/>
  <c r="C60" i="4"/>
  <c r="D60" i="4"/>
  <c r="F60" i="4"/>
  <c r="H60" i="4"/>
  <c r="C61" i="4"/>
  <c r="D61" i="4"/>
  <c r="F61" i="4"/>
  <c r="H61" i="4"/>
  <c r="C62" i="4"/>
  <c r="D62" i="4"/>
  <c r="F62" i="4"/>
  <c r="H62" i="4"/>
  <c r="C63" i="4"/>
  <c r="D63" i="4"/>
  <c r="F63" i="4"/>
  <c r="H63" i="4"/>
  <c r="C64" i="4"/>
  <c r="D64" i="4"/>
  <c r="F64" i="4"/>
  <c r="H64" i="4"/>
  <c r="C65" i="4"/>
  <c r="D65" i="4"/>
  <c r="F65" i="4"/>
  <c r="H65" i="4"/>
  <c r="C66" i="4"/>
  <c r="D66" i="4"/>
  <c r="F66" i="4"/>
  <c r="H66" i="4"/>
  <c r="C67" i="4"/>
  <c r="D67" i="4"/>
  <c r="F67" i="4"/>
  <c r="H67" i="4"/>
  <c r="C68" i="4"/>
  <c r="D68" i="4"/>
  <c r="F68" i="4"/>
  <c r="H68" i="4"/>
  <c r="C69" i="4"/>
  <c r="D69" i="4"/>
  <c r="F69" i="4"/>
  <c r="H69" i="4"/>
  <c r="C70" i="4"/>
  <c r="D70" i="4"/>
  <c r="F70" i="4"/>
  <c r="H70" i="4"/>
  <c r="C71" i="4"/>
  <c r="D71" i="4"/>
  <c r="F71" i="4"/>
  <c r="H71" i="4"/>
  <c r="C72" i="4"/>
  <c r="D72" i="4"/>
  <c r="F72" i="4"/>
  <c r="H72" i="4"/>
  <c r="C73" i="4"/>
  <c r="D73" i="4"/>
  <c r="F73" i="4"/>
  <c r="H73" i="4"/>
  <c r="C74" i="4"/>
  <c r="D74" i="4"/>
  <c r="F74" i="4"/>
  <c r="H74" i="4"/>
  <c r="C75" i="4"/>
  <c r="D75" i="4"/>
  <c r="F75" i="4"/>
  <c r="H75" i="4"/>
  <c r="C76" i="4"/>
  <c r="D76" i="4"/>
  <c r="F76" i="4"/>
  <c r="H76" i="4"/>
  <c r="C77" i="4"/>
  <c r="D77" i="4"/>
  <c r="F77" i="4"/>
  <c r="H77" i="4"/>
  <c r="C78" i="4"/>
  <c r="D78" i="4"/>
  <c r="F78" i="4"/>
  <c r="H78" i="4"/>
  <c r="C79" i="4"/>
  <c r="D79" i="4"/>
  <c r="F79" i="4"/>
  <c r="H79" i="4"/>
  <c r="C80" i="4"/>
  <c r="D80" i="4"/>
  <c r="F80" i="4"/>
  <c r="H80" i="4"/>
  <c r="C123" i="4"/>
  <c r="D123" i="4"/>
  <c r="F123" i="4"/>
  <c r="H123" i="4"/>
  <c r="C81" i="4"/>
  <c r="D81" i="4"/>
  <c r="F81" i="4"/>
  <c r="H81" i="4"/>
  <c r="C82" i="4"/>
  <c r="D82" i="4"/>
  <c r="F82" i="4"/>
  <c r="H82" i="4"/>
  <c r="C83" i="4"/>
  <c r="D83" i="4"/>
  <c r="F83" i="4"/>
  <c r="H83" i="4"/>
  <c r="C84" i="4"/>
  <c r="D84" i="4"/>
  <c r="F84" i="4"/>
  <c r="H84" i="4"/>
  <c r="C85" i="4"/>
  <c r="D85" i="4"/>
  <c r="F85" i="4"/>
  <c r="H85" i="4"/>
  <c r="C86" i="4"/>
  <c r="D86" i="4"/>
  <c r="F86" i="4"/>
  <c r="H86" i="4"/>
  <c r="C87" i="4"/>
  <c r="D87" i="4"/>
  <c r="F87" i="4"/>
  <c r="H87" i="4"/>
  <c r="C88" i="4"/>
  <c r="D88" i="4"/>
  <c r="F88" i="4"/>
  <c r="H88" i="4"/>
  <c r="C90" i="4"/>
  <c r="D90" i="4"/>
  <c r="F90" i="4"/>
  <c r="H90" i="4"/>
  <c r="C91" i="4"/>
  <c r="D91" i="4"/>
  <c r="F91" i="4"/>
  <c r="H91" i="4"/>
  <c r="C92" i="4"/>
  <c r="D92" i="4"/>
  <c r="F92" i="4"/>
  <c r="H92" i="4"/>
  <c r="C93" i="4"/>
  <c r="D93" i="4"/>
  <c r="F93" i="4"/>
  <c r="H93" i="4"/>
  <c r="C94" i="4"/>
  <c r="D94" i="4"/>
  <c r="F94" i="4"/>
  <c r="H94" i="4"/>
  <c r="C95" i="4"/>
  <c r="D95" i="4"/>
  <c r="F95" i="4"/>
  <c r="H95" i="4"/>
  <c r="C96" i="4"/>
  <c r="D96" i="4"/>
  <c r="F96" i="4"/>
  <c r="H96" i="4"/>
  <c r="C97" i="4"/>
  <c r="D97" i="4"/>
  <c r="F97" i="4"/>
  <c r="H97" i="4"/>
  <c r="C99" i="4"/>
  <c r="D99" i="4"/>
  <c r="F99" i="4"/>
  <c r="H99" i="4"/>
  <c r="C124" i="4"/>
  <c r="D124" i="4"/>
  <c r="F124" i="4"/>
  <c r="H124" i="4"/>
  <c r="C100" i="4"/>
  <c r="D100" i="4"/>
  <c r="F100" i="4"/>
  <c r="H100" i="4"/>
  <c r="C101" i="4"/>
  <c r="D101" i="4"/>
  <c r="F101" i="4"/>
  <c r="H101" i="4"/>
  <c r="C102" i="4"/>
  <c r="D102" i="4"/>
  <c r="F102" i="4"/>
  <c r="H102" i="4"/>
  <c r="C104" i="4"/>
  <c r="D104" i="4"/>
  <c r="F104" i="4"/>
  <c r="H104" i="4"/>
  <c r="C105" i="4"/>
  <c r="D105" i="4"/>
  <c r="F105" i="4"/>
  <c r="H105" i="4"/>
  <c r="C106" i="4"/>
  <c r="D106" i="4"/>
  <c r="F106" i="4"/>
  <c r="H106" i="4"/>
  <c r="C107" i="4"/>
  <c r="D107" i="4"/>
  <c r="F107" i="4"/>
  <c r="H107" i="4"/>
  <c r="C125" i="4"/>
  <c r="D125" i="4"/>
  <c r="F125" i="4"/>
  <c r="H125" i="4"/>
  <c r="C108" i="4"/>
  <c r="D108" i="4"/>
  <c r="F108" i="4"/>
  <c r="H108" i="4"/>
  <c r="C109" i="4"/>
  <c r="D109" i="4"/>
  <c r="F109" i="4"/>
  <c r="H109" i="4"/>
  <c r="C110" i="4"/>
  <c r="D110" i="4"/>
  <c r="F110" i="4"/>
  <c r="H110" i="4"/>
  <c r="C111" i="4"/>
  <c r="D111" i="4"/>
  <c r="F111" i="4"/>
  <c r="H111" i="4"/>
  <c r="C112" i="4"/>
  <c r="D112" i="4"/>
  <c r="F112" i="4"/>
  <c r="H112" i="4"/>
  <c r="C113" i="4"/>
  <c r="D113" i="4"/>
  <c r="F113" i="4"/>
  <c r="H113" i="4"/>
  <c r="C114" i="4"/>
  <c r="D114" i="4"/>
  <c r="F114" i="4"/>
  <c r="H114" i="4"/>
  <c r="C115" i="4"/>
  <c r="D115" i="4"/>
  <c r="F115" i="4"/>
  <c r="H115" i="4"/>
  <c r="C116" i="4"/>
  <c r="D116" i="4"/>
  <c r="F116" i="4"/>
  <c r="H116" i="4"/>
  <c r="C117" i="4"/>
  <c r="D117" i="4"/>
  <c r="F117" i="4"/>
  <c r="H117" i="4"/>
  <c r="C118" i="4"/>
  <c r="D118" i="4"/>
  <c r="F118" i="4"/>
  <c r="H118" i="4"/>
  <c r="C119" i="4"/>
  <c r="D119" i="4"/>
  <c r="F119" i="4"/>
  <c r="H119" i="4"/>
  <c r="C120" i="4"/>
  <c r="D120" i="4"/>
  <c r="F120" i="4"/>
  <c r="H120" i="4"/>
  <c r="C121" i="4"/>
  <c r="D121" i="4"/>
  <c r="F121" i="4"/>
  <c r="H121" i="4"/>
  <c r="C122" i="4"/>
  <c r="D122" i="4"/>
  <c r="F122" i="4"/>
  <c r="H122" i="4"/>
  <c r="C127" i="4"/>
  <c r="D127" i="4"/>
  <c r="F127" i="4"/>
  <c r="H127" i="4"/>
  <c r="C128" i="4"/>
  <c r="D128" i="4"/>
  <c r="F128" i="4"/>
  <c r="H128" i="4"/>
  <c r="C129" i="4"/>
  <c r="D129" i="4"/>
  <c r="F129" i="4"/>
  <c r="H129" i="4"/>
  <c r="C130" i="4"/>
  <c r="D130" i="4"/>
  <c r="F130" i="4"/>
  <c r="H130" i="4"/>
  <c r="C131" i="4"/>
  <c r="D131" i="4"/>
  <c r="F131" i="4"/>
  <c r="H131" i="4"/>
  <c r="C132" i="4"/>
  <c r="D132" i="4"/>
  <c r="F132" i="4"/>
  <c r="H132" i="4"/>
  <c r="C133" i="4"/>
  <c r="D133" i="4"/>
  <c r="F133" i="4"/>
  <c r="H133" i="4"/>
  <c r="C89" i="4"/>
  <c r="D89" i="4"/>
  <c r="F89" i="4"/>
  <c r="H89" i="4"/>
  <c r="C41" i="4"/>
  <c r="D41" i="4"/>
  <c r="F41" i="4"/>
  <c r="H41" i="4"/>
  <c r="F2" i="4"/>
  <c r="C2" i="4"/>
  <c r="H2" i="4"/>
  <c r="D2" i="4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03" i="1"/>
  <c r="E204" i="1"/>
  <c r="E205" i="1"/>
  <c r="E206" i="1"/>
  <c r="E207" i="1"/>
  <c r="E208" i="1"/>
  <c r="E209" i="1"/>
  <c r="E202" i="1"/>
  <c r="E167" i="1"/>
  <c r="E168" i="1"/>
  <c r="E166" i="1"/>
  <c r="E156" i="1"/>
  <c r="E157" i="1"/>
  <c r="E155" i="1"/>
  <c r="E119" i="1"/>
  <c r="E120" i="1"/>
  <c r="E118" i="1"/>
  <c r="E83" i="1"/>
  <c r="E84" i="1"/>
  <c r="E85" i="1"/>
  <c r="E86" i="1"/>
  <c r="E82" i="1"/>
  <c r="E45" i="1"/>
  <c r="E46" i="1"/>
  <c r="E44" i="1"/>
  <c r="E36" i="1"/>
  <c r="E37" i="1"/>
  <c r="E38" i="1"/>
  <c r="K39" i="1"/>
  <c r="K40" i="1"/>
  <c r="K41" i="1"/>
  <c r="K42" i="1"/>
  <c r="K43" i="1"/>
  <c r="K44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8" i="1"/>
  <c r="K159" i="1"/>
  <c r="K160" i="1"/>
  <c r="K161" i="1"/>
  <c r="K162" i="1"/>
  <c r="K163" i="1"/>
  <c r="K164" i="1"/>
  <c r="K165" i="1"/>
  <c r="K166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2" i="1"/>
  <c r="K193" i="1"/>
  <c r="K194" i="1"/>
  <c r="K195" i="1"/>
  <c r="K196" i="1"/>
  <c r="K197" i="1"/>
  <c r="K198" i="1"/>
  <c r="K199" i="1"/>
  <c r="K200" i="1"/>
  <c r="K201" i="1"/>
  <c r="K202" i="1"/>
  <c r="K210" i="1"/>
  <c r="K211" i="1"/>
  <c r="K212" i="1"/>
  <c r="K213" i="1"/>
  <c r="E214" i="1"/>
  <c r="E215" i="1"/>
  <c r="E216" i="1"/>
  <c r="E217" i="1"/>
  <c r="E218" i="1"/>
  <c r="L4" i="1" l="1"/>
  <c r="V3" i="1"/>
  <c r="AI3" i="1" s="1"/>
  <c r="AN3" i="1" s="1"/>
  <c r="I8" i="4"/>
  <c r="I113" i="4"/>
  <c r="I88" i="4"/>
  <c r="I65" i="4"/>
  <c r="I25" i="4"/>
  <c r="I132" i="4"/>
  <c r="I105" i="4"/>
  <c r="I64" i="4"/>
  <c r="I40" i="4"/>
  <c r="I7" i="4"/>
  <c r="I131" i="4"/>
  <c r="I119" i="4"/>
  <c r="I111" i="4"/>
  <c r="I104" i="4"/>
  <c r="I95" i="4"/>
  <c r="I86" i="4"/>
  <c r="I79" i="4"/>
  <c r="I71" i="4"/>
  <c r="I63" i="4"/>
  <c r="I55" i="4"/>
  <c r="I47" i="4"/>
  <c r="I39" i="4"/>
  <c r="I31" i="4"/>
  <c r="I23" i="4"/>
  <c r="I15" i="4"/>
  <c r="I6" i="4"/>
  <c r="I106" i="4"/>
  <c r="I49" i="4"/>
  <c r="I80" i="4"/>
  <c r="I24" i="4"/>
  <c r="I130" i="4"/>
  <c r="I118" i="4"/>
  <c r="I110" i="4"/>
  <c r="I102" i="4"/>
  <c r="I94" i="4"/>
  <c r="I85" i="4"/>
  <c r="I78" i="4"/>
  <c r="I70" i="4"/>
  <c r="I62" i="4"/>
  <c r="I54" i="4"/>
  <c r="I46" i="4"/>
  <c r="I38" i="4"/>
  <c r="I30" i="4"/>
  <c r="I22" i="4"/>
  <c r="I13" i="4"/>
  <c r="I4" i="4"/>
  <c r="I121" i="4"/>
  <c r="I123" i="4"/>
  <c r="I57" i="4"/>
  <c r="I33" i="4"/>
  <c r="I112" i="4"/>
  <c r="I87" i="4"/>
  <c r="I56" i="4"/>
  <c r="I32" i="4"/>
  <c r="I14" i="4"/>
  <c r="I129" i="4"/>
  <c r="I117" i="4"/>
  <c r="I109" i="4"/>
  <c r="I101" i="4"/>
  <c r="I93" i="4"/>
  <c r="I84" i="4"/>
  <c r="I77" i="4"/>
  <c r="I69" i="4"/>
  <c r="I61" i="4"/>
  <c r="I53" i="4"/>
  <c r="I5" i="4"/>
  <c r="I37" i="4"/>
  <c r="I29" i="4"/>
  <c r="I21" i="4"/>
  <c r="I12" i="4"/>
  <c r="I2" i="4"/>
  <c r="I133" i="4"/>
  <c r="I97" i="4"/>
  <c r="I73" i="4"/>
  <c r="I42" i="4"/>
  <c r="I17" i="4"/>
  <c r="I120" i="4"/>
  <c r="I96" i="4"/>
  <c r="I72" i="4"/>
  <c r="I48" i="4"/>
  <c r="I16" i="4"/>
  <c r="I128" i="4"/>
  <c r="I116" i="4"/>
  <c r="I108" i="4"/>
  <c r="I100" i="4"/>
  <c r="I92" i="4"/>
  <c r="I83" i="4"/>
  <c r="I76" i="4"/>
  <c r="I68" i="4"/>
  <c r="I60" i="4"/>
  <c r="I52" i="4"/>
  <c r="I45" i="4"/>
  <c r="I36" i="4"/>
  <c r="I28" i="4"/>
  <c r="I20" i="4"/>
  <c r="I11" i="4"/>
  <c r="I41" i="4"/>
  <c r="I127" i="4"/>
  <c r="I115" i="4"/>
  <c r="I125" i="4"/>
  <c r="I124" i="4"/>
  <c r="I91" i="4"/>
  <c r="I82" i="4"/>
  <c r="I75" i="4"/>
  <c r="I67" i="4"/>
  <c r="I59" i="4"/>
  <c r="I51" i="4"/>
  <c r="I44" i="4"/>
  <c r="I35" i="4"/>
  <c r="I27" i="4"/>
  <c r="I19" i="4"/>
  <c r="I10" i="4"/>
  <c r="I89" i="4"/>
  <c r="I122" i="4"/>
  <c r="I114" i="4"/>
  <c r="I107" i="4"/>
  <c r="I99" i="4"/>
  <c r="I90" i="4"/>
  <c r="I81" i="4"/>
  <c r="I74" i="4"/>
  <c r="I66" i="4"/>
  <c r="I58" i="4"/>
  <c r="I50" i="4"/>
  <c r="I43" i="4"/>
  <c r="I34" i="4"/>
  <c r="I26" i="4"/>
  <c r="I18" i="4"/>
  <c r="I9" i="4"/>
  <c r="E27" i="1"/>
  <c r="E28" i="1"/>
  <c r="E29" i="1"/>
  <c r="E30" i="1"/>
  <c r="E31" i="1"/>
  <c r="E32" i="1"/>
  <c r="E33" i="1"/>
  <c r="E34" i="1"/>
  <c r="E35" i="1"/>
  <c r="E39" i="1"/>
  <c r="E40" i="1"/>
  <c r="E41" i="1"/>
  <c r="E42" i="1"/>
  <c r="E43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8" i="1"/>
  <c r="E159" i="1"/>
  <c r="E160" i="1"/>
  <c r="E161" i="1"/>
  <c r="E162" i="1"/>
  <c r="E163" i="1"/>
  <c r="E164" i="1"/>
  <c r="E165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10" i="1"/>
  <c r="E211" i="1"/>
  <c r="E212" i="1"/>
  <c r="E213" i="1"/>
  <c r="C59" i="2"/>
  <c r="C60" i="2"/>
  <c r="C46" i="2"/>
  <c r="C4" i="2"/>
  <c r="C47" i="2"/>
  <c r="C61" i="2"/>
  <c r="C34" i="2"/>
  <c r="C62" i="2"/>
  <c r="C35" i="2"/>
  <c r="C36" i="2"/>
  <c r="C63" i="2"/>
  <c r="C48" i="2"/>
  <c r="C49" i="2"/>
  <c r="C50" i="2"/>
  <c r="C51" i="2"/>
  <c r="C19" i="2"/>
  <c r="C52" i="2"/>
  <c r="C37" i="2"/>
  <c r="C38" i="2"/>
  <c r="C31" i="2"/>
  <c r="C53" i="2"/>
  <c r="C54" i="2"/>
  <c r="C81" i="2"/>
  <c r="C39" i="2"/>
  <c r="C40" i="2"/>
  <c r="C41" i="2"/>
  <c r="C64" i="2"/>
  <c r="C55" i="2"/>
  <c r="C42" i="2"/>
  <c r="C5" i="2"/>
  <c r="C65" i="2"/>
  <c r="C56" i="2"/>
  <c r="C43" i="2"/>
  <c r="C6" i="2"/>
  <c r="C57" i="2"/>
  <c r="C58" i="2"/>
  <c r="C82" i="2"/>
  <c r="C12" i="2"/>
  <c r="C13" i="2"/>
  <c r="C83" i="2"/>
  <c r="C66" i="2"/>
  <c r="C67" i="2"/>
  <c r="C68" i="2"/>
  <c r="C69" i="2"/>
  <c r="C70" i="2"/>
  <c r="C71" i="2"/>
  <c r="C72" i="2"/>
  <c r="C73" i="2"/>
  <c r="C74" i="2"/>
  <c r="C75" i="2"/>
  <c r="C14" i="2"/>
  <c r="C15" i="2"/>
  <c r="C7" i="2"/>
  <c r="C16" i="2"/>
  <c r="C17" i="2"/>
  <c r="C11" i="2"/>
  <c r="C76" i="2"/>
  <c r="C114" i="2"/>
  <c r="C77" i="2"/>
  <c r="C84" i="2"/>
  <c r="C115" i="2"/>
  <c r="C85" i="2"/>
  <c r="C78" i="2"/>
  <c r="C79" i="2"/>
  <c r="C116" i="2"/>
  <c r="C8" i="2"/>
  <c r="C158" i="2"/>
  <c r="C44" i="2"/>
  <c r="C86" i="2"/>
  <c r="C87" i="2"/>
  <c r="C88" i="2"/>
  <c r="C159" i="2"/>
  <c r="C89" i="2"/>
  <c r="C160" i="2"/>
  <c r="C90" i="2"/>
  <c r="C91" i="2"/>
  <c r="C92" i="2"/>
  <c r="C45" i="2"/>
  <c r="C93" i="2"/>
  <c r="C80" i="2"/>
  <c r="C94" i="2"/>
  <c r="C117" i="2"/>
  <c r="C95" i="2"/>
  <c r="C9" i="2"/>
  <c r="C25" i="2"/>
  <c r="C26" i="2"/>
  <c r="C27" i="2"/>
  <c r="C3" i="2"/>
  <c r="L5" i="1" l="1"/>
  <c r="V4" i="1"/>
  <c r="AI4" i="1" s="1"/>
  <c r="AN4" i="1" s="1"/>
  <c r="L6" i="1" l="1"/>
  <c r="V5" i="1"/>
  <c r="AI5" i="1" s="1"/>
  <c r="AN5" i="1" s="1"/>
  <c r="L9" i="1" l="1"/>
  <c r="V6" i="1"/>
  <c r="AI6" i="1" s="1"/>
  <c r="AN6" i="1" s="1"/>
  <c r="L10" i="1" l="1"/>
  <c r="V9" i="1"/>
  <c r="AI9" i="1" s="1"/>
  <c r="AN9" i="1" s="1"/>
  <c r="L11" i="1" l="1"/>
  <c r="V10" i="1"/>
  <c r="AI10" i="1" s="1"/>
  <c r="AN10" i="1" s="1"/>
  <c r="L12" i="1" l="1"/>
  <c r="V11" i="1"/>
  <c r="AI11" i="1" s="1"/>
  <c r="AN11" i="1" s="1"/>
  <c r="L13" i="1" l="1"/>
  <c r="V12" i="1"/>
  <c r="AI12" i="1" s="1"/>
  <c r="AN12" i="1" s="1"/>
  <c r="L14" i="1" l="1"/>
  <c r="V13" i="1"/>
  <c r="AI13" i="1" s="1"/>
  <c r="AN13" i="1" s="1"/>
  <c r="L15" i="1" l="1"/>
  <c r="V14" i="1"/>
  <c r="AI14" i="1" s="1"/>
  <c r="AN14" i="1" s="1"/>
  <c r="L16" i="1" l="1"/>
  <c r="V15" i="1"/>
  <c r="AI15" i="1" s="1"/>
  <c r="AN15" i="1" s="1"/>
  <c r="L17" i="1" l="1"/>
  <c r="V16" i="1"/>
  <c r="AI16" i="1" s="1"/>
  <c r="AN16" i="1" s="1"/>
  <c r="L18" i="1" l="1"/>
  <c r="V17" i="1"/>
  <c r="AI17" i="1" s="1"/>
  <c r="AN17" i="1" s="1"/>
  <c r="L19" i="1" l="1"/>
  <c r="V18" i="1"/>
  <c r="AI18" i="1" s="1"/>
  <c r="AN18" i="1" s="1"/>
  <c r="L20" i="1" l="1"/>
  <c r="V19" i="1"/>
  <c r="AI19" i="1" s="1"/>
  <c r="AN19" i="1" s="1"/>
  <c r="L21" i="1" l="1"/>
  <c r="V20" i="1"/>
  <c r="AI20" i="1" s="1"/>
  <c r="AN20" i="1" s="1"/>
  <c r="L22" i="1" l="1"/>
  <c r="V21" i="1"/>
  <c r="AI21" i="1" s="1"/>
  <c r="AN21" i="1" s="1"/>
  <c r="L23" i="1" l="1"/>
  <c r="V22" i="1"/>
  <c r="AI22" i="1" s="1"/>
  <c r="AN22" i="1" s="1"/>
  <c r="L24" i="1" l="1"/>
  <c r="V23" i="1"/>
  <c r="AI23" i="1" s="1"/>
  <c r="AN23" i="1" s="1"/>
  <c r="L25" i="1" l="1"/>
  <c r="V24" i="1"/>
  <c r="AI24" i="1" s="1"/>
  <c r="AN24" i="1" s="1"/>
  <c r="L26" i="1" l="1"/>
  <c r="V25" i="1"/>
  <c r="AI25" i="1" s="1"/>
  <c r="AN25" i="1" s="1"/>
  <c r="L27" i="1" l="1"/>
  <c r="V26" i="1"/>
  <c r="AI26" i="1" s="1"/>
  <c r="AN26" i="1" s="1"/>
  <c r="V27" i="1" l="1"/>
  <c r="AI27" i="1" s="1"/>
  <c r="AN27" i="1" s="1"/>
  <c r="L28" i="1"/>
  <c r="L29" i="1" l="1"/>
  <c r="V28" i="1"/>
  <c r="AI28" i="1" s="1"/>
  <c r="AN28" i="1" s="1"/>
  <c r="L30" i="1" l="1"/>
  <c r="V29" i="1"/>
  <c r="AI29" i="1" s="1"/>
  <c r="AN29" i="1" s="1"/>
  <c r="L31" i="1" l="1"/>
  <c r="V30" i="1"/>
  <c r="AI30" i="1" s="1"/>
  <c r="AN30" i="1" s="1"/>
  <c r="L32" i="1" l="1"/>
  <c r="V31" i="1"/>
  <c r="AI31" i="1" s="1"/>
  <c r="AN31" i="1" s="1"/>
  <c r="L33" i="1" l="1"/>
  <c r="V32" i="1"/>
  <c r="AI32" i="1" s="1"/>
  <c r="AN32" i="1" s="1"/>
  <c r="L34" i="1" l="1"/>
  <c r="V33" i="1"/>
  <c r="AI33" i="1" s="1"/>
  <c r="AN33" i="1" s="1"/>
  <c r="L35" i="1" l="1"/>
  <c r="V34" i="1"/>
  <c r="AI34" i="1" s="1"/>
  <c r="AN34" i="1" s="1"/>
  <c r="L39" i="1" l="1"/>
  <c r="V35" i="1"/>
  <c r="AI35" i="1" s="1"/>
  <c r="AN35" i="1" s="1"/>
  <c r="L40" i="1" l="1"/>
  <c r="V39" i="1"/>
  <c r="AI39" i="1" s="1"/>
  <c r="AN39" i="1" s="1"/>
  <c r="L41" i="1" l="1"/>
  <c r="V40" i="1"/>
  <c r="AI40" i="1" s="1"/>
  <c r="AN40" i="1" s="1"/>
  <c r="L42" i="1" l="1"/>
  <c r="V41" i="1"/>
  <c r="AI41" i="1" s="1"/>
  <c r="AN41" i="1" s="1"/>
  <c r="L43" i="1" l="1"/>
  <c r="V42" i="1"/>
  <c r="AI42" i="1" s="1"/>
  <c r="AN42" i="1" s="1"/>
  <c r="L44" i="1" l="1"/>
  <c r="V43" i="1"/>
  <c r="AI43" i="1" s="1"/>
  <c r="AN43" i="1" s="1"/>
  <c r="L47" i="1" l="1"/>
  <c r="V44" i="1"/>
  <c r="AI44" i="1" s="1"/>
  <c r="AN44" i="1" s="1"/>
  <c r="L48" i="1" l="1"/>
  <c r="V47" i="1"/>
  <c r="AI47" i="1" s="1"/>
  <c r="AN47" i="1" s="1"/>
  <c r="L49" i="1" l="1"/>
  <c r="V48" i="1"/>
  <c r="AI48" i="1" s="1"/>
  <c r="AN48" i="1" s="1"/>
  <c r="L50" i="1" l="1"/>
  <c r="V49" i="1"/>
  <c r="AI49" i="1" s="1"/>
  <c r="AN49" i="1" s="1"/>
  <c r="L51" i="1" l="1"/>
  <c r="V50" i="1"/>
  <c r="AI50" i="1" s="1"/>
  <c r="AN50" i="1" s="1"/>
  <c r="L52" i="1" l="1"/>
  <c r="V51" i="1"/>
  <c r="AI51" i="1" s="1"/>
  <c r="AN51" i="1" s="1"/>
  <c r="L53" i="1" l="1"/>
  <c r="V52" i="1"/>
  <c r="AI52" i="1" s="1"/>
  <c r="AN52" i="1" s="1"/>
  <c r="L54" i="1" l="1"/>
  <c r="V53" i="1"/>
  <c r="AI53" i="1" s="1"/>
  <c r="AN53" i="1" s="1"/>
  <c r="L55" i="1" l="1"/>
  <c r="V54" i="1"/>
  <c r="AI54" i="1" s="1"/>
  <c r="AN54" i="1" s="1"/>
  <c r="L56" i="1" l="1"/>
  <c r="V55" i="1"/>
  <c r="AI55" i="1" s="1"/>
  <c r="AN55" i="1" s="1"/>
  <c r="L57" i="1" l="1"/>
  <c r="V56" i="1"/>
  <c r="AI56" i="1" s="1"/>
  <c r="AN56" i="1" s="1"/>
  <c r="L58" i="1" l="1"/>
  <c r="V57" i="1"/>
  <c r="AI57" i="1" s="1"/>
  <c r="AN57" i="1" s="1"/>
  <c r="L59" i="1" l="1"/>
  <c r="V58" i="1"/>
  <c r="AI58" i="1" s="1"/>
  <c r="AN58" i="1" s="1"/>
  <c r="L60" i="1" l="1"/>
  <c r="V59" i="1"/>
  <c r="AI59" i="1" s="1"/>
  <c r="AN59" i="1" s="1"/>
  <c r="L61" i="1" l="1"/>
  <c r="V60" i="1"/>
  <c r="AI60" i="1" s="1"/>
  <c r="AN60" i="1" s="1"/>
  <c r="L62" i="1" l="1"/>
  <c r="V61" i="1"/>
  <c r="AI61" i="1" s="1"/>
  <c r="AN61" i="1" s="1"/>
  <c r="L63" i="1" l="1"/>
  <c r="V62" i="1"/>
  <c r="AI62" i="1" s="1"/>
  <c r="AN62" i="1" s="1"/>
  <c r="L64" i="1" l="1"/>
  <c r="V63" i="1"/>
  <c r="AI63" i="1" s="1"/>
  <c r="AN63" i="1" s="1"/>
  <c r="L65" i="1" l="1"/>
  <c r="V64" i="1"/>
  <c r="AI64" i="1" s="1"/>
  <c r="AN64" i="1" s="1"/>
  <c r="L66" i="1" l="1"/>
  <c r="V65" i="1"/>
  <c r="AI65" i="1" s="1"/>
  <c r="AN65" i="1" s="1"/>
  <c r="L67" i="1" l="1"/>
  <c r="V66" i="1"/>
  <c r="AI66" i="1" s="1"/>
  <c r="AN66" i="1" s="1"/>
  <c r="L68" i="1" l="1"/>
  <c r="V67" i="1"/>
  <c r="AI67" i="1" s="1"/>
  <c r="AN67" i="1" s="1"/>
  <c r="L69" i="1" l="1"/>
  <c r="V68" i="1"/>
  <c r="AI68" i="1" s="1"/>
  <c r="AN68" i="1" s="1"/>
  <c r="L70" i="1" l="1"/>
  <c r="V69" i="1"/>
  <c r="AI69" i="1" s="1"/>
  <c r="AN69" i="1" s="1"/>
  <c r="L71" i="1" l="1"/>
  <c r="V70" i="1"/>
  <c r="AI70" i="1" s="1"/>
  <c r="AN70" i="1" s="1"/>
  <c r="L72" i="1" l="1"/>
  <c r="V71" i="1"/>
  <c r="AI71" i="1" s="1"/>
  <c r="AN71" i="1" s="1"/>
  <c r="L73" i="1" l="1"/>
  <c r="V72" i="1"/>
  <c r="AI72" i="1" s="1"/>
  <c r="AN72" i="1" s="1"/>
  <c r="L74" i="1" l="1"/>
  <c r="V73" i="1"/>
  <c r="AI73" i="1" s="1"/>
  <c r="AN73" i="1" s="1"/>
  <c r="L75" i="1" l="1"/>
  <c r="V74" i="1"/>
  <c r="AI74" i="1" s="1"/>
  <c r="AN74" i="1" s="1"/>
  <c r="L76" i="1" l="1"/>
  <c r="V75" i="1"/>
  <c r="AI75" i="1" s="1"/>
  <c r="AN75" i="1" s="1"/>
  <c r="L77" i="1" l="1"/>
  <c r="V76" i="1"/>
  <c r="AI76" i="1" s="1"/>
  <c r="AN76" i="1" s="1"/>
  <c r="L78" i="1" l="1"/>
  <c r="V77" i="1"/>
  <c r="AI77" i="1" s="1"/>
  <c r="AN77" i="1" s="1"/>
  <c r="L79" i="1" l="1"/>
  <c r="V78" i="1"/>
  <c r="AI78" i="1" s="1"/>
  <c r="AN78" i="1" s="1"/>
  <c r="L80" i="1" l="1"/>
  <c r="V79" i="1"/>
  <c r="AI79" i="1" s="1"/>
  <c r="AN79" i="1" s="1"/>
  <c r="L81" i="1" l="1"/>
  <c r="V80" i="1"/>
  <c r="AI80" i="1" s="1"/>
  <c r="AN80" i="1" s="1"/>
  <c r="L82" i="1" l="1"/>
  <c r="V81" i="1"/>
  <c r="AI81" i="1" s="1"/>
  <c r="AN81" i="1" s="1"/>
  <c r="L87" i="1" l="1"/>
  <c r="V82" i="1"/>
  <c r="AI82" i="1" s="1"/>
  <c r="AN82" i="1" s="1"/>
  <c r="L88" i="1" l="1"/>
  <c r="V87" i="1"/>
  <c r="AI87" i="1" s="1"/>
  <c r="AN87" i="1" s="1"/>
  <c r="L89" i="1" l="1"/>
  <c r="V88" i="1"/>
  <c r="AI88" i="1" s="1"/>
  <c r="AN88" i="1" s="1"/>
  <c r="L90" i="1" l="1"/>
  <c r="V89" i="1"/>
  <c r="AI89" i="1" s="1"/>
  <c r="AN89" i="1" s="1"/>
  <c r="L91" i="1" l="1"/>
  <c r="V90" i="1"/>
  <c r="AI90" i="1" s="1"/>
  <c r="AN90" i="1" s="1"/>
  <c r="L92" i="1" l="1"/>
  <c r="V91" i="1"/>
  <c r="AI91" i="1" s="1"/>
  <c r="AN91" i="1" s="1"/>
  <c r="L93" i="1" l="1"/>
  <c r="V92" i="1"/>
  <c r="AI92" i="1" s="1"/>
  <c r="AN92" i="1" s="1"/>
  <c r="L94" i="1" l="1"/>
  <c r="V93" i="1"/>
  <c r="AI93" i="1" s="1"/>
  <c r="AN93" i="1" s="1"/>
  <c r="L95" i="1" l="1"/>
  <c r="V94" i="1"/>
  <c r="AI94" i="1" s="1"/>
  <c r="AN94" i="1" s="1"/>
  <c r="L96" i="1" l="1"/>
  <c r="V95" i="1"/>
  <c r="AI95" i="1" s="1"/>
  <c r="AN95" i="1" s="1"/>
  <c r="L97" i="1" l="1"/>
  <c r="V96" i="1"/>
  <c r="AI96" i="1" s="1"/>
  <c r="AN96" i="1" s="1"/>
  <c r="L98" i="1" l="1"/>
  <c r="V97" i="1"/>
  <c r="AI97" i="1" s="1"/>
  <c r="AN97" i="1" s="1"/>
  <c r="L99" i="1" l="1"/>
  <c r="V98" i="1"/>
  <c r="AI98" i="1" s="1"/>
  <c r="AN98" i="1" s="1"/>
  <c r="L100" i="1" l="1"/>
  <c r="V99" i="1"/>
  <c r="AI99" i="1" s="1"/>
  <c r="AN99" i="1" s="1"/>
  <c r="L101" i="1" l="1"/>
  <c r="V100" i="1"/>
  <c r="AI100" i="1" s="1"/>
  <c r="AN100" i="1" s="1"/>
  <c r="L102" i="1" l="1"/>
  <c r="V101" i="1"/>
  <c r="AI101" i="1" s="1"/>
  <c r="AN101" i="1" s="1"/>
  <c r="L103" i="1" l="1"/>
  <c r="V102" i="1"/>
  <c r="AI102" i="1" s="1"/>
  <c r="AN102" i="1" s="1"/>
  <c r="L104" i="1" l="1"/>
  <c r="V103" i="1"/>
  <c r="AI103" i="1" s="1"/>
  <c r="AN103" i="1" s="1"/>
  <c r="L105" i="1" l="1"/>
  <c r="V104" i="1"/>
  <c r="AI104" i="1" s="1"/>
  <c r="AN104" i="1" s="1"/>
  <c r="L106" i="1" l="1"/>
  <c r="V105" i="1"/>
  <c r="AI105" i="1" s="1"/>
  <c r="AN105" i="1" s="1"/>
  <c r="L107" i="1" l="1"/>
  <c r="V106" i="1"/>
  <c r="AI106" i="1" s="1"/>
  <c r="AN106" i="1" s="1"/>
  <c r="L108" i="1" l="1"/>
  <c r="V107" i="1"/>
  <c r="AI107" i="1" s="1"/>
  <c r="AN107" i="1" s="1"/>
  <c r="L109" i="1" l="1"/>
  <c r="V108" i="1"/>
  <c r="AI108" i="1" s="1"/>
  <c r="AN108" i="1" s="1"/>
  <c r="L110" i="1" l="1"/>
  <c r="V109" i="1"/>
  <c r="AI109" i="1" s="1"/>
  <c r="AN109" i="1" s="1"/>
  <c r="L111" i="1" l="1"/>
  <c r="V110" i="1"/>
  <c r="AI110" i="1" s="1"/>
  <c r="AN110" i="1" s="1"/>
  <c r="L112" i="1" l="1"/>
  <c r="V111" i="1"/>
  <c r="AI111" i="1" s="1"/>
  <c r="AN111" i="1" s="1"/>
  <c r="L113" i="1" l="1"/>
  <c r="V112" i="1"/>
  <c r="AI112" i="1" s="1"/>
  <c r="AN112" i="1" s="1"/>
  <c r="L114" i="1" l="1"/>
  <c r="V113" i="1"/>
  <c r="AI113" i="1" s="1"/>
  <c r="AN113" i="1" s="1"/>
  <c r="L115" i="1" l="1"/>
  <c r="V114" i="1"/>
  <c r="AI114" i="1" s="1"/>
  <c r="AN114" i="1" s="1"/>
  <c r="L116" i="1" l="1"/>
  <c r="V115" i="1"/>
  <c r="AI115" i="1" s="1"/>
  <c r="AN115" i="1" s="1"/>
  <c r="L117" i="1" l="1"/>
  <c r="V116" i="1"/>
  <c r="AI116" i="1" s="1"/>
  <c r="AN116" i="1" s="1"/>
  <c r="L118" i="1" l="1"/>
  <c r="V117" i="1"/>
  <c r="AI117" i="1" s="1"/>
  <c r="AN117" i="1" s="1"/>
  <c r="L121" i="1" l="1"/>
  <c r="V118" i="1"/>
  <c r="AI118" i="1" s="1"/>
  <c r="AN118" i="1" s="1"/>
  <c r="L122" i="1" l="1"/>
  <c r="V121" i="1"/>
  <c r="AI121" i="1" s="1"/>
  <c r="AN121" i="1" s="1"/>
  <c r="L123" i="1" l="1"/>
  <c r="V122" i="1"/>
  <c r="AI122" i="1" s="1"/>
  <c r="AN122" i="1" s="1"/>
  <c r="L124" i="1" l="1"/>
  <c r="V123" i="1"/>
  <c r="AI123" i="1" s="1"/>
  <c r="AN123" i="1" s="1"/>
  <c r="L125" i="1" l="1"/>
  <c r="V124" i="1"/>
  <c r="AI124" i="1" s="1"/>
  <c r="AN124" i="1" s="1"/>
  <c r="L126" i="1" l="1"/>
  <c r="V125" i="1"/>
  <c r="AI125" i="1" s="1"/>
  <c r="AN125" i="1" s="1"/>
  <c r="L127" i="1" l="1"/>
  <c r="V126" i="1"/>
  <c r="AI126" i="1" s="1"/>
  <c r="AN126" i="1" s="1"/>
  <c r="L128" i="1" l="1"/>
  <c r="V127" i="1"/>
  <c r="AI127" i="1" s="1"/>
  <c r="AN127" i="1" s="1"/>
  <c r="L129" i="1" l="1"/>
  <c r="V128" i="1"/>
  <c r="AI128" i="1" s="1"/>
  <c r="AN128" i="1" s="1"/>
  <c r="L130" i="1" l="1"/>
  <c r="V129" i="1"/>
  <c r="AI129" i="1" s="1"/>
  <c r="AN129" i="1" s="1"/>
  <c r="L131" i="1" l="1"/>
  <c r="V130" i="1"/>
  <c r="AI130" i="1" s="1"/>
  <c r="AN130" i="1" s="1"/>
  <c r="L132" i="1" l="1"/>
  <c r="V131" i="1"/>
  <c r="AI131" i="1" s="1"/>
  <c r="AN131" i="1" s="1"/>
  <c r="L133" i="1" l="1"/>
  <c r="V132" i="1"/>
  <c r="AI132" i="1" s="1"/>
  <c r="AN132" i="1" s="1"/>
  <c r="L134" i="1" l="1"/>
  <c r="V133" i="1"/>
  <c r="AI133" i="1" s="1"/>
  <c r="AN133" i="1" s="1"/>
  <c r="L135" i="1" l="1"/>
  <c r="V134" i="1"/>
  <c r="AI134" i="1" s="1"/>
  <c r="AN134" i="1" s="1"/>
  <c r="L136" i="1" l="1"/>
  <c r="V135" i="1"/>
  <c r="AI135" i="1" s="1"/>
  <c r="AN135" i="1" s="1"/>
  <c r="L137" i="1" l="1"/>
  <c r="V136" i="1"/>
  <c r="AI136" i="1" s="1"/>
  <c r="AN136" i="1" s="1"/>
  <c r="L138" i="1" l="1"/>
  <c r="V137" i="1"/>
  <c r="AI137" i="1" s="1"/>
  <c r="AN137" i="1" s="1"/>
  <c r="L139" i="1" l="1"/>
  <c r="V138" i="1"/>
  <c r="AI138" i="1" s="1"/>
  <c r="AN138" i="1" s="1"/>
  <c r="L140" i="1" l="1"/>
  <c r="V139" i="1"/>
  <c r="AI139" i="1" s="1"/>
  <c r="AN139" i="1" s="1"/>
  <c r="L141" i="1" l="1"/>
  <c r="V140" i="1"/>
  <c r="AI140" i="1" s="1"/>
  <c r="AN140" i="1" s="1"/>
  <c r="L142" i="1" l="1"/>
  <c r="V141" i="1"/>
  <c r="AI141" i="1" s="1"/>
  <c r="AN141" i="1" s="1"/>
  <c r="L143" i="1" l="1"/>
  <c r="V142" i="1"/>
  <c r="AI142" i="1" s="1"/>
  <c r="AN142" i="1" s="1"/>
  <c r="L144" i="1" l="1"/>
  <c r="V143" i="1"/>
  <c r="AI143" i="1" s="1"/>
  <c r="AN143" i="1" s="1"/>
  <c r="L145" i="1" l="1"/>
  <c r="V144" i="1"/>
  <c r="AI144" i="1" s="1"/>
  <c r="AN144" i="1" s="1"/>
  <c r="L146" i="1" l="1"/>
  <c r="V145" i="1"/>
  <c r="AI145" i="1" s="1"/>
  <c r="AN145" i="1" s="1"/>
  <c r="L147" i="1" l="1"/>
  <c r="V146" i="1"/>
  <c r="AI146" i="1" s="1"/>
  <c r="AN146" i="1" s="1"/>
  <c r="L148" i="1" l="1"/>
  <c r="V147" i="1"/>
  <c r="AI147" i="1" s="1"/>
  <c r="AN147" i="1" s="1"/>
  <c r="L149" i="1" l="1"/>
  <c r="V148" i="1"/>
  <c r="AI148" i="1" s="1"/>
  <c r="AN148" i="1" s="1"/>
  <c r="L150" i="1" l="1"/>
  <c r="V149" i="1"/>
  <c r="AI149" i="1" s="1"/>
  <c r="AN149" i="1" s="1"/>
  <c r="L151" i="1" l="1"/>
  <c r="V150" i="1"/>
  <c r="AI150" i="1" s="1"/>
  <c r="AN150" i="1" s="1"/>
  <c r="L152" i="1" l="1"/>
  <c r="V151" i="1"/>
  <c r="AI151" i="1" s="1"/>
  <c r="AN151" i="1" s="1"/>
  <c r="L153" i="1" l="1"/>
  <c r="V152" i="1"/>
  <c r="AI152" i="1" s="1"/>
  <c r="AN152" i="1" s="1"/>
  <c r="L154" i="1" l="1"/>
  <c r="V153" i="1"/>
  <c r="AI153" i="1" s="1"/>
  <c r="AN153" i="1" s="1"/>
  <c r="L155" i="1" l="1"/>
  <c r="V154" i="1"/>
  <c r="AI154" i="1" s="1"/>
  <c r="AN154" i="1" s="1"/>
  <c r="L158" i="1" l="1"/>
  <c r="V155" i="1"/>
  <c r="AI155" i="1" s="1"/>
  <c r="AN155" i="1" s="1"/>
  <c r="L159" i="1" l="1"/>
  <c r="V158" i="1"/>
  <c r="AI158" i="1" s="1"/>
  <c r="AN158" i="1" s="1"/>
  <c r="L160" i="1" l="1"/>
  <c r="V159" i="1"/>
  <c r="AI159" i="1" s="1"/>
  <c r="AN159" i="1" s="1"/>
  <c r="L161" i="1" l="1"/>
  <c r="V160" i="1"/>
  <c r="AI160" i="1" s="1"/>
  <c r="AN160" i="1" s="1"/>
  <c r="L162" i="1" l="1"/>
  <c r="V161" i="1"/>
  <c r="AI161" i="1" s="1"/>
  <c r="AN161" i="1" s="1"/>
  <c r="L163" i="1" l="1"/>
  <c r="V162" i="1"/>
  <c r="AI162" i="1" s="1"/>
  <c r="AN162" i="1" s="1"/>
  <c r="L164" i="1" l="1"/>
  <c r="V163" i="1"/>
  <c r="AI163" i="1" s="1"/>
  <c r="AN163" i="1" s="1"/>
  <c r="L165" i="1" l="1"/>
  <c r="V164" i="1"/>
  <c r="AI164" i="1" s="1"/>
  <c r="AN164" i="1" s="1"/>
  <c r="L166" i="1" l="1"/>
  <c r="V165" i="1"/>
  <c r="AI165" i="1" s="1"/>
  <c r="AN165" i="1" s="1"/>
  <c r="L169" i="1" l="1"/>
  <c r="V166" i="1"/>
  <c r="AI166" i="1" s="1"/>
  <c r="AN166" i="1" s="1"/>
  <c r="L170" i="1" l="1"/>
  <c r="V169" i="1"/>
  <c r="AI169" i="1" s="1"/>
  <c r="AN169" i="1" s="1"/>
  <c r="L171" i="1" l="1"/>
  <c r="V170" i="1"/>
  <c r="AI170" i="1" s="1"/>
  <c r="AN170" i="1" s="1"/>
  <c r="L172" i="1" l="1"/>
  <c r="V171" i="1"/>
  <c r="AI171" i="1" s="1"/>
  <c r="AN171" i="1" s="1"/>
  <c r="L173" i="1" l="1"/>
  <c r="V172" i="1"/>
  <c r="AI172" i="1" s="1"/>
  <c r="AN172" i="1" s="1"/>
  <c r="L174" i="1" l="1"/>
  <c r="V173" i="1"/>
  <c r="AI173" i="1" s="1"/>
  <c r="AN173" i="1" s="1"/>
  <c r="L175" i="1" l="1"/>
  <c r="V174" i="1"/>
  <c r="AI174" i="1" s="1"/>
  <c r="AN174" i="1" s="1"/>
  <c r="L176" i="1" l="1"/>
  <c r="V175" i="1"/>
  <c r="AI175" i="1" s="1"/>
  <c r="AN175" i="1" s="1"/>
  <c r="L177" i="1" l="1"/>
  <c r="V176" i="1"/>
  <c r="AI176" i="1" s="1"/>
  <c r="AN176" i="1" s="1"/>
  <c r="L178" i="1" l="1"/>
  <c r="V177" i="1"/>
  <c r="AI177" i="1" s="1"/>
  <c r="AN177" i="1" s="1"/>
  <c r="L179" i="1" l="1"/>
  <c r="V178" i="1"/>
  <c r="AI178" i="1" s="1"/>
  <c r="AN178" i="1" s="1"/>
  <c r="L180" i="1" l="1"/>
  <c r="V179" i="1"/>
  <c r="AI179" i="1" s="1"/>
  <c r="AN179" i="1" s="1"/>
  <c r="L181" i="1" l="1"/>
  <c r="V180" i="1"/>
  <c r="AI180" i="1" s="1"/>
  <c r="AN180" i="1" s="1"/>
  <c r="L182" i="1" l="1"/>
  <c r="V181" i="1"/>
  <c r="AI181" i="1" s="1"/>
  <c r="AN181" i="1" s="1"/>
  <c r="L183" i="1" l="1"/>
  <c r="V182" i="1"/>
  <c r="AI182" i="1" s="1"/>
  <c r="AN182" i="1" s="1"/>
  <c r="L184" i="1" l="1"/>
  <c r="V183" i="1"/>
  <c r="AI183" i="1" s="1"/>
  <c r="AN183" i="1" s="1"/>
  <c r="L185" i="1" l="1"/>
  <c r="V184" i="1"/>
  <c r="AI184" i="1" s="1"/>
  <c r="AN184" i="1" s="1"/>
  <c r="L186" i="1" l="1"/>
  <c r="V185" i="1"/>
  <c r="AI185" i="1" s="1"/>
  <c r="AN185" i="1" s="1"/>
  <c r="L187" i="1" l="1"/>
  <c r="V186" i="1"/>
  <c r="AI186" i="1" s="1"/>
  <c r="AN186" i="1" s="1"/>
  <c r="L188" i="1" l="1"/>
  <c r="V187" i="1"/>
  <c r="AI187" i="1" s="1"/>
  <c r="AN187" i="1" s="1"/>
  <c r="L189" i="1" l="1"/>
  <c r="V188" i="1"/>
  <c r="AI188" i="1" s="1"/>
  <c r="AN188" i="1" s="1"/>
  <c r="L190" i="1" l="1"/>
  <c r="V189" i="1"/>
  <c r="AI189" i="1" s="1"/>
  <c r="AN189" i="1" s="1"/>
  <c r="L191" i="1" l="1"/>
  <c r="V190" i="1"/>
  <c r="AI190" i="1" s="1"/>
  <c r="AN190" i="1" s="1"/>
  <c r="L192" i="1" l="1"/>
  <c r="V191" i="1"/>
  <c r="AI191" i="1" s="1"/>
  <c r="AN191" i="1" s="1"/>
  <c r="L193" i="1" l="1"/>
  <c r="V192" i="1"/>
  <c r="AI192" i="1" s="1"/>
  <c r="AN192" i="1" s="1"/>
  <c r="L194" i="1" l="1"/>
  <c r="V193" i="1"/>
  <c r="AI193" i="1" s="1"/>
  <c r="AN193" i="1" s="1"/>
  <c r="L195" i="1" l="1"/>
  <c r="V194" i="1"/>
  <c r="AI194" i="1" s="1"/>
  <c r="AN194" i="1" s="1"/>
  <c r="L196" i="1" l="1"/>
  <c r="V195" i="1"/>
  <c r="AI195" i="1" s="1"/>
  <c r="AN195" i="1" s="1"/>
  <c r="L197" i="1" l="1"/>
  <c r="V196" i="1"/>
  <c r="AI196" i="1" s="1"/>
  <c r="AN196" i="1" s="1"/>
  <c r="L198" i="1" l="1"/>
  <c r="V197" i="1"/>
  <c r="AI197" i="1" s="1"/>
  <c r="AN197" i="1" s="1"/>
  <c r="L199" i="1" l="1"/>
  <c r="V198" i="1"/>
  <c r="AI198" i="1" s="1"/>
  <c r="AN198" i="1" s="1"/>
  <c r="L200" i="1" l="1"/>
  <c r="V199" i="1"/>
  <c r="AI199" i="1" s="1"/>
  <c r="AN199" i="1" s="1"/>
  <c r="L201" i="1" l="1"/>
  <c r="V200" i="1"/>
  <c r="AI200" i="1" s="1"/>
  <c r="AN200" i="1" s="1"/>
  <c r="L202" i="1" l="1"/>
  <c r="V201" i="1"/>
  <c r="AI201" i="1" s="1"/>
  <c r="AN201" i="1" s="1"/>
  <c r="L210" i="1" l="1"/>
  <c r="V202" i="1"/>
  <c r="AI202" i="1" s="1"/>
  <c r="AN202" i="1" s="1"/>
  <c r="L211" i="1" l="1"/>
  <c r="V210" i="1"/>
  <c r="AI210" i="1" s="1"/>
  <c r="AN210" i="1" s="1"/>
  <c r="L212" i="1" l="1"/>
  <c r="V211" i="1"/>
  <c r="AI211" i="1" s="1"/>
  <c r="AN211" i="1" s="1"/>
  <c r="L213" i="1" l="1"/>
  <c r="V212" i="1"/>
  <c r="AI212" i="1" s="1"/>
  <c r="AN212" i="1" s="1"/>
  <c r="L214" i="1" l="1"/>
  <c r="V213" i="1"/>
  <c r="AI213" i="1" s="1"/>
  <c r="AN213" i="1" s="1"/>
  <c r="L215" i="1" l="1"/>
  <c r="V214" i="1"/>
  <c r="AI214" i="1" s="1"/>
  <c r="AN214" i="1" s="1"/>
  <c r="L216" i="1" l="1"/>
  <c r="V215" i="1"/>
  <c r="AI215" i="1" s="1"/>
  <c r="AN215" i="1" s="1"/>
  <c r="L217" i="1" l="1"/>
  <c r="V216" i="1"/>
  <c r="AI216" i="1" s="1"/>
  <c r="AN216" i="1" s="1"/>
  <c r="L218" i="1" l="1"/>
  <c r="V217" i="1"/>
  <c r="AI217" i="1" s="1"/>
  <c r="AN217" i="1" s="1"/>
  <c r="L219" i="1" l="1"/>
  <c r="V218" i="1"/>
  <c r="AI218" i="1" s="1"/>
  <c r="AN218" i="1" s="1"/>
  <c r="L220" i="1" l="1"/>
  <c r="V219" i="1"/>
  <c r="AI219" i="1" s="1"/>
  <c r="AN219" i="1" s="1"/>
  <c r="L221" i="1" l="1"/>
  <c r="V220" i="1"/>
  <c r="AI220" i="1" s="1"/>
  <c r="AN220" i="1" s="1"/>
  <c r="L222" i="1" l="1"/>
  <c r="V221" i="1"/>
  <c r="AI221" i="1" s="1"/>
  <c r="AN221" i="1" s="1"/>
  <c r="L223" i="1" l="1"/>
  <c r="V222" i="1"/>
  <c r="AI222" i="1" s="1"/>
  <c r="AN222" i="1" s="1"/>
  <c r="L224" i="1" l="1"/>
  <c r="V223" i="1"/>
  <c r="AI223" i="1" s="1"/>
  <c r="AN223" i="1" s="1"/>
  <c r="L225" i="1" l="1"/>
  <c r="V224" i="1"/>
  <c r="AI224" i="1" s="1"/>
  <c r="AN224" i="1" s="1"/>
  <c r="L226" i="1" l="1"/>
  <c r="V225" i="1"/>
  <c r="AI225" i="1" s="1"/>
  <c r="AN225" i="1" s="1"/>
  <c r="L227" i="1" l="1"/>
  <c r="V226" i="1"/>
  <c r="AI226" i="1" s="1"/>
  <c r="AN226" i="1" s="1"/>
  <c r="L228" i="1" l="1"/>
  <c r="V227" i="1"/>
  <c r="AI227" i="1" s="1"/>
  <c r="AN227" i="1" s="1"/>
  <c r="L229" i="1" l="1"/>
  <c r="V228" i="1"/>
  <c r="AI228" i="1" s="1"/>
  <c r="AN228" i="1" s="1"/>
  <c r="L230" i="1" l="1"/>
  <c r="V229" i="1"/>
  <c r="AI229" i="1" s="1"/>
  <c r="AN229" i="1" s="1"/>
  <c r="L231" i="1" l="1"/>
  <c r="V230" i="1"/>
  <c r="AI230" i="1" s="1"/>
  <c r="AN230" i="1" s="1"/>
  <c r="L232" i="1" l="1"/>
  <c r="V231" i="1"/>
  <c r="AI231" i="1" s="1"/>
  <c r="AN231" i="1" s="1"/>
  <c r="L233" i="1" l="1"/>
  <c r="V232" i="1"/>
  <c r="AI232" i="1" s="1"/>
  <c r="AN232" i="1" s="1"/>
  <c r="L234" i="1" l="1"/>
  <c r="V233" i="1"/>
  <c r="AI233" i="1" s="1"/>
  <c r="AN233" i="1" s="1"/>
  <c r="L235" i="1" l="1"/>
  <c r="V234" i="1"/>
  <c r="AI234" i="1" s="1"/>
  <c r="AN234" i="1" s="1"/>
  <c r="L236" i="1" l="1"/>
  <c r="V235" i="1"/>
  <c r="AI235" i="1" s="1"/>
  <c r="AN235" i="1" s="1"/>
  <c r="L237" i="1" l="1"/>
  <c r="V236" i="1"/>
  <c r="AI236" i="1" s="1"/>
  <c r="AN236" i="1" s="1"/>
  <c r="L238" i="1" l="1"/>
  <c r="V237" i="1"/>
  <c r="AI237" i="1" s="1"/>
  <c r="AN237" i="1" s="1"/>
  <c r="L239" i="1" l="1"/>
  <c r="V238" i="1"/>
  <c r="AI238" i="1" s="1"/>
  <c r="AN238" i="1" s="1"/>
  <c r="L240" i="1" l="1"/>
  <c r="V239" i="1"/>
  <c r="AI239" i="1" s="1"/>
  <c r="AN239" i="1" s="1"/>
  <c r="L241" i="1" l="1"/>
  <c r="V240" i="1"/>
  <c r="AI240" i="1" s="1"/>
  <c r="AN240" i="1" s="1"/>
  <c r="L242" i="1" l="1"/>
  <c r="V241" i="1"/>
  <c r="AI241" i="1" s="1"/>
  <c r="AN241" i="1" s="1"/>
  <c r="L243" i="1" l="1"/>
  <c r="V242" i="1"/>
  <c r="AI242" i="1" s="1"/>
  <c r="AN242" i="1" s="1"/>
  <c r="L244" i="1" l="1"/>
  <c r="V243" i="1"/>
  <c r="AI243" i="1" s="1"/>
  <c r="AN243" i="1" s="1"/>
  <c r="L245" i="1" l="1"/>
  <c r="V244" i="1"/>
  <c r="AI244" i="1" s="1"/>
  <c r="AN244" i="1" s="1"/>
  <c r="L246" i="1" l="1"/>
  <c r="V245" i="1"/>
  <c r="AI245" i="1" s="1"/>
  <c r="AN245" i="1" s="1"/>
  <c r="L247" i="1" l="1"/>
  <c r="V246" i="1"/>
  <c r="AI246" i="1" s="1"/>
  <c r="AN246" i="1" s="1"/>
  <c r="L248" i="1" l="1"/>
  <c r="V247" i="1"/>
  <c r="AI247" i="1" s="1"/>
  <c r="AN247" i="1" s="1"/>
  <c r="L249" i="1" l="1"/>
  <c r="V248" i="1"/>
  <c r="AI248" i="1" s="1"/>
  <c r="AN248" i="1" s="1"/>
  <c r="L250" i="1" l="1"/>
  <c r="V249" i="1"/>
  <c r="AI249" i="1" s="1"/>
  <c r="AN249" i="1" s="1"/>
  <c r="L251" i="1" l="1"/>
  <c r="V250" i="1"/>
  <c r="AI250" i="1" s="1"/>
  <c r="AN250" i="1" s="1"/>
  <c r="L252" i="1" l="1"/>
  <c r="V251" i="1"/>
  <c r="AI251" i="1" s="1"/>
  <c r="AN251" i="1" s="1"/>
  <c r="L253" i="1" l="1"/>
  <c r="V252" i="1"/>
  <c r="AI252" i="1" s="1"/>
  <c r="AN252" i="1" s="1"/>
  <c r="L254" i="1" l="1"/>
  <c r="V253" i="1"/>
  <c r="AI253" i="1" s="1"/>
  <c r="AN253" i="1" s="1"/>
  <c r="L255" i="1" l="1"/>
  <c r="V254" i="1"/>
  <c r="AI254" i="1" s="1"/>
  <c r="AN254" i="1" s="1"/>
  <c r="L256" i="1" l="1"/>
  <c r="V255" i="1"/>
  <c r="AI255" i="1" s="1"/>
  <c r="AN255" i="1" s="1"/>
  <c r="L257" i="1" l="1"/>
  <c r="V256" i="1"/>
  <c r="AI256" i="1" s="1"/>
  <c r="AN256" i="1" s="1"/>
  <c r="L258" i="1" l="1"/>
  <c r="V257" i="1"/>
  <c r="AI257" i="1" s="1"/>
  <c r="AN257" i="1" s="1"/>
  <c r="L259" i="1" l="1"/>
  <c r="V258" i="1"/>
  <c r="AI258" i="1" s="1"/>
  <c r="AN258" i="1" s="1"/>
  <c r="L260" i="1" l="1"/>
  <c r="V259" i="1"/>
  <c r="AI259" i="1" s="1"/>
  <c r="AN259" i="1" s="1"/>
  <c r="L261" i="1" l="1"/>
  <c r="V260" i="1"/>
  <c r="AI260" i="1" s="1"/>
  <c r="AN260" i="1" s="1"/>
  <c r="L262" i="1" l="1"/>
  <c r="V261" i="1"/>
  <c r="AI261" i="1" s="1"/>
  <c r="AN261" i="1" s="1"/>
  <c r="L263" i="1" l="1"/>
  <c r="V262" i="1"/>
  <c r="AI262" i="1" s="1"/>
  <c r="AN262" i="1" s="1"/>
  <c r="L264" i="1" l="1"/>
  <c r="V263" i="1"/>
  <c r="AI263" i="1" s="1"/>
  <c r="AN263" i="1" s="1"/>
  <c r="L265" i="1" l="1"/>
  <c r="V264" i="1"/>
  <c r="AI264" i="1" s="1"/>
  <c r="AN264" i="1" s="1"/>
  <c r="L266" i="1" l="1"/>
  <c r="V265" i="1"/>
  <c r="AI265" i="1" s="1"/>
  <c r="AN265" i="1" s="1"/>
  <c r="L267" i="1" l="1"/>
  <c r="V266" i="1"/>
  <c r="AI266" i="1" s="1"/>
  <c r="AN266" i="1" s="1"/>
  <c r="L268" i="1" l="1"/>
  <c r="V267" i="1"/>
  <c r="AI267" i="1" s="1"/>
  <c r="AN267" i="1" s="1"/>
  <c r="L269" i="1" l="1"/>
  <c r="V268" i="1"/>
  <c r="AI268" i="1" s="1"/>
  <c r="AN268" i="1" s="1"/>
  <c r="L270" i="1" l="1"/>
  <c r="V269" i="1"/>
  <c r="AI269" i="1" s="1"/>
  <c r="AN269" i="1" s="1"/>
  <c r="L271" i="1" l="1"/>
  <c r="V270" i="1"/>
  <c r="AI270" i="1" s="1"/>
  <c r="AN270" i="1" s="1"/>
  <c r="L272" i="1" l="1"/>
  <c r="V271" i="1"/>
  <c r="AI271" i="1" s="1"/>
  <c r="AN271" i="1" s="1"/>
  <c r="L273" i="1" l="1"/>
  <c r="V272" i="1"/>
  <c r="AI272" i="1" s="1"/>
  <c r="AN272" i="1" s="1"/>
  <c r="L274" i="1" l="1"/>
  <c r="V273" i="1"/>
  <c r="AI273" i="1" s="1"/>
  <c r="AN273" i="1" s="1"/>
  <c r="L275" i="1" l="1"/>
  <c r="V274" i="1"/>
  <c r="AI274" i="1" s="1"/>
  <c r="AN274" i="1" s="1"/>
  <c r="L276" i="1" l="1"/>
  <c r="V275" i="1"/>
  <c r="AI275" i="1" s="1"/>
  <c r="AN275" i="1" s="1"/>
  <c r="L277" i="1" l="1"/>
  <c r="V276" i="1"/>
  <c r="AI276" i="1" s="1"/>
  <c r="AN276" i="1" s="1"/>
  <c r="L278" i="1" l="1"/>
  <c r="V277" i="1"/>
  <c r="AI277" i="1" s="1"/>
  <c r="AN277" i="1" s="1"/>
  <c r="L279" i="1" l="1"/>
  <c r="V278" i="1"/>
  <c r="AI278" i="1" s="1"/>
  <c r="AN278" i="1" s="1"/>
  <c r="L280" i="1" l="1"/>
  <c r="V279" i="1"/>
  <c r="AI279" i="1" s="1"/>
  <c r="AN279" i="1" s="1"/>
  <c r="L281" i="1" l="1"/>
  <c r="V280" i="1"/>
  <c r="AI280" i="1" s="1"/>
  <c r="AN280" i="1" s="1"/>
  <c r="L282" i="1" l="1"/>
  <c r="V281" i="1"/>
  <c r="AI281" i="1" s="1"/>
  <c r="AN281" i="1" s="1"/>
  <c r="L283" i="1" l="1"/>
  <c r="V282" i="1"/>
  <c r="AI282" i="1" s="1"/>
  <c r="AN282" i="1" s="1"/>
  <c r="L284" i="1" l="1"/>
  <c r="V283" i="1"/>
  <c r="AI283" i="1" s="1"/>
  <c r="AN283" i="1" s="1"/>
  <c r="L285" i="1" l="1"/>
  <c r="V284" i="1"/>
  <c r="AI284" i="1" s="1"/>
  <c r="AN284" i="1" s="1"/>
  <c r="L286" i="1" l="1"/>
  <c r="V285" i="1"/>
  <c r="AI285" i="1" s="1"/>
  <c r="AN285" i="1" s="1"/>
  <c r="L287" i="1" l="1"/>
  <c r="V286" i="1"/>
  <c r="AI286" i="1" s="1"/>
  <c r="AN286" i="1" s="1"/>
  <c r="L288" i="1" l="1"/>
  <c r="V287" i="1"/>
  <c r="AI287" i="1" s="1"/>
  <c r="AN287" i="1" s="1"/>
  <c r="L289" i="1" l="1"/>
  <c r="V288" i="1"/>
  <c r="AI288" i="1" s="1"/>
  <c r="AN288" i="1" s="1"/>
  <c r="L290" i="1" l="1"/>
  <c r="V289" i="1"/>
  <c r="AI289" i="1" s="1"/>
  <c r="AN289" i="1" s="1"/>
  <c r="L291" i="1" l="1"/>
  <c r="V290" i="1"/>
  <c r="AI290" i="1" s="1"/>
  <c r="AN290" i="1" s="1"/>
  <c r="L292" i="1" l="1"/>
  <c r="V291" i="1"/>
  <c r="AI291" i="1" s="1"/>
  <c r="AN291" i="1" s="1"/>
  <c r="L293" i="1" l="1"/>
  <c r="V292" i="1"/>
  <c r="AI292" i="1" s="1"/>
  <c r="AN292" i="1" s="1"/>
  <c r="L294" i="1" l="1"/>
  <c r="V293" i="1"/>
  <c r="AI293" i="1" s="1"/>
  <c r="AN293" i="1" s="1"/>
  <c r="L295" i="1" l="1"/>
  <c r="V294" i="1"/>
  <c r="AI294" i="1" s="1"/>
  <c r="AN294" i="1" s="1"/>
  <c r="L296" i="1" l="1"/>
  <c r="V295" i="1"/>
  <c r="AI295" i="1" s="1"/>
  <c r="AN295" i="1" s="1"/>
  <c r="L297" i="1" l="1"/>
  <c r="V296" i="1"/>
  <c r="AI296" i="1" s="1"/>
  <c r="AN296" i="1" s="1"/>
  <c r="L298" i="1" l="1"/>
  <c r="V297" i="1"/>
  <c r="AI297" i="1" s="1"/>
  <c r="AN297" i="1" s="1"/>
  <c r="L299" i="1" l="1"/>
  <c r="V298" i="1"/>
  <c r="AI298" i="1" s="1"/>
  <c r="AN298" i="1" s="1"/>
  <c r="L300" i="1" l="1"/>
  <c r="V299" i="1"/>
  <c r="AI299" i="1" s="1"/>
  <c r="AN299" i="1" s="1"/>
  <c r="L301" i="1" l="1"/>
  <c r="V300" i="1"/>
  <c r="AI300" i="1" s="1"/>
  <c r="AN300" i="1" s="1"/>
  <c r="L302" i="1" l="1"/>
  <c r="V301" i="1"/>
  <c r="AI301" i="1" s="1"/>
  <c r="AN301" i="1" s="1"/>
  <c r="L303" i="1" l="1"/>
  <c r="V302" i="1"/>
  <c r="AI302" i="1" s="1"/>
  <c r="AN302" i="1" s="1"/>
  <c r="L304" i="1" l="1"/>
  <c r="V303" i="1"/>
  <c r="AI303" i="1" s="1"/>
  <c r="AN303" i="1" s="1"/>
  <c r="L305" i="1" l="1"/>
  <c r="V304" i="1"/>
  <c r="AI304" i="1" s="1"/>
  <c r="AN304" i="1" s="1"/>
  <c r="L306" i="1" l="1"/>
  <c r="V305" i="1"/>
  <c r="AI305" i="1" s="1"/>
  <c r="AN305" i="1" s="1"/>
  <c r="L307" i="1" l="1"/>
  <c r="V306" i="1"/>
  <c r="AI306" i="1" s="1"/>
  <c r="AN306" i="1" s="1"/>
  <c r="L308" i="1" l="1"/>
  <c r="V307" i="1"/>
  <c r="AI307" i="1" s="1"/>
  <c r="AN307" i="1" s="1"/>
  <c r="L309" i="1" l="1"/>
  <c r="V308" i="1"/>
  <c r="AI308" i="1" s="1"/>
  <c r="AN308" i="1" s="1"/>
  <c r="L310" i="1" l="1"/>
  <c r="V309" i="1"/>
  <c r="AI309" i="1" s="1"/>
  <c r="AN309" i="1" s="1"/>
  <c r="L311" i="1" l="1"/>
  <c r="V310" i="1"/>
  <c r="AI310" i="1" s="1"/>
  <c r="AN310" i="1" s="1"/>
  <c r="L312" i="1" l="1"/>
  <c r="V311" i="1"/>
  <c r="AI311" i="1" s="1"/>
  <c r="AN311" i="1" s="1"/>
  <c r="L313" i="1" l="1"/>
  <c r="V312" i="1"/>
  <c r="AI312" i="1" s="1"/>
  <c r="AN312" i="1" s="1"/>
  <c r="L314" i="1" l="1"/>
  <c r="V313" i="1"/>
  <c r="AI313" i="1" s="1"/>
  <c r="AN313" i="1" s="1"/>
  <c r="L315" i="1" l="1"/>
  <c r="V314" i="1"/>
  <c r="AI314" i="1" s="1"/>
  <c r="AN314" i="1" s="1"/>
  <c r="L316" i="1" l="1"/>
  <c r="V315" i="1"/>
  <c r="AI315" i="1" s="1"/>
  <c r="AN315" i="1" s="1"/>
  <c r="L317" i="1" l="1"/>
  <c r="V316" i="1"/>
  <c r="AI316" i="1" s="1"/>
  <c r="AN316" i="1" s="1"/>
  <c r="L318" i="1" l="1"/>
  <c r="V317" i="1"/>
  <c r="AI317" i="1" s="1"/>
  <c r="AN317" i="1" s="1"/>
  <c r="L319" i="1" l="1"/>
  <c r="V318" i="1"/>
  <c r="AI318" i="1" s="1"/>
  <c r="AN318" i="1" s="1"/>
  <c r="L320" i="1" l="1"/>
  <c r="V319" i="1"/>
  <c r="AI319" i="1" s="1"/>
  <c r="AN319" i="1" s="1"/>
  <c r="L321" i="1" l="1"/>
  <c r="V320" i="1"/>
  <c r="AI320" i="1" s="1"/>
  <c r="AN320" i="1" s="1"/>
  <c r="L322" i="1" l="1"/>
  <c r="V321" i="1"/>
  <c r="AI321" i="1" s="1"/>
  <c r="AN321" i="1" s="1"/>
  <c r="L323" i="1" l="1"/>
  <c r="V322" i="1"/>
  <c r="AI322" i="1" s="1"/>
  <c r="AN322" i="1" s="1"/>
  <c r="L324" i="1" l="1"/>
  <c r="V323" i="1"/>
  <c r="AI323" i="1" s="1"/>
  <c r="AN323" i="1" s="1"/>
  <c r="L325" i="1" l="1"/>
  <c r="V324" i="1"/>
  <c r="AI324" i="1" s="1"/>
  <c r="AN324" i="1" s="1"/>
  <c r="L326" i="1" l="1"/>
  <c r="V325" i="1"/>
  <c r="AI325" i="1" s="1"/>
  <c r="AN325" i="1" s="1"/>
  <c r="L327" i="1" l="1"/>
  <c r="V326" i="1"/>
  <c r="AI326" i="1" s="1"/>
  <c r="AN326" i="1" s="1"/>
  <c r="L328" i="1" l="1"/>
  <c r="V327" i="1"/>
  <c r="AI327" i="1" s="1"/>
  <c r="AN327" i="1" s="1"/>
  <c r="L329" i="1" l="1"/>
  <c r="V328" i="1"/>
  <c r="AI328" i="1" s="1"/>
  <c r="AN328" i="1" s="1"/>
  <c r="L330" i="1" l="1"/>
  <c r="V329" i="1"/>
  <c r="AI329" i="1" s="1"/>
  <c r="AN329" i="1" s="1"/>
  <c r="L331" i="1" l="1"/>
  <c r="V330" i="1"/>
  <c r="AI330" i="1" s="1"/>
  <c r="AN330" i="1" s="1"/>
  <c r="L332" i="1" l="1"/>
  <c r="V331" i="1"/>
  <c r="AI331" i="1" s="1"/>
  <c r="AN331" i="1" s="1"/>
  <c r="L333" i="1" l="1"/>
  <c r="V332" i="1"/>
  <c r="AI332" i="1" s="1"/>
  <c r="AN332" i="1" s="1"/>
  <c r="L334" i="1" l="1"/>
  <c r="V333" i="1"/>
  <c r="AI333" i="1" s="1"/>
  <c r="AN333" i="1" s="1"/>
  <c r="L335" i="1" l="1"/>
  <c r="V334" i="1"/>
  <c r="AI334" i="1" s="1"/>
  <c r="AN334" i="1" s="1"/>
  <c r="L336" i="1" l="1"/>
  <c r="V335" i="1"/>
  <c r="AI335" i="1" s="1"/>
  <c r="AN335" i="1" s="1"/>
  <c r="L337" i="1" l="1"/>
  <c r="V336" i="1"/>
  <c r="AI336" i="1" s="1"/>
  <c r="AN336" i="1" s="1"/>
  <c r="L338" i="1" l="1"/>
  <c r="V337" i="1"/>
  <c r="AI337" i="1" s="1"/>
  <c r="AN337" i="1" s="1"/>
  <c r="L339" i="1" l="1"/>
  <c r="V338" i="1"/>
  <c r="AI338" i="1" s="1"/>
  <c r="AN338" i="1" s="1"/>
  <c r="L340" i="1" l="1"/>
  <c r="V339" i="1"/>
  <c r="AI339" i="1" s="1"/>
  <c r="AN339" i="1" s="1"/>
  <c r="L341" i="1" l="1"/>
  <c r="V340" i="1"/>
  <c r="AI340" i="1" s="1"/>
  <c r="AN340" i="1" s="1"/>
  <c r="L342" i="1" l="1"/>
  <c r="V341" i="1"/>
  <c r="AI341" i="1" s="1"/>
  <c r="AN341" i="1" s="1"/>
  <c r="L343" i="1" l="1"/>
  <c r="V342" i="1"/>
  <c r="AI342" i="1" s="1"/>
  <c r="AN342" i="1" s="1"/>
  <c r="L344" i="1" l="1"/>
  <c r="V343" i="1"/>
  <c r="AI343" i="1" s="1"/>
  <c r="AN343" i="1" s="1"/>
  <c r="L345" i="1" l="1"/>
  <c r="V344" i="1"/>
  <c r="AI344" i="1" s="1"/>
  <c r="AN344" i="1" s="1"/>
  <c r="L346" i="1" l="1"/>
  <c r="V345" i="1"/>
  <c r="AI345" i="1" s="1"/>
  <c r="AN345" i="1" s="1"/>
  <c r="L347" i="1" l="1"/>
  <c r="V346" i="1"/>
  <c r="AI346" i="1" s="1"/>
  <c r="AN346" i="1" s="1"/>
  <c r="L348" i="1" l="1"/>
  <c r="V347" i="1"/>
  <c r="AI347" i="1" s="1"/>
  <c r="AN347" i="1" s="1"/>
  <c r="L349" i="1" l="1"/>
  <c r="V348" i="1"/>
  <c r="AI348" i="1" s="1"/>
  <c r="AN348" i="1" s="1"/>
  <c r="L350" i="1" l="1"/>
  <c r="V349" i="1"/>
  <c r="AI349" i="1" s="1"/>
  <c r="AN349" i="1" s="1"/>
  <c r="L351" i="1" l="1"/>
  <c r="V350" i="1"/>
  <c r="AI350" i="1" s="1"/>
  <c r="AN350" i="1" s="1"/>
  <c r="L352" i="1" l="1"/>
  <c r="V351" i="1"/>
  <c r="AI351" i="1" s="1"/>
  <c r="AN351" i="1" s="1"/>
  <c r="L353" i="1" l="1"/>
  <c r="V352" i="1"/>
  <c r="AI352" i="1" s="1"/>
  <c r="AN352" i="1" s="1"/>
  <c r="L354" i="1" l="1"/>
  <c r="V353" i="1"/>
  <c r="AI353" i="1" s="1"/>
  <c r="AN353" i="1" s="1"/>
  <c r="L355" i="1" l="1"/>
  <c r="V354" i="1"/>
  <c r="AI354" i="1" s="1"/>
  <c r="AN354" i="1" s="1"/>
  <c r="L356" i="1" l="1"/>
  <c r="V355" i="1"/>
  <c r="AI355" i="1" s="1"/>
  <c r="AN355" i="1" s="1"/>
  <c r="L357" i="1" l="1"/>
  <c r="V356" i="1"/>
  <c r="AI356" i="1" s="1"/>
  <c r="AN356" i="1" s="1"/>
  <c r="L358" i="1" l="1"/>
  <c r="V357" i="1"/>
  <c r="AI357" i="1" s="1"/>
  <c r="AN357" i="1" s="1"/>
  <c r="L359" i="1" l="1"/>
  <c r="V359" i="1" s="1"/>
  <c r="AI359" i="1" s="1"/>
  <c r="AN359" i="1" s="1"/>
  <c r="V358" i="1"/>
  <c r="AI358" i="1" s="1"/>
  <c r="AN358" i="1" s="1"/>
</calcChain>
</file>

<file path=xl/sharedStrings.xml><?xml version="1.0" encoding="utf-8"?>
<sst xmlns="http://schemas.openxmlformats.org/spreadsheetml/2006/main" count="3957" uniqueCount="991">
  <si>
    <t>Date</t>
  </si>
  <si>
    <t>Date valeur</t>
  </si>
  <si>
    <t>Compte</t>
  </si>
  <si>
    <t>Débit</t>
  </si>
  <si>
    <t>Crédit</t>
  </si>
  <si>
    <t>Id Banque</t>
  </si>
  <si>
    <t>300760283626261100200EUR201903261078330100</t>
  </si>
  <si>
    <t>CB 454106 SNACK THIER 59BAVAY</t>
  </si>
  <si>
    <t>300760283626261100200EUR201903261078330000</t>
  </si>
  <si>
    <t>CB 548222 DAC AUCHAN  59VALENCIE</t>
  </si>
  <si>
    <t>300760283626261100200EUR201903251071243300</t>
  </si>
  <si>
    <t>CB 548222 SARRASINE   59FAMARS</t>
  </si>
  <si>
    <t>300760283626261100200EUR201903250910416500</t>
  </si>
  <si>
    <t>RELEVE LCR DU  180319  CONFORME</t>
  </si>
  <si>
    <t>300760283626261100200EUR201903216337445400</t>
  </si>
  <si>
    <t>PRLV B2B DGFIP</t>
  </si>
  <si>
    <t>PASDSN15032019-022019-7945135310</t>
  </si>
  <si>
    <t>300760283626261100200EUR201903211077562300</t>
  </si>
  <si>
    <t>CB 454106 LA POSTE 59 59BAVAY</t>
  </si>
  <si>
    <t>300760283626261100200EUR201903211077562200</t>
  </si>
  <si>
    <t>CB 454106 SMMATCH MAG 59BAVAY</t>
  </si>
  <si>
    <t>300760283626261100200EUR201903211077562500</t>
  </si>
  <si>
    <t>CB 548222 ECG17285PAU 75PARIS</t>
  </si>
  <si>
    <t>300760283626261100200EUR201903211077562400</t>
  </si>
  <si>
    <t>CB 548222 SNCF        75PARIS 10</t>
  </si>
  <si>
    <t>300760283626261100200EUR201903201077489700</t>
  </si>
  <si>
    <t>300760283626261100200EUR201903201077489900</t>
  </si>
  <si>
    <t>CB 454106 CARREFOUR D 59AULNOY L</t>
  </si>
  <si>
    <t>300760283626261100200EUR201903201077489800</t>
  </si>
  <si>
    <t>CB 548222 SNCF INTERN 75PARIS 12</t>
  </si>
  <si>
    <t>300760283626261100200EUR201903199227437400</t>
  </si>
  <si>
    <t>FRAIS E-VIR SEPA VERS EEE</t>
  </si>
  <si>
    <t>300760283626261100200EUR201903191071943100</t>
  </si>
  <si>
    <t>CB 454106 PIZZA NONNA 59VILLENEU</t>
  </si>
  <si>
    <t>300760283626261100200EUR201903190910220200</t>
  </si>
  <si>
    <t>RELEVE LCR DU  120319  CONFORME</t>
  </si>
  <si>
    <t>300760283626261100200EUR201903196313187700</t>
  </si>
  <si>
    <t>VIR TRESORERIE VILLENEUVE D</t>
  </si>
  <si>
    <t>FAC NoAF241-1 DU 31/01/2019VILLE</t>
  </si>
  <si>
    <t>300760283626261100200EUR201903180294486000</t>
  </si>
  <si>
    <t>E-VIR SEPA Hedon Vds + Thery</t>
  </si>
  <si>
    <t>300760283626261100200EUR201903181074851200</t>
  </si>
  <si>
    <t>CB 548222 GOOGLE GOOG GB   9,99</t>
  </si>
  <si>
    <t>300760283626261100200EUR201903181077422300</t>
  </si>
  <si>
    <t>300760283626261100200EUR201903181077422400</t>
  </si>
  <si>
    <t>CB 548222 SA DISTRIFI 59LILLE</t>
  </si>
  <si>
    <t>300760283626261100200EUR201903186330633100</t>
  </si>
  <si>
    <t>PRLV SEPA URSSAF Nord-Pas-de-Cal</t>
  </si>
  <si>
    <t>UR 317000001020473292    FEV 197</t>
  </si>
  <si>
    <t>300760283626261100200EUR201903159226010400</t>
  </si>
  <si>
    <t>300760283626261100200EUR201903159226010500</t>
  </si>
  <si>
    <t>300760283626261100200EUR201903156331072000</t>
  </si>
  <si>
    <t>PRLV SEPA MMA IARD SA-MMA IARD</t>
  </si>
  <si>
    <t>300760283626261100200EUR201903150910923300</t>
  </si>
  <si>
    <t>RELEVE LCR DU  080319  CONFORME</t>
  </si>
  <si>
    <t>300760283626261100200EUR201903140292147300</t>
  </si>
  <si>
    <t>E-VIR SEPA Salaire Alex fev 18</t>
  </si>
  <si>
    <t>300760283626261100200EUR201903140292147400</t>
  </si>
  <si>
    <t>E-VIR SEPA Salaire Etienn f?v18</t>
  </si>
  <si>
    <t>300760283626261100200EUR201903149222513600</t>
  </si>
  <si>
    <t>300760283626261100200EUR201903141077014800</t>
  </si>
  <si>
    <t>CB 454106 LEROY2C FAM 59FAMARS</t>
  </si>
  <si>
    <t>300760283626261100200EUR201903141073383600</t>
  </si>
  <si>
    <t>CB 548222 LE MATHYS   59AVESNES</t>
  </si>
  <si>
    <t>300760283626261100200EUR201903146313646500</t>
  </si>
  <si>
    <t>VIR TRESORERIE ARRAS MUNICIP</t>
  </si>
  <si>
    <t>FAC. AF244-1 DU 29/11/2018PROTOT</t>
  </si>
  <si>
    <t>300760283626261100200EUR201903130292603500</t>
  </si>
  <si>
    <t>E-VIR SEPA Dimatex</t>
  </si>
  <si>
    <t>300760283626261100200EUR201903139222665800</t>
  </si>
  <si>
    <t>300760283626261100200EUR201903139222665900</t>
  </si>
  <si>
    <t>300760283626261100200EUR201903139222666000</t>
  </si>
  <si>
    <t>300760283626261100200EUR201903139222666100</t>
  </si>
  <si>
    <t>300760283626261100200EUR201903139222666200</t>
  </si>
  <si>
    <t>300760283626261100200EUR201903139222666300</t>
  </si>
  <si>
    <t>300760283626261100200EUR201903139222666400</t>
  </si>
  <si>
    <t>300760283626261100200EUR201903131077341400</t>
  </si>
  <si>
    <t>CB 548222 DESIGN PROD 14TROARN</t>
  </si>
  <si>
    <t>300760283626261100200EUR201903120292948800</t>
  </si>
  <si>
    <t>E-VIR SEPA Hoorneart</t>
  </si>
  <si>
    <t>300760283626261100200EUR201903120292948700</t>
  </si>
  <si>
    <t>E-VIR SEPA Atelier du Verre</t>
  </si>
  <si>
    <t>300760283626261100200EUR201903120292949100</t>
  </si>
  <si>
    <t>E-VIR SEPA Dessenne</t>
  </si>
  <si>
    <t>300760283626261100200EUR201903120292949000</t>
  </si>
  <si>
    <t>300760283626261100200EUR201903120292948900</t>
  </si>
  <si>
    <t>E-VIR SEPA Unsteel</t>
  </si>
  <si>
    <t>300760283626261100200EUR201903120292949300</t>
  </si>
  <si>
    <t>300760283626261100200EUR201903120292949200</t>
  </si>
  <si>
    <t>300760283626261100200EUR201903129223924100</t>
  </si>
  <si>
    <t>300760283626261100200EUR201903129223924200</t>
  </si>
  <si>
    <t>300760283626261100200EUR201903129223924300</t>
  </si>
  <si>
    <t>300760283626261100200EUR201903121070484100</t>
  </si>
  <si>
    <t>CB 454106 BLONDES A C 59LESQUIN</t>
  </si>
  <si>
    <t>300760283626261100200EUR201903121079341300</t>
  </si>
  <si>
    <t>CB 454106 CARREFOUR D 59WASQUEHA</t>
  </si>
  <si>
    <t>300760283626261100200EUR201903110290944500</t>
  </si>
  <si>
    <t>E-VIR SEPA Dimatex 11/2018</t>
  </si>
  <si>
    <t>300760283626261100200EUR201903110290944600</t>
  </si>
  <si>
    <t>E-VIR SEPA Dimatex 10/2018</t>
  </si>
  <si>
    <t>300760283626261100200EUR201903112330963000</t>
  </si>
  <si>
    <t>FRAIS VIR SEPA PERMANENT</t>
  </si>
  <si>
    <t>300760283626261100200EUR201903115812177500</t>
  </si>
  <si>
    <t>02836 262611 0138 01FIN DE PRET:</t>
  </si>
  <si>
    <t>300760283626261100200EUR201903115812939000</t>
  </si>
  <si>
    <t>02836 262611 0104 00  6 068,29 E</t>
  </si>
  <si>
    <t>300760283626261100200EUR201903115812177300</t>
  </si>
  <si>
    <t>02836 262611 0138 00FIN DE PRET:</t>
  </si>
  <si>
    <t>300760283626261100200EUR201903111077201100</t>
  </si>
  <si>
    <t>CB 454106 LE PEPLUM   59BAVAY</t>
  </si>
  <si>
    <t>300760283626261100200EUR201903113361810200</t>
  </si>
  <si>
    <t>CHEQUE  N 1000065</t>
  </si>
  <si>
    <t>300760283626261100200EUR201903112332920200</t>
  </si>
  <si>
    <t>VIR SEPA SCI LT DECO</t>
  </si>
  <si>
    <t>300760283626261100200EUR201903110910645100</t>
  </si>
  <si>
    <t>RELEVE LCR DU  040319  CONFORME</t>
  </si>
  <si>
    <t>300760283626261100200EUR201903080295108300</t>
  </si>
  <si>
    <t>E-VIR SEPA Salaire Alex 01/2019</t>
  </si>
  <si>
    <t>300760283626261100200EUR201903081074604900</t>
  </si>
  <si>
    <t>CB 548222 SMMATCH MAG 59BAVAY</t>
  </si>
  <si>
    <t>300760283626261100200EUR201903081074605000</t>
  </si>
  <si>
    <t>300760283626261100200EUR201903081074604800</t>
  </si>
  <si>
    <t>CB 548222 DAC SM MATC 59BAVAY</t>
  </si>
  <si>
    <t>300760283626261100200EUR201903080910231000</t>
  </si>
  <si>
    <t>RELEVE LCR DU  010319  CONFORME</t>
  </si>
  <si>
    <t>300760283626261100200EUR201903071077519400</t>
  </si>
  <si>
    <t>CB 548222 DAVID JOACH 59BAVAY</t>
  </si>
  <si>
    <t>300760283626261100200EUR201903071077519300</t>
  </si>
  <si>
    <t>CB 454106 L'AZIZA     59VILLENEU</t>
  </si>
  <si>
    <t>300760283626261100200EUR201903071077519200</t>
  </si>
  <si>
    <t>CB 548222 REPRO CENTE 59VALENCIE</t>
  </si>
  <si>
    <t>300760283626261100200EUR201903071072953600</t>
  </si>
  <si>
    <t>CB 548222 BRICO DEPOT 59AULNOY L</t>
  </si>
  <si>
    <t>300760283626261100200EUR201903076317939900</t>
  </si>
  <si>
    <t>FAC. situation 6 DU 25/02/2019PO</t>
  </si>
  <si>
    <t>300760283626261100200EUR201903061077789500</t>
  </si>
  <si>
    <t>CB 454106 SANEF 2602- 60SENLIS</t>
  </si>
  <si>
    <t>300760283626261100200EUR201903061077789400</t>
  </si>
  <si>
    <t>300760283626261100200EUR201903066337229700</t>
  </si>
  <si>
    <t>PRLV SEPA Google Ireland Limited</t>
  </si>
  <si>
    <t>APPS COMMERCE:le-metal.net:GG101</t>
  </si>
  <si>
    <t>300760283626261100200EUR201903051076671900</t>
  </si>
  <si>
    <t>CB 454106 DAC SM MATC 59BAVAY</t>
  </si>
  <si>
    <t>300760283626261100200EUR201903058301285200</t>
  </si>
  <si>
    <t>REMISE CHEQUES</t>
  </si>
  <si>
    <t>300760283626261100200EUR201903049223196100</t>
  </si>
  <si>
    <t>COMMISSION D'INTERVENTION</t>
  </si>
  <si>
    <t>300760283626261100200EUR201903041078514800</t>
  </si>
  <si>
    <t>300760283626261100200EUR201903041078514700</t>
  </si>
  <si>
    <t>CB 548222 CARREFOUR D 59AULNOY L</t>
  </si>
  <si>
    <t>300760283626261100200EUR201903040910605400</t>
  </si>
  <si>
    <t>RELEVE LCR DU  250219  CONFORME</t>
  </si>
  <si>
    <t>300760283626261100200EUR201903046317675700</t>
  </si>
  <si>
    <t>VIR DRFIP ILE DE FRANCE ET D</t>
  </si>
  <si>
    <t>087013713 TPEJ TPE-JA04068122740</t>
  </si>
  <si>
    <t>300760283626261100200EUR201903020842566300</t>
  </si>
  <si>
    <t>INTERNET PRO (GRATUIT AVEC C.ALL</t>
  </si>
  <si>
    <t>300760283626261100200EUR201903019225927800</t>
  </si>
  <si>
    <t>300760283626261100200EUR201903019225927900</t>
  </si>
  <si>
    <t>300760283626261100200EUR201903019225928000</t>
  </si>
  <si>
    <t>300760283626261100200EUR201903019225928100</t>
  </si>
  <si>
    <t>300760283626261100200EUR201903011078044500</t>
  </si>
  <si>
    <t>300760283626261100200EUR201903010882667800</t>
  </si>
  <si>
    <t>COTIS.CONVENTION ALLIANCE</t>
  </si>
  <si>
    <t>300760283626261100200EUR201902281079658000</t>
  </si>
  <si>
    <t>CB 454106 SANEF 1902- 60SENLIS</t>
  </si>
  <si>
    <t>300760283626261100200EUR201902281079657900</t>
  </si>
  <si>
    <t>CB 454106 COTE BOULAN 59TOURCOIN</t>
  </si>
  <si>
    <t>300760283626261100200EUR201902280911860100</t>
  </si>
  <si>
    <t>RELEVE LCR DU  210219  CONFORME</t>
  </si>
  <si>
    <t>300760283626261100200EUR201902270293906000</t>
  </si>
  <si>
    <t>E-VIR SEPA Salaire Gournay 02/20</t>
  </si>
  <si>
    <t>300760283626261100200EUR201902270293905900</t>
  </si>
  <si>
    <t>300760283626261100200EUR201902270293906100</t>
  </si>
  <si>
    <t>E-VIR SEPA Salaire Lefort 02/201</t>
  </si>
  <si>
    <t>300760283626261100200EUR201902270293906200</t>
  </si>
  <si>
    <t>E-VIR SEPA Salaire Hutin 02/2018</t>
  </si>
  <si>
    <t>300760283626261100200EUR201902261070912300</t>
  </si>
  <si>
    <t>300760283626261100200EUR201902261078887300</t>
  </si>
  <si>
    <t>CB 454106 STATION TOT 59TEMPLEUV</t>
  </si>
  <si>
    <t>300760283626261100200EUR201902259223518500</t>
  </si>
  <si>
    <t>300760283626261100200EUR201902251071895000</t>
  </si>
  <si>
    <t>CB 454106 BOULANGERIE 59BOIS GRE</t>
  </si>
  <si>
    <t>300760283626261100200EUR201902251071894900</t>
  </si>
  <si>
    <t>300760283626261100200EUR201902253361734300</t>
  </si>
  <si>
    <t>CHEQUE  N 1000064</t>
  </si>
  <si>
    <t>300760283626261100200EUR201902250910381700</t>
  </si>
  <si>
    <t>RELEVE LCR DU  180219  CONFORME</t>
  </si>
  <si>
    <t>300760283626261100200EUR201902220292284800</t>
  </si>
  <si>
    <t>E-VIR SEPA Salaire Janvier Etien</t>
  </si>
  <si>
    <t>300760283626261100200EUR201902216333532200</t>
  </si>
  <si>
    <t>PASDSN15022019-012019-7945135310</t>
  </si>
  <si>
    <t>300760283626261100200EUR201902219222305300</t>
  </si>
  <si>
    <t>300760283626261100200EUR201902219222305400</t>
  </si>
  <si>
    <t>300760283626261100200EUR201902219222305500</t>
  </si>
  <si>
    <t>300760283626261100200EUR201902219222305600</t>
  </si>
  <si>
    <t>300760283626261100200EUR201902219222305700</t>
  </si>
  <si>
    <t>300760283626261100200EUR201902211077735600</t>
  </si>
  <si>
    <t>300760283626261100200EUR201902211077735500</t>
  </si>
  <si>
    <t>300760283626261100200EUR201902200292338400</t>
  </si>
  <si>
    <t>E-VIR SEPA LeLorrain buse chalum</t>
  </si>
  <si>
    <t>300760283626261100200EUR201902200292338700</t>
  </si>
  <si>
    <t>E-VIR SEPA PRORATA 5 VdS</t>
  </si>
  <si>
    <t>300760283626261100200EUR201902200292338600</t>
  </si>
  <si>
    <t>E-VIR SEPA TSR Loc poste</t>
  </si>
  <si>
    <t>300760283626261100200EUR201902200292338800</t>
  </si>
  <si>
    <t>E-VIR SEPA PRORATA Solde VdS</t>
  </si>
  <si>
    <t>300760283626261100200EUR201902200292338500</t>
  </si>
  <si>
    <t>300760283626261100200EUR201902201077919900</t>
  </si>
  <si>
    <t>CB 548222 SANEF 1202- 60SENLIS</t>
  </si>
  <si>
    <t>300760283626261100200EUR201902201077919800</t>
  </si>
  <si>
    <t>CB 454106 SANEF 1202- 60SENLIS</t>
  </si>
  <si>
    <t>300760283626261100200EUR201902201077919700</t>
  </si>
  <si>
    <t>CB 454106 BOULANGERIE 62ST LAURE</t>
  </si>
  <si>
    <t>300760283626261100200EUR201902199224398500</t>
  </si>
  <si>
    <t>300760283626261100200EUR201902191078588800</t>
  </si>
  <si>
    <t>300760283626261100200EUR201902180294347200</t>
  </si>
  <si>
    <t>E-VIR SEPA CIR Caillebotis Thery</t>
  </si>
  <si>
    <t>300760283626261100200EUR201902181074950400</t>
  </si>
  <si>
    <t>CB 454106 SHELL 3298  62RUMAUCOU</t>
  </si>
  <si>
    <t>300760283626261100200EUR201902181074862600</t>
  </si>
  <si>
    <t>300760283626261100200EUR201902181074950500</t>
  </si>
  <si>
    <t>300760283626261100200EUR201902186333935400</t>
  </si>
  <si>
    <t>UR 317000001020473292    JANV197</t>
  </si>
  <si>
    <t>300760283626261100200EUR201902180910410400</t>
  </si>
  <si>
    <t>RELEVE LCR DU  110219  CONFORME</t>
  </si>
  <si>
    <t>300760283626261100200EUR201902186316855300</t>
  </si>
  <si>
    <t>VIR TRESORERIE HENIN BEAUMON</t>
  </si>
  <si>
    <t>FAC. AF205-3 DU 30/11/2018SIT 3</t>
  </si>
  <si>
    <t>300760283626261100200EUR201902156333934900</t>
  </si>
  <si>
    <t>PRLV B2B CONGES INTEMPERIES BTP</t>
  </si>
  <si>
    <t>300760283626261100200EUR201902159222708000</t>
  </si>
  <si>
    <t>300760283626261100200EUR201902151073141800</t>
  </si>
  <si>
    <t>CB 548222 AMENDE PVE  35RENNES</t>
  </si>
  <si>
    <t>300760283626261100200EUR201902156339942500</t>
  </si>
  <si>
    <t>300760283626261100200EUR201902150910911000</t>
  </si>
  <si>
    <t>RELEVE LCR DU  080219  CONFORME</t>
  </si>
  <si>
    <t>300760283626261100200EUR201902140292128500</t>
  </si>
  <si>
    <t>E-VIR SEPA Loyer</t>
  </si>
  <si>
    <t>300760283626261100200EUR201902141074499200</t>
  </si>
  <si>
    <t>300760283626261100200EUR201902141073012200</t>
  </si>
  <si>
    <t>300760283626261100200EUR201902141074499100</t>
  </si>
  <si>
    <t>CB 454106 RELAIS ARRA 62ARRAS CE</t>
  </si>
  <si>
    <t>300760283626261100200EUR201902131079131900</t>
  </si>
  <si>
    <t>300760283626261100200EUR201902121070789100</t>
  </si>
  <si>
    <t>CB 454106 FOUR D ANNA 59VILLENEU</t>
  </si>
  <si>
    <t>300760283626261100200EUR201902121070789000</t>
  </si>
  <si>
    <t>CB 548222 CARREFOUR V 59AULNOY L</t>
  </si>
  <si>
    <t>300760283626261100200EUR201902126317075200</t>
  </si>
  <si>
    <t>FAC NoAF241-2 DU 31/12/2018VILLE</t>
  </si>
  <si>
    <t xml:space="preserve">No </t>
  </si>
  <si>
    <t>Libellé 1</t>
  </si>
  <si>
    <t>Libellé 2</t>
  </si>
  <si>
    <t>Carburant</t>
  </si>
  <si>
    <t>Resto</t>
  </si>
  <si>
    <t>Loyer</t>
  </si>
  <si>
    <t>Salaire</t>
  </si>
  <si>
    <t>Frais de banque</t>
  </si>
  <si>
    <t>Informatique</t>
  </si>
  <si>
    <t>Huon</t>
  </si>
  <si>
    <t>Brico depot</t>
  </si>
  <si>
    <t>Dessenne</t>
  </si>
  <si>
    <t>France galva</t>
  </si>
  <si>
    <t>Prêt Voiture</t>
  </si>
  <si>
    <t>Rbst Treso</t>
  </si>
  <si>
    <t>Hedon</t>
  </si>
  <si>
    <t>Divers Administration</t>
  </si>
  <si>
    <t>Assurance</t>
  </si>
  <si>
    <t>SFEC</t>
  </si>
  <si>
    <t>Charges sociales</t>
  </si>
  <si>
    <t>Speed Laser</t>
  </si>
  <si>
    <t>Déplacement</t>
  </si>
  <si>
    <t>TVA</t>
  </si>
  <si>
    <t>Air Liquide</t>
  </si>
  <si>
    <t>Foussier</t>
  </si>
  <si>
    <t>Meurant</t>
  </si>
  <si>
    <t>Trenois</t>
  </si>
  <si>
    <t>Fabory</t>
  </si>
  <si>
    <t>Amendes</t>
  </si>
  <si>
    <t>D'halluin</t>
  </si>
  <si>
    <t>CIR Caillebotis</t>
  </si>
  <si>
    <t>Laser Performance</t>
  </si>
  <si>
    <t>LeLorrain</t>
  </si>
  <si>
    <t>Ramery</t>
  </si>
  <si>
    <t>TSR</t>
  </si>
  <si>
    <t>Woood</t>
  </si>
  <si>
    <t>Akzonobel</t>
  </si>
  <si>
    <t>Subvention</t>
  </si>
  <si>
    <t>Valoutil</t>
  </si>
  <si>
    <t>Dimatex</t>
  </si>
  <si>
    <t>Cloture du Douaisis</t>
  </si>
  <si>
    <t>Hoornaert</t>
  </si>
  <si>
    <t>Atelier Du Verre</t>
  </si>
  <si>
    <t>Unsteel</t>
  </si>
  <si>
    <t>Leroy Merlin</t>
  </si>
  <si>
    <t>Tubolaser</t>
  </si>
  <si>
    <t>LD access</t>
  </si>
  <si>
    <t>Dardenne peintures</t>
  </si>
  <si>
    <t>Legallais</t>
  </si>
  <si>
    <t>Dematis</t>
  </si>
  <si>
    <t>Siligom</t>
  </si>
  <si>
    <t>Lefebvre Christian Ets.</t>
  </si>
  <si>
    <t>SJD batiment</t>
  </si>
  <si>
    <t>Metaux Express</t>
  </si>
  <si>
    <t xml:space="preserve">REMISE CHEQUES                  </t>
  </si>
  <si>
    <t>E-VIR SEPA LD ACCESS</t>
  </si>
  <si>
    <t>CHEQUE  N 1000066</t>
  </si>
  <si>
    <t>INFORMATION CAUTION</t>
  </si>
  <si>
    <t>Pietement</t>
  </si>
  <si>
    <t>Rejet Virement</t>
  </si>
  <si>
    <t>Remboursement</t>
  </si>
  <si>
    <t>Rbst Frais de banque</t>
  </si>
  <si>
    <t>Rbst TVA</t>
  </si>
  <si>
    <t>Treso</t>
  </si>
  <si>
    <t>Financement</t>
  </si>
  <si>
    <t>Entretien</t>
  </si>
  <si>
    <t>Rbst CCA Etienne</t>
  </si>
  <si>
    <t>Profilclo</t>
  </si>
  <si>
    <t>Kdi</t>
  </si>
  <si>
    <t>Salti</t>
  </si>
  <si>
    <t>MCB Ménage</t>
  </si>
  <si>
    <t>Tollens</t>
  </si>
  <si>
    <t>Levanor</t>
  </si>
  <si>
    <t>Carglass</t>
  </si>
  <si>
    <t>Leascorp SW</t>
  </si>
  <si>
    <t>Kiloutou</t>
  </si>
  <si>
    <t>Go Tronic</t>
  </si>
  <si>
    <t>Glassolutions</t>
  </si>
  <si>
    <t>Sud Loire Service</t>
  </si>
  <si>
    <t>Lobel</t>
  </si>
  <si>
    <t>Auger structure</t>
  </si>
  <si>
    <t>TS métaux</t>
  </si>
  <si>
    <t>Nord Laser Tube</t>
  </si>
  <si>
    <t>Picard serrure</t>
  </si>
  <si>
    <t>SAFE</t>
  </si>
  <si>
    <t>123Roulement</t>
  </si>
  <si>
    <t>BBA Embalages</t>
  </si>
  <si>
    <t>Morisaux Scierie</t>
  </si>
  <si>
    <t>OAP</t>
  </si>
  <si>
    <t>Technicoupe</t>
  </si>
  <si>
    <t>Castorama</t>
  </si>
  <si>
    <t>Diamond</t>
  </si>
  <si>
    <t>Carniere Defossez</t>
  </si>
  <si>
    <t>Mayelle</t>
  </si>
  <si>
    <t>ESC Europe Sanitaire Chauffage</t>
  </si>
  <si>
    <t>Emile Maurin</t>
  </si>
  <si>
    <t>ACGR</t>
  </si>
  <si>
    <t>Racetools</t>
  </si>
  <si>
    <t>Materiaux Du Bavaisis</t>
  </si>
  <si>
    <t>Ergalis</t>
  </si>
  <si>
    <t>David Vincent Soudure</t>
  </si>
  <si>
    <t>Master Outillage</t>
  </si>
  <si>
    <t>Vaco</t>
  </si>
  <si>
    <t>Comey</t>
  </si>
  <si>
    <t>Vente privé</t>
  </si>
  <si>
    <t>Rexel</t>
  </si>
  <si>
    <t>Couleur De Tollens</t>
  </si>
  <si>
    <t>Davo</t>
  </si>
  <si>
    <t>Gaines Thermoretractables</t>
  </si>
  <si>
    <t>Europodium</t>
  </si>
  <si>
    <t>JV Batiment</t>
  </si>
  <si>
    <t>Bossu Cuvelier</t>
  </si>
  <si>
    <t>France Air</t>
  </si>
  <si>
    <t>Samaro</t>
  </si>
  <si>
    <t>Le Comptoir Marsault</t>
  </si>
  <si>
    <t>Dibon</t>
  </si>
  <si>
    <t>Compagnons du Devoir</t>
  </si>
  <si>
    <t>Recette</t>
  </si>
  <si>
    <t>Depense</t>
  </si>
  <si>
    <t>Fournisseurs</t>
  </si>
  <si>
    <t>Vdsq Thery</t>
  </si>
  <si>
    <t>Tsr</t>
  </si>
  <si>
    <t>Péage</t>
  </si>
  <si>
    <t>Brico Depot</t>
  </si>
  <si>
    <t>Atelier du Verre</t>
  </si>
  <si>
    <t>Design production</t>
  </si>
  <si>
    <t>Google</t>
  </si>
  <si>
    <t>Repro Center</t>
  </si>
  <si>
    <t>Courrieres Harmonie</t>
  </si>
  <si>
    <t>Arras Vds</t>
  </si>
  <si>
    <t>Prêt voiture</t>
  </si>
  <si>
    <t>Prêt equip</t>
  </si>
  <si>
    <t>Prêt treso</t>
  </si>
  <si>
    <t>Sncf</t>
  </si>
  <si>
    <t>La Poste</t>
  </si>
  <si>
    <t>300760283626261100200EUR201903271076973200</t>
  </si>
  <si>
    <t>300760283626261100200EUR201903276333073800</t>
  </si>
  <si>
    <t>TVA1-032019-3310CA3</t>
  </si>
  <si>
    <t>300760283626261100200EUR201903278300790700</t>
  </si>
  <si>
    <t>300760283626261100200EUR201903280290692500</t>
  </si>
  <si>
    <t>300760283626261100200EUR201903280290692600</t>
  </si>
  <si>
    <t>E-VIR SEPA Salaire Hutin 03/19</t>
  </si>
  <si>
    <t>300760283626261100200EUR201903280290692700</t>
  </si>
  <si>
    <t>E-VIR SEPA Salaire Lefort 03/19</t>
  </si>
  <si>
    <t>300760283626261100200EUR201903280290692800</t>
  </si>
  <si>
    <t>E-VIR SEPA Salaire Gournay 03/19</t>
  </si>
  <si>
    <t>300760283626261100200EUR201903281078667500</t>
  </si>
  <si>
    <t>CB 454106 PIZZA   PAS 59BAVAY</t>
  </si>
  <si>
    <t>300760283626261100200EUR201903291524258100</t>
  </si>
  <si>
    <t>300760283626261100200EUR201903293351503500</t>
  </si>
  <si>
    <t>300760283626261100200EUR201903296318870100</t>
  </si>
  <si>
    <t>FAC. AF250-1 DU 28/02/2019REGLET</t>
  </si>
  <si>
    <t>300760283626261100200EUR201903296318870600</t>
  </si>
  <si>
    <t>FAC. situation 7 DU 12/03/2019LO</t>
  </si>
  <si>
    <t>300760283626261100200EUR201903296318871100</t>
  </si>
  <si>
    <t>FAC. AF249-1 DU 28/02/2019TABLEA</t>
  </si>
  <si>
    <t>300760283626261100200EUR201903299224983200</t>
  </si>
  <si>
    <t>300760283626261100200EUR201903299224983300</t>
  </si>
  <si>
    <t>300760283626261100200EUR201903299224983400</t>
  </si>
  <si>
    <t>300760283626261100200EUR201903299224983500</t>
  </si>
  <si>
    <t>300760283626261100200EUR201904010292490900</t>
  </si>
  <si>
    <t>E-VIR SEPA Salaire Alex 03/2019</t>
  </si>
  <si>
    <t>300760283626261100200EUR201904010912015100</t>
  </si>
  <si>
    <t>RELEVE LCR DU  250319  CONFORME</t>
  </si>
  <si>
    <t>300760283626261100200EUR201904011072636500</t>
  </si>
  <si>
    <t>CB 454106 GERSTEP     59WASQUEHA</t>
  </si>
  <si>
    <t>300760283626261100200EUR201904016312451200</t>
  </si>
  <si>
    <t>087402054 TPEJ TPE-JA04068122740</t>
  </si>
  <si>
    <t>300760283626261100200EUR201904019350908200</t>
  </si>
  <si>
    <t>OPERATION SUR CAUTION</t>
  </si>
  <si>
    <t>300760283626261100200EUR201904026330235500</t>
  </si>
  <si>
    <t>PRLV SEPA LEASECOM</t>
  </si>
  <si>
    <t>LP2728359/218L87051, date echean</t>
  </si>
  <si>
    <t>Ld Access</t>
  </si>
  <si>
    <t>Solidworks</t>
  </si>
  <si>
    <t>Categorie</t>
  </si>
  <si>
    <t>Client</t>
  </si>
  <si>
    <t>Alex Maçon</t>
  </si>
  <si>
    <t>Conforti</t>
  </si>
  <si>
    <t>Ville de Lille</t>
  </si>
  <si>
    <t>Deco Menuiserie</t>
  </si>
  <si>
    <t>Mayelle Leroy</t>
  </si>
  <si>
    <t>AF213-2 Porte de cave Leroy</t>
  </si>
  <si>
    <t>Porte noms Arras</t>
  </si>
  <si>
    <t>MCB</t>
  </si>
  <si>
    <t>Rbst Acompte Cloture Arras</t>
  </si>
  <si>
    <t>Date enc</t>
  </si>
  <si>
    <t>Carrefour</t>
  </si>
  <si>
    <t>Location Camion Arras</t>
  </si>
  <si>
    <t>Facturation</t>
  </si>
  <si>
    <t>300760283626261100200EUR201904010290684400</t>
  </si>
  <si>
    <t>E-VIR SEPA Salaire Etienne 03/20</t>
  </si>
  <si>
    <t>300760283626261100200EUR201904010290684500</t>
  </si>
  <si>
    <t>E-VIR SEPA Siligom Berlingo 1950</t>
  </si>
  <si>
    <t>300760283626261100200EUR201904010290684600</t>
  </si>
  <si>
    <t>E-VIR SEPA Metaux Express Anor</t>
  </si>
  <si>
    <t>300760283626261100200EUR201904010290684700</t>
  </si>
  <si>
    <t>E-VIR SEPA Dimatex Loc poste TIG</t>
  </si>
  <si>
    <t>300760283626261100200EUR201904010290684800</t>
  </si>
  <si>
    <t>E-VIR SEPA Dessenne Inox+Pied De</t>
  </si>
  <si>
    <t>300760283626261100200EUR201904010290684900</t>
  </si>
  <si>
    <t>E-VIR SEPA Dimatex fournitures</t>
  </si>
  <si>
    <t>300760283626261100200EUR201904010290685000</t>
  </si>
  <si>
    <t>E-VIR SEPA Dessenne Tableau Vell</t>
  </si>
  <si>
    <t>300760283626261100200EUR201904020296209200</t>
  </si>
  <si>
    <t>E-VIR SEPA Dematis</t>
  </si>
  <si>
    <t>300760283626261100200EUR201904020296209300</t>
  </si>
  <si>
    <t>E-VIR SEPA Lefevre prorata Anor</t>
  </si>
  <si>
    <t>300760283626261100200EUR201904020296209400</t>
  </si>
  <si>
    <t>E-VIR SEPA Ramery prorata Arras</t>
  </si>
  <si>
    <t>300760283626261100200EUR201904021072392200</t>
  </si>
  <si>
    <t>CB 454106 BOULANGERIE 59FERRIERE</t>
  </si>
  <si>
    <t>300760283626261100200EUR201904029229138500</t>
  </si>
  <si>
    <t>300760283626261100200EUR201904029229138600</t>
  </si>
  <si>
    <t>300760283626261100200EUR201904029229138700</t>
  </si>
  <si>
    <t>300760283626261100200EUR201904029229138800</t>
  </si>
  <si>
    <t>300760283626261100200EUR201904029229138900</t>
  </si>
  <si>
    <t>300760283626261100200EUR201904029229139000</t>
  </si>
  <si>
    <t>300760283626261100200EUR201904029229139100</t>
  </si>
  <si>
    <t>300760283626261100200EUR201904029229139200</t>
  </si>
  <si>
    <t>300760283626261100200EUR201904029229139300</t>
  </si>
  <si>
    <t>300760283626261100200EUR201904030619874400</t>
  </si>
  <si>
    <t>INTERETS-FRAIS/ARRETE DE COMPTE</t>
  </si>
  <si>
    <t>300760283626261100200EUR201904030842634000</t>
  </si>
  <si>
    <t>300760283626261100200EUR201904031079601800</t>
  </si>
  <si>
    <t>300760283626261100200EUR201904031079601900</t>
  </si>
  <si>
    <t>300760283626261100200EUR201904031079602000</t>
  </si>
  <si>
    <t>300760283626261100200EUR201904033360983400</t>
  </si>
  <si>
    <t>CHEQUE  N 1000067</t>
  </si>
  <si>
    <t>300760283626261100200EUR201904035810731100</t>
  </si>
  <si>
    <t>ASSURANCE EMPRUNTEUR</t>
  </si>
  <si>
    <t>300760283626261100200EUR201904039224477200</t>
  </si>
  <si>
    <t>300760283626261100200EUR201904039224477300</t>
  </si>
  <si>
    <t>300760283626261100200EUR201904039224477400</t>
  </si>
  <si>
    <t>300760283626261100200EUR201904046312808700</t>
  </si>
  <si>
    <t>FAC NoAF241-4 DU 28/02/2019VILLE</t>
  </si>
  <si>
    <t>300760283626261100200EUR201904046317210000</t>
  </si>
  <si>
    <t>VIR MOUCHIE CONCEPT BOIS</t>
  </si>
  <si>
    <t>300760283626261100200EUR201904046335287400</t>
  </si>
  <si>
    <t>300760283626261100200EUR201904056313048100</t>
  </si>
  <si>
    <t>FAC. AF250-2 DU 19/03/2019REGLET</t>
  </si>
  <si>
    <t>Description</t>
  </si>
  <si>
    <t>Banque +</t>
  </si>
  <si>
    <t>Banque -</t>
  </si>
  <si>
    <t>Compta +</t>
  </si>
  <si>
    <t>Compta -</t>
  </si>
  <si>
    <t>Balance</t>
  </si>
  <si>
    <t>X</t>
  </si>
  <si>
    <t>ComptaBanque -</t>
  </si>
  <si>
    <t>ComptaBanque +</t>
  </si>
  <si>
    <t>Salaire Alex Avril 2018</t>
  </si>
  <si>
    <t>Prorata</t>
  </si>
  <si>
    <t>F Banque -</t>
  </si>
  <si>
    <t>F Banque +</t>
  </si>
  <si>
    <t>F Compta -</t>
  </si>
  <si>
    <t>F Compta +</t>
  </si>
  <si>
    <t>T Compta -</t>
  </si>
  <si>
    <t>T Compta +</t>
  </si>
  <si>
    <t>Solde</t>
  </si>
  <si>
    <t> 02836 262611 0104 00 5 831,16 EUR</t>
  </si>
  <si>
    <t> 02836 262611 0138 00FIN DE PRET: 03/2020</t>
  </si>
  <si>
    <t> CB 454106 GERSTEP 59WASQUEHA LE 0802</t>
  </si>
  <si>
    <t> CB 454106 CARREFOUR D 59AULNOY L LE 0802</t>
  </si>
  <si>
    <t> CB 548222 BOULANGERIE 62BEAURAIN LE 0602</t>
  </si>
  <si>
    <t> CB 548222 BRICO DEPOT 62BEAURAIN LE 0602</t>
  </si>
  <si>
    <t> CB 548222 BRICO DEPOT 59AULNOY L LE 0602</t>
  </si>
  <si>
    <t> INTERNET PRO (GRATUIT AVEC C.ALLIANCE)</t>
  </si>
  <si>
    <t> CB 454106 SANEF 2901- 60SENLIS C LE 0402</t>
  </si>
  <si>
    <t> CB 548222 BRICO DEPOT 59AULNOY L LE 0502</t>
  </si>
  <si>
    <t> CB 548222 REXEL 59LA SENTI LE 0502</t>
  </si>
  <si>
    <t> CB 548222 CARREFOUR D 59AULNOY L LE 0502</t>
  </si>
  <si>
    <t> PRLV SEPA Google Ireland Limited</t>
  </si>
  <si>
    <t> Motif : APPS COMMERCE:le-metal.net:GG101PA7</t>
  </si>
  <si>
    <t> VIR TRESORERIE FOURMIES</t>
  </si>
  <si>
    <t> VIR SEPA SALAIRE MR ELOI GOURNAY</t>
  </si>
  <si>
    <t> VIR SEPA SALAIRE MAXIME LEFORT</t>
  </si>
  <si>
    <t> VIR SEPA SALAIRE LUDOVIC HUTIN</t>
  </si>
  <si>
    <t> COMMISSION D'INTERVENTION</t>
  </si>
  <si>
    <t> CB 454106 BURGER KING 59PETITE F LE 0102</t>
  </si>
  <si>
    <t> CB 454106 CARREFOUR D 59AULNOY L LE 0202</t>
  </si>
  <si>
    <t> RELEVE LCR DU 280119 CONFORME BAP</t>
  </si>
  <si>
    <t> CB 454106 GERSTEP 59WASQUEHA LE 3101</t>
  </si>
  <si>
    <t> 02836 262611 0138 01FIN DE PRET: 12/2020</t>
  </si>
  <si>
    <t> Motif : FACTURE AF231-2 ANOR</t>
  </si>
  <si>
    <t>Anor Médiathèque</t>
  </si>
  <si>
    <t>Speed laser</t>
  </si>
  <si>
    <t>AF257-1 Foramtion villeneuve d'Ascq</t>
  </si>
  <si>
    <t>AF241-5 Thery situation 5</t>
  </si>
  <si>
    <t>AF256-1 MO Lemyze</t>
  </si>
  <si>
    <t>AF231-4 Anor situation 4</t>
  </si>
  <si>
    <t>Constructys</t>
  </si>
  <si>
    <t>AF255-2 Aide Maxime 01.02.03/2019</t>
  </si>
  <si>
    <t>AF255-1 Aide Maxime 09.10.11.12/2018</t>
  </si>
  <si>
    <t>AF250-2 Réglettes affichage</t>
  </si>
  <si>
    <t>300760283626261100200EUR2019020101</t>
  </si>
  <si>
    <t>300760283626261100200EUR2019020402</t>
  </si>
  <si>
    <t>300760283626261100200EUR2019020403</t>
  </si>
  <si>
    <t>300760283626261100200EUR2019020404</t>
  </si>
  <si>
    <t>300760283626261100200EUR2019020401</t>
  </si>
  <si>
    <t>300760283626261100200EUR2019020501</t>
  </si>
  <si>
    <t>300760283626261100200EUR2019020502</t>
  </si>
  <si>
    <t>300760283626261100200EUR2019020503</t>
  </si>
  <si>
    <t>300760283626261100200EUR2019020601</t>
  </si>
  <si>
    <t>300760283626261100200EUR2019020602</t>
  </si>
  <si>
    <t>300760283626261100200EUR2019020603</t>
  </si>
  <si>
    <t>300760283626261100200EUR2019020604</t>
  </si>
  <si>
    <t>300760283626261100200EUR2019020605</t>
  </si>
  <si>
    <t>300760283626261100200EUR2019020606</t>
  </si>
  <si>
    <t>300760283626261100200EUR2019020607</t>
  </si>
  <si>
    <t>300760283626261100200EUR2019020701</t>
  </si>
  <si>
    <t>300760283626261100200EUR2019020702</t>
  </si>
  <si>
    <t>300760283626261100200EUR2019020703</t>
  </si>
  <si>
    <t>300760283626261100200EUR2019021101</t>
  </si>
  <si>
    <t>300760283626261100200EUR2019021102</t>
  </si>
  <si>
    <t>300760283626261100200EUR2019021103</t>
  </si>
  <si>
    <t>300760283626261100200EUR2019021104</t>
  </si>
  <si>
    <t>300760283626261100200EUR2019021105</t>
  </si>
  <si>
    <t>TVA Enc</t>
  </si>
  <si>
    <t>TVA Deb</t>
  </si>
  <si>
    <t>TVA Diff</t>
  </si>
  <si>
    <t>FA5710  RDP 122</t>
  </si>
  <si>
    <t>FA5709  RDP 121</t>
  </si>
  <si>
    <t>FA5708  RDP 119</t>
  </si>
  <si>
    <t>FA5707  RDP 118</t>
  </si>
  <si>
    <t>F.3524 bouchons oreilles - disque tronçonner</t>
  </si>
  <si>
    <t xml:space="preserve">FA91961  </t>
  </si>
  <si>
    <t>Design Production</t>
  </si>
  <si>
    <t>FAS005033  Inox MC interieur Thery</t>
  </si>
  <si>
    <t>F.52178  Thery (portails + cloture)</t>
  </si>
  <si>
    <t xml:space="preserve">F.955186459 </t>
  </si>
  <si>
    <t>F.52229 Arras (boites aux lettres + MC exterieur esca. principal)</t>
  </si>
  <si>
    <t>F.LO2760817/218L87051 assurance contrat SW</t>
  </si>
  <si>
    <t xml:space="preserve">F.1903357 </t>
  </si>
  <si>
    <t xml:space="preserve">F.9187186 </t>
  </si>
  <si>
    <t>F.FC209103 Livraison escalier Anor + pose</t>
  </si>
  <si>
    <t>F.8770104 (porte Arras 865HT + 190HT)</t>
  </si>
  <si>
    <t>meurant</t>
  </si>
  <si>
    <t>F.T100340 panneau Hevea escalier concept-ty</t>
  </si>
  <si>
    <t xml:space="preserve">F.FAL09067 </t>
  </si>
  <si>
    <t>AF254-1 Pied de table (descompte dette) 540€</t>
  </si>
  <si>
    <t>Pietement  (descompte dette) 432€</t>
  </si>
  <si>
    <t>Support Bruno  (descompte dette) 72€</t>
  </si>
  <si>
    <t>300760283626261100200EUR201904081074835700</t>
  </si>
  <si>
    <t>300760283626261100200EUR201904090910231000</t>
  </si>
  <si>
    <t>RELEVE LCR DU  020419  CONFORME</t>
  </si>
  <si>
    <t>300760283626261100200EUR201904096315265700</t>
  </si>
  <si>
    <t>VIR CONSTRUCTYS</t>
  </si>
  <si>
    <t>3118008994-QS METALLIER NIVEAU 3</t>
  </si>
  <si>
    <t>300760283626261100200EUR201904100910562200</t>
  </si>
  <si>
    <t>RELEVE LCR DU  030419  CONFORME</t>
  </si>
  <si>
    <t>300760283626261100200EUR201904101071707600</t>
  </si>
  <si>
    <t>300760283626261100200EUR201904101075720600</t>
  </si>
  <si>
    <t>CB 454106 N 60 SPRL     FRASNES-</t>
  </si>
  <si>
    <t>300760283626261100200EUR201904102330580700</t>
  </si>
  <si>
    <t>300760283626261100200EUR201904102333837500</t>
  </si>
  <si>
    <t>300760283626261100200EUR201904105810149800</t>
  </si>
  <si>
    <t>300760283626261100200EUR201904105810150000</t>
  </si>
  <si>
    <t>300760283626261100200EUR201904105812866500</t>
  </si>
  <si>
    <t>02836 262611 0104 00  6 304,42 E</t>
  </si>
  <si>
    <t>300760283626261100200EUR201904111070074500</t>
  </si>
  <si>
    <t>CB 454106 LE VENEZIA  62ARRAS</t>
  </si>
  <si>
    <t>HUON</t>
  </si>
  <si>
    <t>F.FA919842  Maillard caves + Raismes escalier principal</t>
  </si>
  <si>
    <t>fabory</t>
  </si>
  <si>
    <t xml:space="preserve">F.919027913 </t>
  </si>
  <si>
    <t>F.919029374</t>
  </si>
  <si>
    <t>F.919028763</t>
  </si>
  <si>
    <t xml:space="preserve">F.52338 </t>
  </si>
  <si>
    <t>300760283626261100200EUR201904120292513500</t>
  </si>
  <si>
    <t>E-VIR SEPA France Galva</t>
  </si>
  <si>
    <t>300760283626261100200EUR201904120292513600</t>
  </si>
  <si>
    <t>300760283626261100200EUR201904121075665100</t>
  </si>
  <si>
    <t>CB 548222 ESSO PILATE 59WASQUEHA</t>
  </si>
  <si>
    <t>300760283626261100200EUR201904121075665200</t>
  </si>
  <si>
    <t>300760283626261100200EUR201904123375040900</t>
  </si>
  <si>
    <t>CHEQUE  N 1000068</t>
  </si>
  <si>
    <t>300760283626261100200EUR201904150911059300</t>
  </si>
  <si>
    <t>RELEVE LCR DU  080419  CONFORME</t>
  </si>
  <si>
    <t>300760283626261100200EUR201904151073090600</t>
  </si>
  <si>
    <t>300760283626261100200EUR201904151073250400</t>
  </si>
  <si>
    <t>300760283626261100200EUR201904156333727800</t>
  </si>
  <si>
    <t>300760283626261100200EUR201904156334906400</t>
  </si>
  <si>
    <t>LO2760817/218L87051, date echean</t>
  </si>
  <si>
    <t>300760283626261100200EUR201904159223352500</t>
  </si>
  <si>
    <t>300760283626261100200EUR201904159223352600</t>
  </si>
  <si>
    <t>300760283626261100200EUR201904160910254200</t>
  </si>
  <si>
    <t>RELEVE LCR DU  090419  CONFORME</t>
  </si>
  <si>
    <t>300760283626261100200EUR201904161071901100</t>
  </si>
  <si>
    <t>300760283626261100200EUR201904166330805500</t>
  </si>
  <si>
    <t>UR 317000001020473292    MARS197</t>
  </si>
  <si>
    <t>300760283626261100200EUR201904171072952000</t>
  </si>
  <si>
    <t>CB 454106 K0679       59LEZENNES</t>
  </si>
  <si>
    <t>300760283626261100200EUR201904171078942600</t>
  </si>
  <si>
    <t>CB 454106 SANEF 0904- 60SENLIS</t>
  </si>
  <si>
    <t>300760283626261100200EUR201904181076047400</t>
  </si>
  <si>
    <t>CB 548222 GOOGLE *GOO GB   9,99</t>
  </si>
  <si>
    <t>300760283626261100200EUR201904231074478700</t>
  </si>
  <si>
    <t>CB 454106 BOUL PROUVY 59PROUVY</t>
  </si>
  <si>
    <t>F.0306/19 pliage tôle Thery + pliage tôles larmées Anor (x2)</t>
  </si>
  <si>
    <t>300760283626261100200EUR201904241079632900</t>
  </si>
  <si>
    <t>300760283626261100200EUR201904241079633000</t>
  </si>
  <si>
    <t>300760283626261100200EUR201904241079633100</t>
  </si>
  <si>
    <t>300760283626261100200EUR201904246330737800</t>
  </si>
  <si>
    <t>PASDSN15042019-032019-7945135310</t>
  </si>
  <si>
    <t>300760283626261100200EUR201904251077308300</t>
  </si>
  <si>
    <t>300760283626261100200EUR201904251077308400</t>
  </si>
  <si>
    <t>300760283626261100200EUR201904260292924500</t>
  </si>
  <si>
    <t>E-VIR SEPA Hoornaert mars</t>
  </si>
  <si>
    <t>300760283626261100200EUR201904261075198200</t>
  </si>
  <si>
    <t>CB 548222 QUINCAILLER 80AMIENS</t>
  </si>
  <si>
    <t>300760283626261100200EUR201904261075198300</t>
  </si>
  <si>
    <t>CB 548222 BRASSERIE D 80AMIENS</t>
  </si>
  <si>
    <t>300760283626261100200EUR201904291075959800</t>
  </si>
  <si>
    <t>300760283626261100200EUR201904296330240600</t>
  </si>
  <si>
    <t>TVA1-042019-3310CA3</t>
  </si>
  <si>
    <t>300760283626261100200EUR201904299224466100</t>
  </si>
  <si>
    <t>300760283626261100200EUR201904300911960600</t>
  </si>
  <si>
    <t>RELEVE LCR DU  230419  CONFORME</t>
  </si>
  <si>
    <t>300760283626261100200EUR201904306338845000</t>
  </si>
  <si>
    <t>PRLV SEPA PROBTP RETRAITE-PRO BT</t>
  </si>
  <si>
    <t>CNRO 71353254.4304042 DU 260419</t>
  </si>
  <si>
    <t>300760283626261100200EUR201904306339549400</t>
  </si>
  <si>
    <t>PRLV SEPA PROBTP ADP-PRO BTP</t>
  </si>
  <si>
    <t>CNRO 71353254.4304007 DU 300419</t>
  </si>
  <si>
    <t>Quincaillerie Picarde</t>
  </si>
  <si>
    <t>300760283626261100200EUR201904290290664400</t>
  </si>
  <si>
    <t>E-VIR SEPA Glass solution 05/201</t>
  </si>
  <si>
    <t>300760283626261100200EUR201904301076676600</t>
  </si>
  <si>
    <t>300760283626261100200EUR201904301076676700</t>
  </si>
  <si>
    <t>300760283626261100200EUR201904309227139700</t>
  </si>
  <si>
    <t>Saint Gobain</t>
  </si>
  <si>
    <t>F.52434 escalier Anor + stockage Maillard + transport</t>
  </si>
  <si>
    <t>F.19250 Gdc Mcb</t>
  </si>
  <si>
    <t>F.19249 Ferme d'en haut</t>
  </si>
  <si>
    <t>FA6107 15.92TTC + FA6106 115.44TTC + FA6105 360.28TTC    LCR</t>
  </si>
  <si>
    <t>FA920486  Local Poubelle + long separatif courette  Maillard</t>
  </si>
  <si>
    <t>F.3595 Manchette + bandeaux</t>
  </si>
  <si>
    <t xml:space="preserve">FAL09136 Töle Alu porte MCB + ? </t>
  </si>
  <si>
    <t>F19040956  stock foret + tarauds + outils</t>
  </si>
  <si>
    <t xml:space="preserve">Citroen </t>
  </si>
  <si>
    <t>F.313316 clé Berlingo  (Remboursement ?)</t>
  </si>
  <si>
    <t>F.03-JJS891 Meuleuse + ecrou serrage</t>
  </si>
  <si>
    <t>JK Technic</t>
  </si>
  <si>
    <t>FA042496 caillebotis portails + cloture Thery</t>
  </si>
  <si>
    <t>Location camion porte de cave Leroy</t>
  </si>
  <si>
    <t xml:space="preserve">Brico depot </t>
  </si>
  <si>
    <t>Colle PU + serre joint pompe</t>
  </si>
  <si>
    <t>AF258-1 MCB structure + MO</t>
  </si>
  <si>
    <t>mcB</t>
  </si>
  <si>
    <t>AF241-6 Thery situation 6 / Solde</t>
  </si>
  <si>
    <t>Trenois decamps</t>
  </si>
  <si>
    <t>F.8823096  Pack metallier visseuse + perfo + meuleuse Fein</t>
  </si>
  <si>
    <t>STTN</t>
  </si>
  <si>
    <t>AF259-1  Tôle + moulure portails Lille (autoliquidation TVA)</t>
  </si>
  <si>
    <t>CAPH</t>
  </si>
  <si>
    <t>AF196-5  Avancement escalier intérieur</t>
  </si>
  <si>
    <t>LMH</t>
  </si>
  <si>
    <t>AF234-2  Avancement separatif en caves</t>
  </si>
  <si>
    <t>Leroy Hegginger</t>
  </si>
  <si>
    <t>AF213-3  Solde porte de Cave</t>
  </si>
  <si>
    <t>AF233-8  Arras Portails + cloture + BAL + porte vide sanitaire</t>
  </si>
  <si>
    <t>F.19251 Main courantes Thery Int. + Pied Maxime + Tôle STTN</t>
  </si>
  <si>
    <t>F.955265378</t>
  </si>
  <si>
    <t>F.1904309</t>
  </si>
  <si>
    <t>F.T12420325</t>
  </si>
  <si>
    <t>F.03-JMT213 Lames de scie x5 + 2 gratuites</t>
  </si>
  <si>
    <t>300760283626261100200EUR201905021070344000</t>
  </si>
  <si>
    <t>CB 548222 SANEF 2304- 60SENLIS</t>
  </si>
  <si>
    <t>300760283626261100200EUR201905021070344100</t>
  </si>
  <si>
    <t>CB 454106 AGENCE CITR 59BAVAY</t>
  </si>
  <si>
    <t>300760283626261100200EUR201905021070344200</t>
  </si>
  <si>
    <t>CB 454106 SANEF 2304- 60SENLIS</t>
  </si>
  <si>
    <t>300760283626261100200EUR201905028300921400</t>
  </si>
  <si>
    <t>300760283626261100200EUR201905030296058200</t>
  </si>
  <si>
    <t>E-VIR SEPA Salaire Hutin 04/2019</t>
  </si>
  <si>
    <t>300760283626261100200EUR201905030296058300</t>
  </si>
  <si>
    <t>E-VIR SEPA Salaire Lefort 04/201</t>
  </si>
  <si>
    <t>300760283626261100200EUR201905030296058400</t>
  </si>
  <si>
    <t>E-VIR SEPA Salaire Gournay 04/20</t>
  </si>
  <si>
    <t>300760283626261100200EUR201905030910355300</t>
  </si>
  <si>
    <t>RELEVE LCR DU  250419  CONFORME</t>
  </si>
  <si>
    <t>300760283626261100200EUR201905036333999600</t>
  </si>
  <si>
    <t>300760283626261100200EUR201905060842843200</t>
  </si>
  <si>
    <t>300760283626261100200EUR201905061073300100</t>
  </si>
  <si>
    <t>300760283626261100200EUR201905061073300200</t>
  </si>
  <si>
    <t>300760283626261100200EUR201905061073300300</t>
  </si>
  <si>
    <t>300760283626261100200EUR201905069227476000</t>
  </si>
  <si>
    <t>300760283626261100200EUR201905069227476100</t>
  </si>
  <si>
    <t>300760283626261100200EUR201905069227476200</t>
  </si>
  <si>
    <t>300760283626261100200EUR201905070910223500</t>
  </si>
  <si>
    <t>RELEVE LCR DU  290419  CONFORME</t>
  </si>
  <si>
    <t>300760283626261100200EUR201905071071661600</t>
  </si>
  <si>
    <t>CB 454106 BRICO DEPOT 59AULNOY L</t>
  </si>
  <si>
    <t>300760283626261100200EUR201905071079334700</t>
  </si>
  <si>
    <t>300760283626261100200EUR201905086318739800</t>
  </si>
  <si>
    <t>300760283626261100200EUR201905100910868900</t>
  </si>
  <si>
    <t>RELEVE LCR DU  030519  CONFORME</t>
  </si>
  <si>
    <t>300760283626261100200EUR201905101076362100</t>
  </si>
  <si>
    <t>300760283626261100200EUR201905102330644800</t>
  </si>
  <si>
    <t>300760283626261100200EUR201905102334719400</t>
  </si>
  <si>
    <t>300760283626261100200EUR201905105810418800</t>
  </si>
  <si>
    <t>300760283626261100200EUR201905105810419000</t>
  </si>
  <si>
    <t>300760283626261100200EUR201905105813200100</t>
  </si>
  <si>
    <t>02836 262611 0104 00  6 542,70 E</t>
  </si>
  <si>
    <t>300760283626261100200EUR201905130910436400</t>
  </si>
  <si>
    <t>RELEVE LCR DU  060519  CONFORME</t>
  </si>
  <si>
    <t>300760283626261100200EUR201905131078301500</t>
  </si>
  <si>
    <t>300760283626261100200EUR201905131078301600</t>
  </si>
  <si>
    <t>CB 548222 ESSO QUERCI 59LE QUESN</t>
  </si>
  <si>
    <t>300760283626261100200EUR201905131078301700</t>
  </si>
  <si>
    <t>CB 454106 CHEZ AHMED  59LE QUESN</t>
  </si>
  <si>
    <t>300760283626261100200EUR201905140292621300</t>
  </si>
  <si>
    <t>E-VIR SEPA Salaire Alex 04/2019</t>
  </si>
  <si>
    <t>300760283626261100200EUR201905140292621400</t>
  </si>
  <si>
    <t>E-VIR SEPA Salaire Etienne 04/20</t>
  </si>
  <si>
    <t>300760283626261100200EUR201905141078422800</t>
  </si>
  <si>
    <t>CB 548222 BRICO DEPOT 62BEAURAIN</t>
  </si>
  <si>
    <t>300760283626261100200EUR201905141078422900</t>
  </si>
  <si>
    <t>CB 548222 BOULANGERIE 62ST LAURE</t>
  </si>
  <si>
    <t>300760283626261100200EUR201905146311836000</t>
  </si>
  <si>
    <t>VIR TRESORERIE FOURMIES</t>
  </si>
  <si>
    <t>FACTURE AF231-4 DECISION  DEC 10</t>
  </si>
  <si>
    <t>300760283626261100200EUR201905148302100100</t>
  </si>
  <si>
    <t>300760283626261100200EUR201905150910929600</t>
  </si>
  <si>
    <t>RELEVE LCR DU  080519  CONFORME</t>
  </si>
  <si>
    <t>300760283626261100200EUR201905151078689100</t>
  </si>
  <si>
    <t>CB 548222 SANEF 0705- 60SENLIS C</t>
  </si>
  <si>
    <t>300760283626261100200EUR201905151078689200</t>
  </si>
  <si>
    <t>300760283626261100200EUR201905156318384900</t>
  </si>
  <si>
    <t>VIR SOGESSUR</t>
  </si>
  <si>
    <t>SI000000000994539</t>
  </si>
  <si>
    <t>300760283626261100200EUR201905156336600200</t>
  </si>
  <si>
    <t>300760283626261100200EUR201905156336758100</t>
  </si>
  <si>
    <t>300760283626261100200EUR201905159223020200</t>
  </si>
  <si>
    <t>300760283626261100200EUR201905159223020300</t>
  </si>
  <si>
    <t>300760283626261100200EUR201905161073307500</t>
  </si>
  <si>
    <t>CB 548222 EFFIA       59VALENCIE</t>
  </si>
  <si>
    <t>300760283626261100200EUR201905161078956100</t>
  </si>
  <si>
    <t>CB 454106 INFOGREFFE  94VINCENNE</t>
  </si>
  <si>
    <t>300760283626261100200EUR201905166316003300</t>
  </si>
  <si>
    <t>FAC NoAF241-5 DU 30/03/2019VILLE</t>
  </si>
  <si>
    <t>300760283626261100200EUR201905166336600700</t>
  </si>
  <si>
    <t>UR 317000001020473292    AVR 197</t>
  </si>
  <si>
    <t>300760283626261100200EUR201905170910263600</t>
  </si>
  <si>
    <t>RELEVE LCR DU  100519  CONFORME</t>
  </si>
  <si>
    <t xml:space="preserve">F.52537 </t>
  </si>
  <si>
    <t>F.919036514  ecrous maillard</t>
  </si>
  <si>
    <t>huon</t>
  </si>
  <si>
    <t>FA921083 grillage maillard + IPE Dias + tole noir sainghien</t>
  </si>
  <si>
    <t>CP du Douaisis</t>
  </si>
  <si>
    <t>F.201904308 Cloture Arras</t>
  </si>
  <si>
    <t xml:space="preserve">FAC1194  Marche HEVEA44 CAPH </t>
  </si>
  <si>
    <t>Bricard</t>
  </si>
  <si>
    <t>F.40159602 Culindres VdS</t>
  </si>
  <si>
    <t>FC19CA050318 joint escalierCAPH                          Virement à faire</t>
  </si>
  <si>
    <t>300760283626261100200EUR201905171075104700</t>
  </si>
  <si>
    <t>300760283626261100200EUR201905178300538700</t>
  </si>
  <si>
    <t>300760283626261100200EUR201905201075133800</t>
  </si>
  <si>
    <t>300760283626261100200EUR201905201076359300</t>
  </si>
  <si>
    <t>CB 454106 LE NERVIEN  59BAVAY</t>
  </si>
  <si>
    <t>300760283626261100200EUR201905201076359400</t>
  </si>
  <si>
    <t>CB 548222 AUCHAN PETI 59PETITE F</t>
  </si>
  <si>
    <t>300760283626261100200EUR201905210292625500</t>
  </si>
  <si>
    <t>E-VIR SEPA Dessenne porte Leroy</t>
  </si>
  <si>
    <t>300760283626261100200EUR201905211070916400</t>
  </si>
  <si>
    <t>CB 454106 CHEVALIER S 59VALENCIE</t>
  </si>
  <si>
    <t>300760283626261100200EUR201905216314858300</t>
  </si>
  <si>
    <t>FAC. situation 8 DU 10/05/2019LO</t>
  </si>
  <si>
    <t>300760283626261100200EUR201905226336867000</t>
  </si>
  <si>
    <t>PASDSN15052019-042019-7945135310</t>
  </si>
  <si>
    <t>300760283626261100200EUR201905229222488400</t>
  </si>
  <si>
    <t>300760283626261100200EUR201905246317605600</t>
  </si>
  <si>
    <t>remboursement pInalitIs marchI 2</t>
  </si>
  <si>
    <t>300760283626261100200EUR201905246317606100</t>
  </si>
  <si>
    <t>FAC. AF205-4 DU 28/02/2019SIT 4</t>
  </si>
  <si>
    <t>AF264-1 formation paris x2</t>
  </si>
  <si>
    <t>AF262-1 Main courantes Inox Chopin</t>
  </si>
  <si>
    <t>Villeneuve d''ascq</t>
  </si>
  <si>
    <t>AF234-3 Maillard</t>
  </si>
  <si>
    <t>AF196-6 CAPH</t>
  </si>
  <si>
    <t>concept-ty</t>
  </si>
  <si>
    <t>AF263-1 Escalier Prouvy MABEO</t>
  </si>
  <si>
    <t>Sainghin en Melantois</t>
  </si>
  <si>
    <t>AF261-1 Tôles des maires x3</t>
  </si>
  <si>
    <t>AF260-1 Linteaux</t>
  </si>
  <si>
    <t>EIRL Dias vilela</t>
  </si>
  <si>
    <t>F.9318342 visserie</t>
  </si>
  <si>
    <t>F.FAL09225 tôles Inox CAPH</t>
  </si>
  <si>
    <t>F.1905006 Solde Prorata Thery</t>
  </si>
  <si>
    <t xml:space="preserve">F.FA921690 </t>
  </si>
  <si>
    <t>F.T101291 Hevea 33 3panneaux + bois palissade Maillard</t>
  </si>
  <si>
    <t>LK acier métal</t>
  </si>
  <si>
    <t>F.218159 MC InoX chopin</t>
  </si>
  <si>
    <t>SV cloture</t>
  </si>
  <si>
    <t>F.FAC190102 Beton MC Chopin / AUTOLIQUIDATION / Cheque</t>
  </si>
  <si>
    <t>F.FA6432  RDP 128+130+131+133  LCR Total</t>
  </si>
  <si>
    <t>F.FAC1194 marches escalier CAPH</t>
  </si>
  <si>
    <t>F.52679  Local poubelle Maillard</t>
  </si>
  <si>
    <t xml:space="preserve">F.52625 </t>
  </si>
  <si>
    <t>F.919039125</t>
  </si>
  <si>
    <t xml:space="preserve">F.1905005 </t>
  </si>
  <si>
    <t>F.919037371</t>
  </si>
  <si>
    <t>Saint maclou</t>
  </si>
  <si>
    <t>F.CLFAC001706309 protection escalier CAPH</t>
  </si>
  <si>
    <t>F.0511/19  toles noir Saingien + debit/livraison grillage Maillard</t>
  </si>
  <si>
    <t>Shark impression</t>
  </si>
  <si>
    <t>F.001801 Adhésif Pont lumiere salle Harmonie</t>
  </si>
  <si>
    <t>name="no"</t>
  </si>
  <si>
    <t>name="societe"</t>
  </si>
  <si>
    <t>name="pointer"</t>
  </si>
  <si>
    <t>name="datevaleur"</t>
  </si>
  <si>
    <t>name="datecompta"</t>
  </si>
  <si>
    <t>name="compte"</t>
  </si>
  <si>
    <t>name="description"</t>
  </si>
  <si>
    <t>name="valeur"</t>
  </si>
  <si>
    <t>name="tvapct"</t>
  </si>
  <si>
    <t>name="tva"</t>
  </si>
  <si>
    <t>Caquant</t>
  </si>
  <si>
    <t>Concept Ty</t>
  </si>
  <si>
    <t>Saint Maclou</t>
  </si>
  <si>
    <t>Shark Impression</t>
  </si>
  <si>
    <t>Villeneuve d'ascq</t>
  </si>
  <si>
    <t>&lt;Insert&gt;</t>
  </si>
  <si>
    <t>&lt;/Insert&gt;</t>
  </si>
  <si>
    <t>1900/01/00</t>
  </si>
  <si>
    <t>2019/02/06</t>
  </si>
  <si>
    <t>2018/12/01</t>
  </si>
  <si>
    <t>2019/02/12</t>
  </si>
  <si>
    <t>2019/02/18</t>
  </si>
  <si>
    <t>2019/03/14</t>
  </si>
  <si>
    <t>2019/03/19</t>
  </si>
  <si>
    <t>2019/05/15</t>
  </si>
  <si>
    <t>2019/04/30</t>
  </si>
  <si>
    <t>2019/06/30</t>
  </si>
  <si>
    <t>2019/01/15</t>
  </si>
  <si>
    <t>2019/01/01</t>
  </si>
  <si>
    <t>2019/04/15</t>
  </si>
  <si>
    <t>2019/02/01</t>
  </si>
  <si>
    <t>2019/03/29</t>
  </si>
  <si>
    <t>2019/02/28</t>
  </si>
  <si>
    <t>2019/03/05</t>
  </si>
  <si>
    <t>2019/03/01</t>
  </si>
  <si>
    <t>2019/03/30</t>
  </si>
  <si>
    <t>2020/02/28</t>
  </si>
  <si>
    <t>2020/02/01</t>
  </si>
  <si>
    <t>2020/03/31</t>
  </si>
  <si>
    <t>2020/03/01</t>
  </si>
  <si>
    <t>2019/05/30</t>
  </si>
  <si>
    <t>2019/03/11</t>
  </si>
  <si>
    <t>2019/02/04</t>
  </si>
  <si>
    <t>2019/02/20</t>
  </si>
  <si>
    <t>2019/03/12</t>
  </si>
  <si>
    <t>2019/03/13</t>
  </si>
  <si>
    <t>2019/03/18</t>
  </si>
  <si>
    <t>2019/02/15</t>
  </si>
  <si>
    <t>2019/03/15</t>
  </si>
  <si>
    <t>2019/02/25</t>
  </si>
  <si>
    <t>2019/04/01</t>
  </si>
  <si>
    <t>2019/04/10</t>
  </si>
  <si>
    <t>2019/04/14</t>
  </si>
  <si>
    <t>2019/05/10</t>
  </si>
  <si>
    <t>2019/03/28</t>
  </si>
  <si>
    <t>2019/05/07</t>
  </si>
  <si>
    <t>2019/05/13</t>
  </si>
  <si>
    <t>2019/05/17</t>
  </si>
  <si>
    <t>2019/03/31</t>
  </si>
  <si>
    <t>2019/05/12</t>
  </si>
  <si>
    <t>2019/04/13</t>
  </si>
  <si>
    <t>2019/04/24</t>
  </si>
  <si>
    <t>2019/06/15</t>
  </si>
  <si>
    <t>2019/04/04</t>
  </si>
  <si>
    <t>2019/06/10</t>
  </si>
  <si>
    <t>2019/04/11</t>
  </si>
  <si>
    <t>2019/05/31</t>
  </si>
  <si>
    <t>2019/06/14</t>
  </si>
  <si>
    <t>2019/04/16</t>
  </si>
  <si>
    <t>2019/06/16</t>
  </si>
  <si>
    <t>2019/07/10</t>
  </si>
  <si>
    <t>2019/07/15</t>
  </si>
  <si>
    <t>2019/05/16</t>
  </si>
  <si>
    <t>2019/05/19</t>
  </si>
  <si>
    <t>2019/07/30</t>
  </si>
  <si>
    <t>2019/07/08</t>
  </si>
  <si>
    <t>2019/06/24</t>
  </si>
  <si>
    <t>2019/04/25</t>
  </si>
  <si>
    <t>2019/05/06</t>
  </si>
  <si>
    <t>&lt;Valeur name="no"&gt;</t>
  </si>
  <si>
    <t>&lt;Valeur name="banque"&gt;</t>
  </si>
  <si>
    <t>&lt;Valeur name="pointer"&gt;</t>
  </si>
  <si>
    <t>&lt;Valeur name="idbanque"&gt;</t>
  </si>
  <si>
    <t>&lt;Valeur name="datevaleur"&gt;</t>
  </si>
  <si>
    <t>&lt;Valeur name="intitule"&gt;</t>
  </si>
  <si>
    <t>&lt;Valeur name="description"&gt;</t>
  </si>
  <si>
    <t>&lt;Valeur name="compte"&gt;</t>
  </si>
  <si>
    <t>&lt;Valeur name="solde"&gt;</t>
  </si>
  <si>
    <t>&lt;Valeur name="ventiler"&gt;</t>
  </si>
  <si>
    <t>&lt;Valeur name="compta"&gt;</t>
  </si>
  <si>
    <t>&lt;Valeur name="valeur"&gt;</t>
  </si>
  <si>
    <t>2019/02/05</t>
  </si>
  <si>
    <t>2019/02/07</t>
  </si>
  <si>
    <t>2019/02/11</t>
  </si>
  <si>
    <t>2019/02/13</t>
  </si>
  <si>
    <t>2019/02/14</t>
  </si>
  <si>
    <t>2019/02/19</t>
  </si>
  <si>
    <t>2019/02/21</t>
  </si>
  <si>
    <t>2019/02/22</t>
  </si>
  <si>
    <t>2019/02/26</t>
  </si>
  <si>
    <t>2019/02/27</t>
  </si>
  <si>
    <t>2019/03/02</t>
  </si>
  <si>
    <t>2019/03/04</t>
  </si>
  <si>
    <t>2019/03/06</t>
  </si>
  <si>
    <t>2019/03/07</t>
  </si>
  <si>
    <t>2019/03/08</t>
  </si>
  <si>
    <t>2019/03/20</t>
  </si>
  <si>
    <t>2019/03/21</t>
  </si>
  <si>
    <t>2019/03/25</t>
  </si>
  <si>
    <t>2019/03/26</t>
  </si>
  <si>
    <t>2019/03/27</t>
  </si>
  <si>
    <t>2019/04/02</t>
  </si>
  <si>
    <t>2019/04/03</t>
  </si>
  <si>
    <t>2019/04/05</t>
  </si>
  <si>
    <t>2019/04/08</t>
  </si>
  <si>
    <t>2019/04/09</t>
  </si>
  <si>
    <t>2019/04/12</t>
  </si>
  <si>
    <t>2019/04/17</t>
  </si>
  <si>
    <t>2019/04/18</t>
  </si>
  <si>
    <t>2019/04/23</t>
  </si>
  <si>
    <t>2019/04/26</t>
  </si>
  <si>
    <t>2019/04/29</t>
  </si>
  <si>
    <t>2019/05/02</t>
  </si>
  <si>
    <t>2019/05/03</t>
  </si>
  <si>
    <t>2019/05/08</t>
  </si>
  <si>
    <t>2019/05/14</t>
  </si>
  <si>
    <t>2019/05/20</t>
  </si>
  <si>
    <t>2019/05/21</t>
  </si>
  <si>
    <t>2019/05/22</t>
  </si>
  <si>
    <t>2019/05/24</t>
  </si>
  <si>
    <t>&lt;Valeur name="ecriturebanque"&gt;</t>
  </si>
  <si>
    <t>&lt;Valeur name="tvapct"&gt;</t>
  </si>
  <si>
    <t>&lt;Valeur name="tva"&gt;</t>
  </si>
  <si>
    <t>Compta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</si>
</sst>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mmm\ yy"/>
    <numFmt numFmtId="166" formatCode="0.0"/>
    <numFmt numFmtId="167" formatCode="0.00;\-0.00;;"/>
    <numFmt numFmtId="168" formatCode="[$-40C]d\ mmm\ yy;@"/>
    <numFmt numFmtId="169" formatCode="yyyy/mm/dd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164" fontId="1" fillId="0" borderId="0" applyFont="0" applyFill="0" applyBorder="0" applyAlignment="0" applyProtection="0"/>
  </cellStyleXfs>
  <cellXfs count="17">
    <xf numFmtId="0" fontId="0" fillId="0" borderId="0" xfId="0"/>
    <xf numFmtId="14" fontId="0" fillId="0" borderId="0" xfId="0" applyNumberFormat="1"/>
    <xf numFmtId="165" fontId="0" fillId="0" borderId="0" xfId="0" applyNumberFormat="1"/>
    <xf numFmtId="166" fontId="0" fillId="0" borderId="0" xfId="42" applyNumberFormat="1" applyFont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2" fontId="0" fillId="0" borderId="0" xfId="0" applyNumberFormat="1"/>
    <xf numFmtId="167" fontId="0" fillId="0" borderId="0" xfId="42" applyNumberFormat="1" applyFont="1" applyAlignment="1">
      <alignment horizontal="right" vertical="center"/>
    </xf>
    <xf numFmtId="167" fontId="0" fillId="0" borderId="0" xfId="0" applyNumberFormat="1" applyAlignment="1">
      <alignment vertical="center"/>
    </xf>
    <xf numFmtId="168" fontId="0" fillId="0" borderId="0" xfId="0" applyNumberFormat="1"/>
    <xf numFmtId="44" fontId="0" fillId="0" borderId="0" xfId="0" applyNumberFormat="1"/>
    <xf numFmtId="44" fontId="0" fillId="0" borderId="0" xfId="42" applyNumberFormat="1" applyFont="1"/>
    <xf numFmtId="44" fontId="0" fillId="0" borderId="0" xfId="0" applyNumberFormat="1" applyAlignment="1">
      <alignment horizontal="center" vertical="center"/>
    </xf>
    <xf numFmtId="166" fontId="0" fillId="0" borderId="0" xfId="0" applyNumberFormat="1"/>
    <xf numFmtId="0" fontId="0" fillId="0" borderId="0" xfId="0" applyNumberFormat="1"/>
    <xf numFmtId="169" fontId="0" fillId="0" borderId="0" xfId="0" applyNumberFormat="1"/>
    <xf numFmtId="49" fontId="0" fillId="0" borderId="0" xfId="0" applyNumberFormat="1"/>
  </cellXfs>
  <cellStyles count="43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Milliers" xfId="42" builtinId="3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0</xdr:row>
          <xdr:rowOff>133350</xdr:rowOff>
        </xdr:from>
        <xdr:to>
          <xdr:col>3</xdr:col>
          <xdr:colOff>533400</xdr:colOff>
          <xdr:row>3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Importer banque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1B973-59A4-4CED-88F1-193176BD339E}">
  <sheetPr codeName="Feuil7"/>
  <dimension ref="A1:AL351"/>
  <sheetViews>
    <sheetView topLeftCell="E1" zoomScale="85" zoomScaleNormal="85" workbookViewId="0">
      <pane ySplit="1" topLeftCell="A2" activePane="bottomLeft" state="frozen"/>
      <selection activeCell="B1" sqref="B1"/>
      <selection pane="bottomLeft" activeCell="L7" sqref="L7"/>
    </sheetView>
  </sheetViews>
  <sheetFormatPr baseColWidth="10" defaultRowHeight="15" x14ac:dyDescent="0.25"/>
  <cols>
    <col min="1" max="1" width="6.85546875" bestFit="1" customWidth="1"/>
    <col min="2" max="2" width="10.7109375" bestFit="1" customWidth="1"/>
    <col min="3" max="3" width="12" bestFit="1" customWidth="1"/>
    <col min="4" max="4" width="21.7109375" bestFit="1" customWidth="1"/>
    <col min="5" max="5" width="49.5703125" bestFit="1" customWidth="1"/>
    <col min="6" max="6" width="45.140625" bestFit="1" customWidth="1"/>
    <col min="7" max="8" width="12.140625" style="10" bestFit="1" customWidth="1"/>
    <col min="9" max="9" width="11" style="11" bestFit="1" customWidth="1"/>
    <col min="11" max="11" width="21.140625" bestFit="1" customWidth="1"/>
    <col min="12" max="12" width="32.42578125" bestFit="1" customWidth="1"/>
    <col min="13" max="13" width="28.85546875" style="16" bestFit="1" customWidth="1"/>
    <col min="14" max="14" width="25.85546875" bestFit="1" customWidth="1"/>
    <col min="15" max="15" width="79.140625" bestFit="1" customWidth="1"/>
    <col min="16" max="16" width="23.7109375" style="14" bestFit="1" customWidth="1"/>
    <col min="17" max="25" width="23.7109375" style="14" customWidth="1"/>
    <col min="26" max="33" width="12.42578125" customWidth="1"/>
    <col min="34" max="34" width="46.85546875" bestFit="1" customWidth="1"/>
    <col min="35" max="35" width="20.42578125" bestFit="1" customWidth="1"/>
  </cols>
  <sheetData>
    <row r="1" spans="1:38" x14ac:dyDescent="0.25">
      <c r="A1" t="s">
        <v>250</v>
      </c>
      <c r="B1" t="s">
        <v>990</v>
      </c>
      <c r="C1" s="1" t="s">
        <v>0</v>
      </c>
      <c r="D1" t="s">
        <v>2</v>
      </c>
      <c r="E1" t="s">
        <v>251</v>
      </c>
      <c r="F1" t="s">
        <v>252</v>
      </c>
      <c r="G1" s="10" t="s">
        <v>3</v>
      </c>
      <c r="H1" s="10" t="s">
        <v>4</v>
      </c>
      <c r="I1" s="11" t="s">
        <v>272</v>
      </c>
      <c r="K1" t="s">
        <v>936</v>
      </c>
      <c r="L1" t="s">
        <v>987</v>
      </c>
      <c r="M1" s="16" t="s">
        <v>940</v>
      </c>
      <c r="N1" t="s">
        <v>943</v>
      </c>
      <c r="O1" t="s">
        <v>942</v>
      </c>
      <c r="P1" t="s">
        <v>947</v>
      </c>
      <c r="Q1" t="s">
        <v>946</v>
      </c>
      <c r="R1" t="s">
        <v>988</v>
      </c>
      <c r="S1" s="14" t="s">
        <v>989</v>
      </c>
    </row>
    <row r="2" spans="1:38" x14ac:dyDescent="0.25">
      <c r="A2">
        <v>1</v>
      </c>
      <c r="B2">
        <f>IF(A2&lt;&gt;"",VLOOKUP(A2,Banque!B:D,3,FALSE),1)</f>
        <v>1</v>
      </c>
      <c r="C2" s="1">
        <v>43497</v>
      </c>
      <c r="D2" t="s">
        <v>254</v>
      </c>
      <c r="E2" t="s">
        <v>531</v>
      </c>
      <c r="G2" s="10">
        <v>22</v>
      </c>
      <c r="I2" s="11">
        <f t="shared" ref="I2:I62" si="0">IF(G2&gt;0,G2-(G2/TVA),-(H2-(H2/TVA)))</f>
        <v>3.6666666666666643</v>
      </c>
      <c r="K2">
        <v>1</v>
      </c>
      <c r="L2">
        <v>1</v>
      </c>
      <c r="M2" s="16" t="s">
        <v>887</v>
      </c>
      <c r="N2">
        <f>IFERROR(VLOOKUP(D2,tab!A:B,2,FALSE),1)</f>
        <v>27</v>
      </c>
      <c r="O2" t="str">
        <f t="shared" ref="O2:O65" si="1">E2&amp;IF(ISBLANK(F2),""," / "&amp;F2)</f>
        <v> CB 454106 GERSTEP 59WASQUEHA LE 3101</v>
      </c>
      <c r="P2" s="14">
        <f t="shared" ref="P2:P65" si="2">SUM(G2:H2)</f>
        <v>22</v>
      </c>
      <c r="Q2" s="14">
        <f t="shared" ref="Q2:Q65" si="3">B2</f>
        <v>1</v>
      </c>
      <c r="R2" s="14">
        <v>20</v>
      </c>
      <c r="S2" s="14">
        <f t="shared" ref="S2:S65" si="4">I2</f>
        <v>3.6666666666666643</v>
      </c>
      <c r="Z2" t="str">
        <f t="shared" ref="Z2:Z65" si="5">IF(ISBLANK($K2),"",K$1&amp;K2&amp;"&lt;/Valeur&gt;")</f>
        <v>&lt;Valeur name="no"&gt;1&lt;/Valeur&gt;</v>
      </c>
      <c r="AA2" t="str">
        <f t="shared" ref="AA2:AA65" si="6">IF(ISBLANK($K2),"",L$1&amp;L2&amp;"&lt;/Valeur&gt;")</f>
        <v>&lt;Valeur name="ecriturebanque"&gt;1&lt;/Valeur&gt;</v>
      </c>
      <c r="AB2" t="str">
        <f t="shared" ref="AB2:AB65" si="7">IF(ISBLANK($K2),"",M$1&amp;M2&amp;"&lt;/Valeur&gt;")</f>
        <v>&lt;Valeur name="datevaleur"&gt;2019/02/01&lt;/Valeur&gt;</v>
      </c>
      <c r="AC2" t="str">
        <f t="shared" ref="AC2:AC65" si="8">IF(ISBLANK($K2),"",N$1&amp;N2&amp;"&lt;/Valeur&gt;")</f>
        <v>&lt;Valeur name="compte"&gt;27&lt;/Valeur&gt;</v>
      </c>
      <c r="AD2" t="str">
        <f t="shared" ref="AD2:AD65" si="9">IF(ISBLANK($K2),"",O$1&amp;O2&amp;"&lt;/Valeur&gt;")</f>
        <v>&lt;Valeur name="description"&gt; CB 454106 GERSTEP 59WASQUEHA LE 3101&lt;/Valeur&gt;</v>
      </c>
      <c r="AE2" t="str">
        <f t="shared" ref="AE2:AE65" si="10">IF(ISBLANK($K2),"",P$1&amp;P2&amp;"&lt;/Valeur&gt;")</f>
        <v>&lt;Valeur name="valeur"&gt;22&lt;/Valeur&gt;</v>
      </c>
      <c r="AF2" t="str">
        <f t="shared" ref="AF2:AF65" si="11">IF(ISBLANK($K2),"",Q$1&amp;Q2&amp;"&lt;/Valeur&gt;")</f>
        <v>&lt;Valeur name="compta"&gt;1&lt;/Valeur&gt;</v>
      </c>
      <c r="AG2" t="str">
        <f t="shared" ref="AG2:AG65" si="12">IF(ISBLANK($K2),"",R$1&amp;R2&amp;"&lt;/Valeur&gt;")</f>
        <v>&lt;Valeur name="tvapct"&gt;20&lt;/Valeur&gt;</v>
      </c>
      <c r="AH2" t="str">
        <f t="shared" ref="AH2:AH65" si="13">IF(ISBLANK($K2),"",S$1&amp;S2&amp;"&lt;/Valeur&gt;")</f>
        <v>&lt;Valeur name="tva"&gt;3.66666666666666&lt;/Valeur&gt;</v>
      </c>
      <c r="AL2" t="str">
        <f>IF(ISBLANK(M2),"",CONCATENATE("&lt;Insert&gt;",Z2,AA2,AB2,AC2,AD2,AE2,AF2,AG2,AH2,"&lt;/Insert&gt;"))</f>
        <v>&lt;Insert&gt;&lt;Valeur name="no"&gt;1&lt;/Valeur&gt;&lt;Valeur name="ecriturebanque"&gt;1&lt;/Valeur&gt;&lt;Valeur name="datevaleur"&gt;2019/02/01&lt;/Valeur&gt;&lt;Valeur name="compte"&gt;27&lt;/Valeur&gt;&lt;Valeur name="description"&gt; CB 454106 GERSTEP 59WASQUEHA LE 3101&lt;/Valeur&gt;&lt;Valeur name="valeur"&gt;22&lt;/Valeur&gt;&lt;Valeur name="compta"&gt;1&lt;/Valeur&gt;&lt;Valeur name="tvapct"&gt;20&lt;/Valeur&gt;&lt;Valeur name="tva"&gt;3.66666666666666&lt;/Valeur&gt;&lt;/Insert&gt;</v>
      </c>
    </row>
    <row r="3" spans="1:38" x14ac:dyDescent="0.25">
      <c r="A3">
        <v>2</v>
      </c>
      <c r="B3">
        <f>IF(A3&lt;&gt;"",VLOOKUP(A3,Banque!B:D,3,FALSE),1)</f>
        <v>1</v>
      </c>
      <c r="C3" s="1">
        <v>43500</v>
      </c>
      <c r="D3" t="s">
        <v>257</v>
      </c>
      <c r="E3" t="s">
        <v>527</v>
      </c>
      <c r="G3" s="10">
        <v>9.6999999999999993</v>
      </c>
      <c r="I3" s="11">
        <f t="shared" si="0"/>
        <v>1.6166666666666654</v>
      </c>
      <c r="K3">
        <v>2</v>
      </c>
      <c r="L3">
        <v>2</v>
      </c>
      <c r="M3" s="16" t="s">
        <v>899</v>
      </c>
      <c r="N3">
        <f>IFERROR(VLOOKUP(D3,tab!A:B,2,FALSE),1)</f>
        <v>18</v>
      </c>
      <c r="O3" t="str">
        <f t="shared" si="1"/>
        <v> COMMISSION D'INTERVENTION</v>
      </c>
      <c r="P3" s="14">
        <f t="shared" si="2"/>
        <v>9.6999999999999993</v>
      </c>
      <c r="Q3" s="14">
        <f t="shared" si="3"/>
        <v>1</v>
      </c>
      <c r="R3" s="14">
        <v>20</v>
      </c>
      <c r="S3" s="14">
        <f t="shared" si="4"/>
        <v>1.6166666666666654</v>
      </c>
      <c r="Z3" t="str">
        <f t="shared" si="5"/>
        <v>&lt;Valeur name="no"&gt;2&lt;/Valeur&gt;</v>
      </c>
      <c r="AA3" t="str">
        <f t="shared" si="6"/>
        <v>&lt;Valeur name="ecriturebanque"&gt;2&lt;/Valeur&gt;</v>
      </c>
      <c r="AB3" t="str">
        <f t="shared" si="7"/>
        <v>&lt;Valeur name="datevaleur"&gt;2019/02/04&lt;/Valeur&gt;</v>
      </c>
      <c r="AC3" t="str">
        <f t="shared" si="8"/>
        <v>&lt;Valeur name="compte"&gt;18&lt;/Valeur&gt;</v>
      </c>
      <c r="AD3" t="str">
        <f t="shared" si="9"/>
        <v>&lt;Valeur name="description"&gt; COMMISSION D'INTERVENTION&lt;/Valeur&gt;</v>
      </c>
      <c r="AE3" t="str">
        <f t="shared" si="10"/>
        <v>&lt;Valeur name="valeur"&gt;9.7&lt;/Valeur&gt;</v>
      </c>
      <c r="AF3" t="str">
        <f t="shared" si="11"/>
        <v>&lt;Valeur name="compta"&gt;1&lt;/Valeur&gt;</v>
      </c>
      <c r="AG3" t="str">
        <f t="shared" si="12"/>
        <v>&lt;Valeur name="tvapct"&gt;20&lt;/Valeur&gt;</v>
      </c>
      <c r="AH3" t="str">
        <f t="shared" si="13"/>
        <v>&lt;Valeur name="tva"&gt;1.61666666666667&lt;/Valeur&gt;</v>
      </c>
      <c r="AL3" t="str">
        <f t="shared" ref="AL3:AL66" si="14">IF(ISBLANK(M3),"",CONCATENATE("&lt;Insert&gt;",Z3,AA3,AB3,AC3,AD3,AE3,AF3,AG3,AH3,"&lt;/Insert&gt;"))</f>
        <v>&lt;Insert&gt;&lt;Valeur name="no"&gt;2&lt;/Valeur&gt;&lt;Valeur name="ecriturebanque"&gt;2&lt;/Valeur&gt;&lt;Valeur name="datevaleur"&gt;2019/02/04&lt;/Valeur&gt;&lt;Valeur name="compte"&gt;18&lt;/Valeur&gt;&lt;Valeur name="description"&gt; COMMISSION D'INTERVENTION&lt;/Valeur&gt;&lt;Valeur name="valeur"&gt;9.7&lt;/Valeur&gt;&lt;Valeur name="compta"&gt;1&lt;/Valeur&gt;&lt;Valeur name="tvapct"&gt;20&lt;/Valeur&gt;&lt;Valeur name="tva"&gt;1.61666666666667&lt;/Valeur&gt;&lt;/Insert&gt;</v>
      </c>
    </row>
    <row r="4" spans="1:38" x14ac:dyDescent="0.25">
      <c r="A4">
        <v>3</v>
      </c>
      <c r="B4">
        <f>IF(A4&lt;&gt;"",VLOOKUP(A4,Banque!B:D,3,FALSE),1)</f>
        <v>1</v>
      </c>
      <c r="C4" s="1">
        <v>43500</v>
      </c>
      <c r="D4" t="s">
        <v>254</v>
      </c>
      <c r="E4" t="s">
        <v>528</v>
      </c>
      <c r="G4" s="10">
        <v>22.55</v>
      </c>
      <c r="I4" s="11">
        <f t="shared" si="0"/>
        <v>3.7583333333333329</v>
      </c>
      <c r="K4">
        <v>3</v>
      </c>
      <c r="L4">
        <v>3</v>
      </c>
      <c r="M4" s="16" t="s">
        <v>899</v>
      </c>
      <c r="N4">
        <f>IFERROR(VLOOKUP(D4,tab!A:B,2,FALSE),1)</f>
        <v>27</v>
      </c>
      <c r="O4" t="str">
        <f t="shared" si="1"/>
        <v> CB 454106 BURGER KING 59PETITE F LE 0102</v>
      </c>
      <c r="P4" s="14">
        <f t="shared" si="2"/>
        <v>22.55</v>
      </c>
      <c r="Q4" s="14">
        <f t="shared" si="3"/>
        <v>1</v>
      </c>
      <c r="R4" s="14">
        <v>20</v>
      </c>
      <c r="S4" s="14">
        <f t="shared" si="4"/>
        <v>3.7583333333333329</v>
      </c>
      <c r="Z4" t="str">
        <f t="shared" si="5"/>
        <v>&lt;Valeur name="no"&gt;3&lt;/Valeur&gt;</v>
      </c>
      <c r="AA4" t="str">
        <f t="shared" si="6"/>
        <v>&lt;Valeur name="ecriturebanque"&gt;3&lt;/Valeur&gt;</v>
      </c>
      <c r="AB4" t="str">
        <f t="shared" si="7"/>
        <v>&lt;Valeur name="datevaleur"&gt;2019/02/04&lt;/Valeur&gt;</v>
      </c>
      <c r="AC4" t="str">
        <f t="shared" si="8"/>
        <v>&lt;Valeur name="compte"&gt;27&lt;/Valeur&gt;</v>
      </c>
      <c r="AD4" t="str">
        <f t="shared" si="9"/>
        <v>&lt;Valeur name="description"&gt; CB 454106 BURGER KING 59PETITE F LE 0102&lt;/Valeur&gt;</v>
      </c>
      <c r="AE4" t="str">
        <f t="shared" si="10"/>
        <v>&lt;Valeur name="valeur"&gt;22.55&lt;/Valeur&gt;</v>
      </c>
      <c r="AF4" t="str">
        <f t="shared" si="11"/>
        <v>&lt;Valeur name="compta"&gt;1&lt;/Valeur&gt;</v>
      </c>
      <c r="AG4" t="str">
        <f t="shared" si="12"/>
        <v>&lt;Valeur name="tvapct"&gt;20&lt;/Valeur&gt;</v>
      </c>
      <c r="AH4" t="str">
        <f t="shared" si="13"/>
        <v>&lt;Valeur name="tva"&gt;3.75833333333333&lt;/Valeur&gt;</v>
      </c>
      <c r="AL4" t="str">
        <f t="shared" si="14"/>
        <v>&lt;Insert&gt;&lt;Valeur name="no"&gt;3&lt;/Valeur&gt;&lt;Valeur name="ecriturebanque"&gt;3&lt;/Valeur&gt;&lt;Valeur name="datevaleur"&gt;2019/02/04&lt;/Valeur&gt;&lt;Valeur name="compte"&gt;27&lt;/Valeur&gt;&lt;Valeur name="description"&gt; CB 454106 BURGER KING 59PETITE F LE 0102&lt;/Valeur&gt;&lt;Valeur name="valeur"&gt;22.55&lt;/Valeur&gt;&lt;Valeur name="compta"&gt;1&lt;/Valeur&gt;&lt;Valeur name="tvapct"&gt;20&lt;/Valeur&gt;&lt;Valeur name="tva"&gt;3.75833333333333&lt;/Valeur&gt;&lt;/Insert&gt;</v>
      </c>
    </row>
    <row r="5" spans="1:38" x14ac:dyDescent="0.25">
      <c r="A5">
        <v>4</v>
      </c>
      <c r="B5">
        <f>IF(A5&lt;&gt;"",VLOOKUP(A5,Banque!B:D,3,FALSE),1)</f>
        <v>1</v>
      </c>
      <c r="C5" s="1">
        <v>43500</v>
      </c>
      <c r="D5" t="s">
        <v>253</v>
      </c>
      <c r="E5" t="s">
        <v>529</v>
      </c>
      <c r="G5" s="10">
        <v>78.78</v>
      </c>
      <c r="I5" s="11">
        <f t="shared" si="0"/>
        <v>13.129999999999995</v>
      </c>
      <c r="K5">
        <v>4</v>
      </c>
      <c r="L5">
        <v>4</v>
      </c>
      <c r="M5" s="16" t="s">
        <v>899</v>
      </c>
      <c r="N5">
        <f>IFERROR(VLOOKUP(D5,tab!A:B,2,FALSE),1)</f>
        <v>13</v>
      </c>
      <c r="O5" t="str">
        <f t="shared" si="1"/>
        <v> CB 454106 CARREFOUR D 59AULNOY L LE 0202</v>
      </c>
      <c r="P5" s="14">
        <f t="shared" si="2"/>
        <v>78.78</v>
      </c>
      <c r="Q5" s="14">
        <f t="shared" si="3"/>
        <v>1</v>
      </c>
      <c r="R5" s="14">
        <v>20</v>
      </c>
      <c r="S5" s="14">
        <f t="shared" si="4"/>
        <v>13.129999999999995</v>
      </c>
      <c r="Z5" t="str">
        <f t="shared" si="5"/>
        <v>&lt;Valeur name="no"&gt;4&lt;/Valeur&gt;</v>
      </c>
      <c r="AA5" t="str">
        <f t="shared" si="6"/>
        <v>&lt;Valeur name="ecriturebanque"&gt;4&lt;/Valeur&gt;</v>
      </c>
      <c r="AB5" t="str">
        <f t="shared" si="7"/>
        <v>&lt;Valeur name="datevaleur"&gt;2019/02/04&lt;/Valeur&gt;</v>
      </c>
      <c r="AC5" t="str">
        <f t="shared" si="8"/>
        <v>&lt;Valeur name="compte"&gt;13&lt;/Valeur&gt;</v>
      </c>
      <c r="AD5" t="str">
        <f t="shared" si="9"/>
        <v>&lt;Valeur name="description"&gt; CB 454106 CARREFOUR D 59AULNOY L LE 0202&lt;/Valeur&gt;</v>
      </c>
      <c r="AE5" t="str">
        <f t="shared" si="10"/>
        <v>&lt;Valeur name="valeur"&gt;78.78&lt;/Valeur&gt;</v>
      </c>
      <c r="AF5" t="str">
        <f t="shared" si="11"/>
        <v>&lt;Valeur name="compta"&gt;1&lt;/Valeur&gt;</v>
      </c>
      <c r="AG5" t="str">
        <f t="shared" si="12"/>
        <v>&lt;Valeur name="tvapct"&gt;20&lt;/Valeur&gt;</v>
      </c>
      <c r="AH5" t="str">
        <f t="shared" si="13"/>
        <v>&lt;Valeur name="tva"&gt;13.13&lt;/Valeur&gt;</v>
      </c>
      <c r="AL5" t="str">
        <f t="shared" si="14"/>
        <v>&lt;Insert&gt;&lt;Valeur name="no"&gt;4&lt;/Valeur&gt;&lt;Valeur name="ecriturebanque"&gt;4&lt;/Valeur&gt;&lt;Valeur name="datevaleur"&gt;2019/02/04&lt;/Valeur&gt;&lt;Valeur name="compte"&gt;13&lt;/Valeur&gt;&lt;Valeur name="description"&gt; CB 454106 CARREFOUR D 59AULNOY L LE 0202&lt;/Valeur&gt;&lt;Valeur name="valeur"&gt;78.78&lt;/Valeur&gt;&lt;Valeur name="compta"&gt;1&lt;/Valeur&gt;&lt;Valeur name="tvapct"&gt;20&lt;/Valeur&gt;&lt;Valeur name="tva"&gt;13.13&lt;/Valeur&gt;&lt;/Insert&gt;</v>
      </c>
    </row>
    <row r="6" spans="1:38" x14ac:dyDescent="0.25">
      <c r="B6">
        <f>IF(A6&lt;&gt;"",VLOOKUP(A6,Banque!B:D,3,FALSE),1)</f>
        <v>1</v>
      </c>
      <c r="C6" s="1">
        <v>43500</v>
      </c>
      <c r="D6" t="s">
        <v>535</v>
      </c>
      <c r="G6" s="10">
        <v>10487.7</v>
      </c>
      <c r="I6" s="11">
        <f t="shared" si="0"/>
        <v>1747.9499999999989</v>
      </c>
      <c r="K6">
        <v>5</v>
      </c>
      <c r="L6">
        <v>5</v>
      </c>
      <c r="M6" s="16" t="s">
        <v>899</v>
      </c>
      <c r="N6">
        <f>IFERROR(VLOOKUP(D6,tab!A:B,2,FALSE),1)</f>
        <v>110</v>
      </c>
      <c r="O6" t="str">
        <f t="shared" si="1"/>
        <v/>
      </c>
      <c r="P6" s="14">
        <f t="shared" si="2"/>
        <v>10487.7</v>
      </c>
      <c r="Q6" s="14">
        <f t="shared" si="3"/>
        <v>1</v>
      </c>
      <c r="R6" s="14">
        <v>20</v>
      </c>
      <c r="S6" s="14">
        <f t="shared" si="4"/>
        <v>1747.9499999999989</v>
      </c>
      <c r="Z6" t="str">
        <f t="shared" si="5"/>
        <v>&lt;Valeur name="no"&gt;5&lt;/Valeur&gt;</v>
      </c>
      <c r="AA6" t="str">
        <f t="shared" si="6"/>
        <v>&lt;Valeur name="ecriturebanque"&gt;5&lt;/Valeur&gt;</v>
      </c>
      <c r="AB6" t="str">
        <f t="shared" si="7"/>
        <v>&lt;Valeur name="datevaleur"&gt;2019/02/04&lt;/Valeur&gt;</v>
      </c>
      <c r="AC6" t="str">
        <f t="shared" si="8"/>
        <v>&lt;Valeur name="compte"&gt;110&lt;/Valeur&gt;</v>
      </c>
      <c r="AD6" t="str">
        <f t="shared" si="9"/>
        <v>&lt;Valeur name="description"&gt;&lt;/Valeur&gt;</v>
      </c>
      <c r="AE6" t="str">
        <f t="shared" si="10"/>
        <v>&lt;Valeur name="valeur"&gt;10487.7&lt;/Valeur&gt;</v>
      </c>
      <c r="AF6" t="str">
        <f t="shared" si="11"/>
        <v>&lt;Valeur name="compta"&gt;1&lt;/Valeur&gt;</v>
      </c>
      <c r="AG6" t="str">
        <f t="shared" si="12"/>
        <v>&lt;Valeur name="tvapct"&gt;20&lt;/Valeur&gt;</v>
      </c>
      <c r="AH6" t="str">
        <f t="shared" si="13"/>
        <v>&lt;Valeur name="tva"&gt;1747.95&lt;/Valeur&gt;</v>
      </c>
      <c r="AL6" t="str">
        <f t="shared" si="14"/>
        <v>&lt;Insert&gt;&lt;Valeur name="no"&gt;5&lt;/Valeur&gt;&lt;Valeur name="ecriturebanque"&gt;5&lt;/Valeur&gt;&lt;Valeur name="datevaleur"&gt;2019/02/04&lt;/Valeur&gt;&lt;Valeur name="compte"&gt;110&lt;/Valeur&gt;&lt;Valeur name="description"&gt;&lt;/Valeur&gt;&lt;Valeur name="valeur"&gt;10487.7&lt;/Valeur&gt;&lt;Valeur name="compta"&gt;1&lt;/Valeur&gt;&lt;Valeur name="tvapct"&gt;20&lt;/Valeur&gt;&lt;Valeur name="tva"&gt;1747.95&lt;/Valeur&gt;&lt;/Insert&gt;</v>
      </c>
    </row>
    <row r="7" spans="1:38" x14ac:dyDescent="0.25">
      <c r="B7">
        <f>IF(A7&lt;&gt;"",VLOOKUP(A7,Banque!B:D,3,FALSE),1)</f>
        <v>1</v>
      </c>
      <c r="C7" s="1">
        <v>43500</v>
      </c>
      <c r="D7" t="s">
        <v>277</v>
      </c>
      <c r="G7" s="10">
        <v>307.69</v>
      </c>
      <c r="I7" s="11">
        <f t="shared" si="0"/>
        <v>51.281666666666638</v>
      </c>
      <c r="K7">
        <v>6</v>
      </c>
      <c r="L7">
        <v>5</v>
      </c>
      <c r="M7" s="16" t="s">
        <v>899</v>
      </c>
      <c r="N7">
        <f>IFERROR(VLOOKUP(D7,tab!A:B,2,FALSE),1)</f>
        <v>62</v>
      </c>
      <c r="O7" t="str">
        <f t="shared" si="1"/>
        <v/>
      </c>
      <c r="P7" s="14">
        <f t="shared" si="2"/>
        <v>307.69</v>
      </c>
      <c r="Q7" s="14">
        <f t="shared" si="3"/>
        <v>1</v>
      </c>
      <c r="R7" s="14">
        <v>20</v>
      </c>
      <c r="S7" s="14">
        <f t="shared" si="4"/>
        <v>51.281666666666638</v>
      </c>
      <c r="Z7" t="str">
        <f t="shared" si="5"/>
        <v>&lt;Valeur name="no"&gt;6&lt;/Valeur&gt;</v>
      </c>
      <c r="AA7" t="str">
        <f t="shared" si="6"/>
        <v>&lt;Valeur name="ecriturebanque"&gt;5&lt;/Valeur&gt;</v>
      </c>
      <c r="AB7" t="str">
        <f t="shared" si="7"/>
        <v>&lt;Valeur name="datevaleur"&gt;2019/02/04&lt;/Valeur&gt;</v>
      </c>
      <c r="AC7" t="str">
        <f t="shared" si="8"/>
        <v>&lt;Valeur name="compte"&gt;62&lt;/Valeur&gt;</v>
      </c>
      <c r="AD7" t="str">
        <f t="shared" si="9"/>
        <v>&lt;Valeur name="description"&gt;&lt;/Valeur&gt;</v>
      </c>
      <c r="AE7" t="str">
        <f t="shared" si="10"/>
        <v>&lt;Valeur name="valeur"&gt;307.69&lt;/Valeur&gt;</v>
      </c>
      <c r="AF7" t="str">
        <f t="shared" si="11"/>
        <v>&lt;Valeur name="compta"&gt;1&lt;/Valeur&gt;</v>
      </c>
      <c r="AG7" t="str">
        <f t="shared" si="12"/>
        <v>&lt;Valeur name="tvapct"&gt;20&lt;/Valeur&gt;</v>
      </c>
      <c r="AH7" t="str">
        <f t="shared" si="13"/>
        <v>&lt;Valeur name="tva"&gt;51.2816666666666&lt;/Valeur&gt;</v>
      </c>
      <c r="AL7" t="str">
        <f t="shared" si="14"/>
        <v>&lt;Insert&gt;&lt;Valeur name="no"&gt;6&lt;/Valeur&gt;&lt;Valeur name="ecriturebanque"&gt;5&lt;/Valeur&gt;&lt;Valeur name="datevaleur"&gt;2019/02/04&lt;/Valeur&gt;&lt;Valeur name="compte"&gt;62&lt;/Valeur&gt;&lt;Valeur name="description"&gt;&lt;/Valeur&gt;&lt;Valeur name="valeur"&gt;307.69&lt;/Valeur&gt;&lt;Valeur name="compta"&gt;1&lt;/Valeur&gt;&lt;Valeur name="tvapct"&gt;20&lt;/Valeur&gt;&lt;Valeur name="tva"&gt;51.2816666666666&lt;/Valeur&gt;&lt;/Insert&gt;</v>
      </c>
    </row>
    <row r="8" spans="1:38" x14ac:dyDescent="0.25">
      <c r="A8">
        <v>6</v>
      </c>
      <c r="B8">
        <f>IF(A8&lt;&gt;"",VLOOKUP(A8,Banque!B:D,3,FALSE),1)</f>
        <v>1</v>
      </c>
      <c r="C8" s="1">
        <v>43501</v>
      </c>
      <c r="D8" t="s">
        <v>256</v>
      </c>
      <c r="E8" t="s">
        <v>524</v>
      </c>
      <c r="G8" s="10">
        <v>639.03</v>
      </c>
      <c r="I8" s="11">
        <f t="shared" si="0"/>
        <v>106.505</v>
      </c>
      <c r="K8">
        <v>7</v>
      </c>
      <c r="L8">
        <v>6</v>
      </c>
      <c r="M8" s="16" t="s">
        <v>948</v>
      </c>
      <c r="N8">
        <f>IFERROR(VLOOKUP(D8,tab!A:B,2,FALSE),1)</f>
        <v>28</v>
      </c>
      <c r="O8" t="str">
        <f t="shared" si="1"/>
        <v> VIR SEPA SALAIRE MR ELOI GOURNAY</v>
      </c>
      <c r="P8" s="14">
        <f t="shared" si="2"/>
        <v>639.03</v>
      </c>
      <c r="Q8" s="14">
        <f t="shared" si="3"/>
        <v>1</v>
      </c>
      <c r="R8" s="14">
        <v>20</v>
      </c>
      <c r="S8" s="14">
        <f t="shared" si="4"/>
        <v>106.505</v>
      </c>
      <c r="Z8" t="str">
        <f t="shared" si="5"/>
        <v>&lt;Valeur name="no"&gt;7&lt;/Valeur&gt;</v>
      </c>
      <c r="AA8" t="str">
        <f t="shared" si="6"/>
        <v>&lt;Valeur name="ecriturebanque"&gt;6&lt;/Valeur&gt;</v>
      </c>
      <c r="AB8" t="str">
        <f t="shared" si="7"/>
        <v>&lt;Valeur name="datevaleur"&gt;2019/02/05&lt;/Valeur&gt;</v>
      </c>
      <c r="AC8" t="str">
        <f t="shared" si="8"/>
        <v>&lt;Valeur name="compte"&gt;28&lt;/Valeur&gt;</v>
      </c>
      <c r="AD8" t="str">
        <f t="shared" si="9"/>
        <v>&lt;Valeur name="description"&gt; VIR SEPA SALAIRE MR ELOI GOURNAY&lt;/Valeur&gt;</v>
      </c>
      <c r="AE8" t="str">
        <f t="shared" si="10"/>
        <v>&lt;Valeur name="valeur"&gt;639.03&lt;/Valeur&gt;</v>
      </c>
      <c r="AF8" t="str">
        <f t="shared" si="11"/>
        <v>&lt;Valeur name="compta"&gt;1&lt;/Valeur&gt;</v>
      </c>
      <c r="AG8" t="str">
        <f t="shared" si="12"/>
        <v>&lt;Valeur name="tvapct"&gt;20&lt;/Valeur&gt;</v>
      </c>
      <c r="AH8" t="str">
        <f t="shared" si="13"/>
        <v>&lt;Valeur name="tva"&gt;106.505&lt;/Valeur&gt;</v>
      </c>
      <c r="AL8" t="str">
        <f t="shared" si="14"/>
        <v>&lt;Insert&gt;&lt;Valeur name="no"&gt;7&lt;/Valeur&gt;&lt;Valeur name="ecriturebanque"&gt;6&lt;/Valeur&gt;&lt;Valeur name="datevaleur"&gt;2019/02/05&lt;/Valeur&gt;&lt;Valeur name="compte"&gt;28&lt;/Valeur&gt;&lt;Valeur name="description"&gt; VIR SEPA SALAIRE MR ELOI GOURNAY&lt;/Valeur&gt;&lt;Valeur name="valeur"&gt;639.03&lt;/Valeur&gt;&lt;Valeur name="compta"&gt;1&lt;/Valeur&gt;&lt;Valeur name="tvapct"&gt;20&lt;/Valeur&gt;&lt;Valeur name="tva"&gt;106.505&lt;/Valeur&gt;&lt;/Insert&gt;</v>
      </c>
    </row>
    <row r="9" spans="1:38" x14ac:dyDescent="0.25">
      <c r="A9">
        <v>7</v>
      </c>
      <c r="B9">
        <f>IF(A9&lt;&gt;"",VLOOKUP(A9,Banque!B:D,3,FALSE),1)</f>
        <v>1</v>
      </c>
      <c r="C9" s="1">
        <v>43501</v>
      </c>
      <c r="D9" t="s">
        <v>256</v>
      </c>
      <c r="E9" t="s">
        <v>525</v>
      </c>
      <c r="G9" s="10">
        <v>1141.1400000000001</v>
      </c>
      <c r="I9" s="11">
        <f t="shared" si="0"/>
        <v>190.18999999999994</v>
      </c>
      <c r="K9">
        <v>8</v>
      </c>
      <c r="L9">
        <v>7</v>
      </c>
      <c r="M9" s="16" t="s">
        <v>948</v>
      </c>
      <c r="N9">
        <f>IFERROR(VLOOKUP(D9,tab!A:B,2,FALSE),1)</f>
        <v>28</v>
      </c>
      <c r="O9" t="str">
        <f t="shared" si="1"/>
        <v> VIR SEPA SALAIRE MAXIME LEFORT</v>
      </c>
      <c r="P9" s="14">
        <f t="shared" si="2"/>
        <v>1141.1400000000001</v>
      </c>
      <c r="Q9" s="14">
        <f t="shared" si="3"/>
        <v>1</v>
      </c>
      <c r="R9" s="14">
        <v>20</v>
      </c>
      <c r="S9" s="14">
        <f t="shared" si="4"/>
        <v>190.18999999999994</v>
      </c>
      <c r="Z9" t="str">
        <f t="shared" si="5"/>
        <v>&lt;Valeur name="no"&gt;8&lt;/Valeur&gt;</v>
      </c>
      <c r="AA9" t="str">
        <f t="shared" si="6"/>
        <v>&lt;Valeur name="ecriturebanque"&gt;7&lt;/Valeur&gt;</v>
      </c>
      <c r="AB9" t="str">
        <f t="shared" si="7"/>
        <v>&lt;Valeur name="datevaleur"&gt;2019/02/05&lt;/Valeur&gt;</v>
      </c>
      <c r="AC9" t="str">
        <f t="shared" si="8"/>
        <v>&lt;Valeur name="compte"&gt;28&lt;/Valeur&gt;</v>
      </c>
      <c r="AD9" t="str">
        <f t="shared" si="9"/>
        <v>&lt;Valeur name="description"&gt; VIR SEPA SALAIRE MAXIME LEFORT&lt;/Valeur&gt;</v>
      </c>
      <c r="AE9" t="str">
        <f t="shared" si="10"/>
        <v>&lt;Valeur name="valeur"&gt;1141.14&lt;/Valeur&gt;</v>
      </c>
      <c r="AF9" t="str">
        <f t="shared" si="11"/>
        <v>&lt;Valeur name="compta"&gt;1&lt;/Valeur&gt;</v>
      </c>
      <c r="AG9" t="str">
        <f t="shared" si="12"/>
        <v>&lt;Valeur name="tvapct"&gt;20&lt;/Valeur&gt;</v>
      </c>
      <c r="AH9" t="str">
        <f t="shared" si="13"/>
        <v>&lt;Valeur name="tva"&gt;190.19&lt;/Valeur&gt;</v>
      </c>
      <c r="AL9" t="str">
        <f t="shared" si="14"/>
        <v>&lt;Insert&gt;&lt;Valeur name="no"&gt;8&lt;/Valeur&gt;&lt;Valeur name="ecriturebanque"&gt;7&lt;/Valeur&gt;&lt;Valeur name="datevaleur"&gt;2019/02/05&lt;/Valeur&gt;&lt;Valeur name="compte"&gt;28&lt;/Valeur&gt;&lt;Valeur name="description"&gt; VIR SEPA SALAIRE MAXIME LEFORT&lt;/Valeur&gt;&lt;Valeur name="valeur"&gt;1141.14&lt;/Valeur&gt;&lt;Valeur name="compta"&gt;1&lt;/Valeur&gt;&lt;Valeur name="tvapct"&gt;20&lt;/Valeur&gt;&lt;Valeur name="tva"&gt;190.19&lt;/Valeur&gt;&lt;/Insert&gt;</v>
      </c>
    </row>
    <row r="10" spans="1:38" x14ac:dyDescent="0.25">
      <c r="A10">
        <v>8</v>
      </c>
      <c r="B10">
        <f>IF(A10&lt;&gt;"",VLOOKUP(A10,Banque!B:D,3,FALSE),1)</f>
        <v>1</v>
      </c>
      <c r="C10" s="1">
        <v>43501</v>
      </c>
      <c r="D10" t="s">
        <v>256</v>
      </c>
      <c r="E10" t="s">
        <v>526</v>
      </c>
      <c r="G10" s="10">
        <v>1501.28</v>
      </c>
      <c r="I10" s="11">
        <f t="shared" si="0"/>
        <v>250.21333333333337</v>
      </c>
      <c r="K10">
        <v>9</v>
      </c>
      <c r="L10">
        <v>8</v>
      </c>
      <c r="M10" s="16" t="s">
        <v>948</v>
      </c>
      <c r="N10">
        <f>IFERROR(VLOOKUP(D10,tab!A:B,2,FALSE),1)</f>
        <v>28</v>
      </c>
      <c r="O10" t="str">
        <f t="shared" si="1"/>
        <v> VIR SEPA SALAIRE LUDOVIC HUTIN</v>
      </c>
      <c r="P10" s="14">
        <f t="shared" si="2"/>
        <v>1501.28</v>
      </c>
      <c r="Q10" s="14">
        <f t="shared" si="3"/>
        <v>1</v>
      </c>
      <c r="R10" s="14">
        <v>20</v>
      </c>
      <c r="S10" s="14">
        <f t="shared" si="4"/>
        <v>250.21333333333337</v>
      </c>
      <c r="Z10" t="str">
        <f t="shared" si="5"/>
        <v>&lt;Valeur name="no"&gt;9&lt;/Valeur&gt;</v>
      </c>
      <c r="AA10" t="str">
        <f t="shared" si="6"/>
        <v>&lt;Valeur name="ecriturebanque"&gt;8&lt;/Valeur&gt;</v>
      </c>
      <c r="AB10" t="str">
        <f t="shared" si="7"/>
        <v>&lt;Valeur name="datevaleur"&gt;2019/02/05&lt;/Valeur&gt;</v>
      </c>
      <c r="AC10" t="str">
        <f t="shared" si="8"/>
        <v>&lt;Valeur name="compte"&gt;28&lt;/Valeur&gt;</v>
      </c>
      <c r="AD10" t="str">
        <f t="shared" si="9"/>
        <v>&lt;Valeur name="description"&gt; VIR SEPA SALAIRE LUDOVIC HUTIN&lt;/Valeur&gt;</v>
      </c>
      <c r="AE10" t="str">
        <f t="shared" si="10"/>
        <v>&lt;Valeur name="valeur"&gt;1501.28&lt;/Valeur&gt;</v>
      </c>
      <c r="AF10" t="str">
        <f t="shared" si="11"/>
        <v>&lt;Valeur name="compta"&gt;1&lt;/Valeur&gt;</v>
      </c>
      <c r="AG10" t="str">
        <f t="shared" si="12"/>
        <v>&lt;Valeur name="tvapct"&gt;20&lt;/Valeur&gt;</v>
      </c>
      <c r="AH10" t="str">
        <f t="shared" si="13"/>
        <v>&lt;Valeur name="tva"&gt;250.213333333333&lt;/Valeur&gt;</v>
      </c>
      <c r="AL10" t="str">
        <f t="shared" si="14"/>
        <v>&lt;Insert&gt;&lt;Valeur name="no"&gt;9&lt;/Valeur&gt;&lt;Valeur name="ecriturebanque"&gt;8&lt;/Valeur&gt;&lt;Valeur name="datevaleur"&gt;2019/02/05&lt;/Valeur&gt;&lt;Valeur name="compte"&gt;28&lt;/Valeur&gt;&lt;Valeur name="description"&gt; VIR SEPA SALAIRE LUDOVIC HUTIN&lt;/Valeur&gt;&lt;Valeur name="valeur"&gt;1501.28&lt;/Valeur&gt;&lt;Valeur name="compta"&gt;1&lt;/Valeur&gt;&lt;Valeur name="tvapct"&gt;20&lt;/Valeur&gt;&lt;Valeur name="tva"&gt;250.213333333333&lt;/Valeur&gt;&lt;/Insert&gt;</v>
      </c>
    </row>
    <row r="11" spans="1:38" x14ac:dyDescent="0.25">
      <c r="A11">
        <v>9</v>
      </c>
      <c r="B11">
        <f>IF(A11&lt;&gt;"",VLOOKUP(A11,Banque!B:D,3,FALSE),1)</f>
        <v>1</v>
      </c>
      <c r="C11" s="1">
        <v>43502</v>
      </c>
      <c r="D11" t="s">
        <v>257</v>
      </c>
      <c r="E11" t="s">
        <v>516</v>
      </c>
      <c r="I11" s="11">
        <f t="shared" si="0"/>
        <v>0</v>
      </c>
      <c r="K11">
        <v>10</v>
      </c>
      <c r="L11">
        <v>9</v>
      </c>
      <c r="M11" s="16" t="s">
        <v>875</v>
      </c>
      <c r="N11">
        <f>IFERROR(VLOOKUP(D11,tab!A:B,2,FALSE),1)</f>
        <v>18</v>
      </c>
      <c r="O11" t="str">
        <f t="shared" si="1"/>
        <v> INTERNET PRO (GRATUIT AVEC C.ALLIANCE)</v>
      </c>
      <c r="P11" s="14">
        <f t="shared" si="2"/>
        <v>0</v>
      </c>
      <c r="Q11" s="14">
        <f t="shared" si="3"/>
        <v>1</v>
      </c>
      <c r="R11" s="14">
        <v>20</v>
      </c>
      <c r="S11" s="14">
        <f t="shared" si="4"/>
        <v>0</v>
      </c>
      <c r="Z11" t="str">
        <f t="shared" si="5"/>
        <v>&lt;Valeur name="no"&gt;10&lt;/Valeur&gt;</v>
      </c>
      <c r="AA11" t="str">
        <f t="shared" si="6"/>
        <v>&lt;Valeur name="ecriturebanque"&gt;9&lt;/Valeur&gt;</v>
      </c>
      <c r="AB11" t="str">
        <f t="shared" si="7"/>
        <v>&lt;Valeur name="datevaleur"&gt;2019/02/06&lt;/Valeur&gt;</v>
      </c>
      <c r="AC11" t="str">
        <f t="shared" si="8"/>
        <v>&lt;Valeur name="compte"&gt;18&lt;/Valeur&gt;</v>
      </c>
      <c r="AD11" t="str">
        <f t="shared" si="9"/>
        <v>&lt;Valeur name="description"&gt; INTERNET PRO (GRATUIT AVEC C.ALLIANCE)&lt;/Valeur&gt;</v>
      </c>
      <c r="AE11" t="str">
        <f t="shared" si="10"/>
        <v>&lt;Valeur name="valeur"&gt;0&lt;/Valeur&gt;</v>
      </c>
      <c r="AF11" t="str">
        <f t="shared" si="11"/>
        <v>&lt;Valeur name="compta"&gt;1&lt;/Valeur&gt;</v>
      </c>
      <c r="AG11" t="str">
        <f t="shared" si="12"/>
        <v>&lt;Valeur name="tvapct"&gt;20&lt;/Valeur&gt;</v>
      </c>
      <c r="AH11" t="str">
        <f t="shared" si="13"/>
        <v>&lt;Valeur name="tva"&gt;0&lt;/Valeur&gt;</v>
      </c>
      <c r="AL11" t="str">
        <f t="shared" si="14"/>
        <v>&lt;Insert&gt;&lt;Valeur name="no"&gt;10&lt;/Valeur&gt;&lt;Valeur name="ecriturebanque"&gt;9&lt;/Valeur&gt;&lt;Valeur name="datevaleur"&gt;2019/02/06&lt;/Valeur&gt;&lt;Valeur name="compte"&gt;18&lt;/Valeur&gt;&lt;Valeur name="description"&gt; INTERNET PRO (GRATUIT AVEC C.ALLIANCE)&lt;/Valeur&gt;&lt;Valeur name="valeur"&gt;0&lt;/Valeur&gt;&lt;Valeur name="compta"&gt;1&lt;/Valeur&gt;&lt;Valeur name="tvapct"&gt;20&lt;/Valeur&gt;&lt;Valeur name="tva"&gt;0&lt;/Valeur&gt;&lt;/Insert&gt;</v>
      </c>
    </row>
    <row r="12" spans="1:38" x14ac:dyDescent="0.25">
      <c r="A12">
        <v>10</v>
      </c>
      <c r="B12">
        <f>IF(A12&lt;&gt;"",VLOOKUP(A12,Banque!B:D,3,FALSE),1)</f>
        <v>1</v>
      </c>
      <c r="C12" s="1">
        <v>43502</v>
      </c>
      <c r="D12" t="s">
        <v>372</v>
      </c>
      <c r="E12" t="s">
        <v>517</v>
      </c>
      <c r="G12" s="10">
        <v>3.2</v>
      </c>
      <c r="I12" s="11">
        <f t="shared" si="0"/>
        <v>0.53333333333333321</v>
      </c>
      <c r="K12">
        <v>11</v>
      </c>
      <c r="L12">
        <v>10</v>
      </c>
      <c r="M12" s="16" t="s">
        <v>875</v>
      </c>
      <c r="N12">
        <f>IFERROR(VLOOKUP(D12,tab!A:B,2,FALSE),1)</f>
        <v>21</v>
      </c>
      <c r="O12" t="str">
        <f t="shared" si="1"/>
        <v> CB 454106 SANEF 2901- 60SENLIS C LE 0402</v>
      </c>
      <c r="P12" s="14">
        <f t="shared" si="2"/>
        <v>3.2</v>
      </c>
      <c r="Q12" s="14">
        <f t="shared" si="3"/>
        <v>1</v>
      </c>
      <c r="R12" s="14">
        <v>20</v>
      </c>
      <c r="S12" s="14">
        <f t="shared" si="4"/>
        <v>0.53333333333333321</v>
      </c>
      <c r="Z12" t="str">
        <f t="shared" si="5"/>
        <v>&lt;Valeur name="no"&gt;11&lt;/Valeur&gt;</v>
      </c>
      <c r="AA12" t="str">
        <f t="shared" si="6"/>
        <v>&lt;Valeur name="ecriturebanque"&gt;10&lt;/Valeur&gt;</v>
      </c>
      <c r="AB12" t="str">
        <f t="shared" si="7"/>
        <v>&lt;Valeur name="datevaleur"&gt;2019/02/06&lt;/Valeur&gt;</v>
      </c>
      <c r="AC12" t="str">
        <f t="shared" si="8"/>
        <v>&lt;Valeur name="compte"&gt;21&lt;/Valeur&gt;</v>
      </c>
      <c r="AD12" t="str">
        <f t="shared" si="9"/>
        <v>&lt;Valeur name="description"&gt; CB 454106 SANEF 2901- 60SENLIS C LE 0402&lt;/Valeur&gt;</v>
      </c>
      <c r="AE12" t="str">
        <f t="shared" si="10"/>
        <v>&lt;Valeur name="valeur"&gt;3.2&lt;/Valeur&gt;</v>
      </c>
      <c r="AF12" t="str">
        <f t="shared" si="11"/>
        <v>&lt;Valeur name="compta"&gt;1&lt;/Valeur&gt;</v>
      </c>
      <c r="AG12" t="str">
        <f t="shared" si="12"/>
        <v>&lt;Valeur name="tvapct"&gt;20&lt;/Valeur&gt;</v>
      </c>
      <c r="AH12" t="str">
        <f t="shared" si="13"/>
        <v>&lt;Valeur name="tva"&gt;0.533333333333333&lt;/Valeur&gt;</v>
      </c>
      <c r="AL12" t="str">
        <f t="shared" si="14"/>
        <v>&lt;Insert&gt;&lt;Valeur name="no"&gt;11&lt;/Valeur&gt;&lt;Valeur name="ecriturebanque"&gt;10&lt;/Valeur&gt;&lt;Valeur name="datevaleur"&gt;2019/02/06&lt;/Valeur&gt;&lt;Valeur name="compte"&gt;21&lt;/Valeur&gt;&lt;Valeur name="description"&gt; CB 454106 SANEF 2901- 60SENLIS C LE 0402&lt;/Valeur&gt;&lt;Valeur name="valeur"&gt;3.2&lt;/Valeur&gt;&lt;Valeur name="compta"&gt;1&lt;/Valeur&gt;&lt;Valeur name="tvapct"&gt;20&lt;/Valeur&gt;&lt;Valeur name="tva"&gt;0.533333333333333&lt;/Valeur&gt;&lt;/Insert&gt;</v>
      </c>
    </row>
    <row r="13" spans="1:38" x14ac:dyDescent="0.25">
      <c r="A13">
        <v>11</v>
      </c>
      <c r="B13">
        <f>IF(A13&lt;&gt;"",VLOOKUP(A13,Banque!B:D,3,FALSE),1)</f>
        <v>1</v>
      </c>
      <c r="C13" s="1">
        <v>43502</v>
      </c>
      <c r="D13" t="s">
        <v>373</v>
      </c>
      <c r="E13" t="s">
        <v>518</v>
      </c>
      <c r="G13" s="10">
        <v>18.7</v>
      </c>
      <c r="I13" s="11">
        <f t="shared" si="0"/>
        <v>3.1166666666666654</v>
      </c>
      <c r="K13">
        <v>12</v>
      </c>
      <c r="L13">
        <v>11</v>
      </c>
      <c r="M13" s="16" t="s">
        <v>875</v>
      </c>
      <c r="N13">
        <f>IFERROR(VLOOKUP(D13,tab!A:B,2,FALSE),1)</f>
        <v>38</v>
      </c>
      <c r="O13" t="str">
        <f t="shared" si="1"/>
        <v> CB 548222 BRICO DEPOT 59AULNOY L LE 0502</v>
      </c>
      <c r="P13" s="14">
        <f t="shared" si="2"/>
        <v>18.7</v>
      </c>
      <c r="Q13" s="14">
        <f t="shared" si="3"/>
        <v>1</v>
      </c>
      <c r="R13" s="14">
        <v>20</v>
      </c>
      <c r="S13" s="14">
        <f t="shared" si="4"/>
        <v>3.1166666666666654</v>
      </c>
      <c r="Z13" t="str">
        <f t="shared" si="5"/>
        <v>&lt;Valeur name="no"&gt;12&lt;/Valeur&gt;</v>
      </c>
      <c r="AA13" t="str">
        <f t="shared" si="6"/>
        <v>&lt;Valeur name="ecriturebanque"&gt;11&lt;/Valeur&gt;</v>
      </c>
      <c r="AB13" t="str">
        <f t="shared" si="7"/>
        <v>&lt;Valeur name="datevaleur"&gt;2019/02/06&lt;/Valeur&gt;</v>
      </c>
      <c r="AC13" t="str">
        <f t="shared" si="8"/>
        <v>&lt;Valeur name="compte"&gt;38&lt;/Valeur&gt;</v>
      </c>
      <c r="AD13" t="str">
        <f t="shared" si="9"/>
        <v>&lt;Valeur name="description"&gt; CB 548222 BRICO DEPOT 59AULNOY L LE 0502&lt;/Valeur&gt;</v>
      </c>
      <c r="AE13" t="str">
        <f t="shared" si="10"/>
        <v>&lt;Valeur name="valeur"&gt;18.7&lt;/Valeur&gt;</v>
      </c>
      <c r="AF13" t="str">
        <f t="shared" si="11"/>
        <v>&lt;Valeur name="compta"&gt;1&lt;/Valeur&gt;</v>
      </c>
      <c r="AG13" t="str">
        <f t="shared" si="12"/>
        <v>&lt;Valeur name="tvapct"&gt;20&lt;/Valeur&gt;</v>
      </c>
      <c r="AH13" t="str">
        <f t="shared" si="13"/>
        <v>&lt;Valeur name="tva"&gt;3.11666666666667&lt;/Valeur&gt;</v>
      </c>
      <c r="AL13" t="str">
        <f t="shared" si="14"/>
        <v>&lt;Insert&gt;&lt;Valeur name="no"&gt;12&lt;/Valeur&gt;&lt;Valeur name="ecriturebanque"&gt;11&lt;/Valeur&gt;&lt;Valeur name="datevaleur"&gt;2019/02/06&lt;/Valeur&gt;&lt;Valeur name="compte"&gt;38&lt;/Valeur&gt;&lt;Valeur name="description"&gt; CB 548222 BRICO DEPOT 59AULNOY L LE 0502&lt;/Valeur&gt;&lt;Valeur name="valeur"&gt;18.7&lt;/Valeur&gt;&lt;Valeur name="compta"&gt;1&lt;/Valeur&gt;&lt;Valeur name="tvapct"&gt;20&lt;/Valeur&gt;&lt;Valeur name="tva"&gt;3.11666666666667&lt;/Valeur&gt;&lt;/Insert&gt;</v>
      </c>
    </row>
    <row r="14" spans="1:38" x14ac:dyDescent="0.25">
      <c r="A14">
        <v>12</v>
      </c>
      <c r="B14">
        <f>IF(A14&lt;&gt;"",VLOOKUP(A14,Banque!B:D,3,FALSE),1)</f>
        <v>1</v>
      </c>
      <c r="C14" s="1">
        <v>43502</v>
      </c>
      <c r="D14" t="s">
        <v>355</v>
      </c>
      <c r="E14" t="s">
        <v>519</v>
      </c>
      <c r="G14" s="10">
        <v>41.32</v>
      </c>
      <c r="I14" s="11">
        <f t="shared" si="0"/>
        <v>6.8866666666666632</v>
      </c>
      <c r="K14">
        <v>13</v>
      </c>
      <c r="L14">
        <v>12</v>
      </c>
      <c r="M14" s="16" t="s">
        <v>875</v>
      </c>
      <c r="N14">
        <f>IFERROR(VLOOKUP(D14,tab!A:B,2,FALSE),1)</f>
        <v>101</v>
      </c>
      <c r="O14" t="str">
        <f t="shared" si="1"/>
        <v> CB 548222 REXEL 59LA SENTI LE 0502</v>
      </c>
      <c r="P14" s="14">
        <f t="shared" si="2"/>
        <v>41.32</v>
      </c>
      <c r="Q14" s="14">
        <f t="shared" si="3"/>
        <v>1</v>
      </c>
      <c r="R14" s="14">
        <v>20</v>
      </c>
      <c r="S14" s="14">
        <f t="shared" si="4"/>
        <v>6.8866666666666632</v>
      </c>
      <c r="Z14" t="str">
        <f t="shared" si="5"/>
        <v>&lt;Valeur name="no"&gt;13&lt;/Valeur&gt;</v>
      </c>
      <c r="AA14" t="str">
        <f t="shared" si="6"/>
        <v>&lt;Valeur name="ecriturebanque"&gt;12&lt;/Valeur&gt;</v>
      </c>
      <c r="AB14" t="str">
        <f t="shared" si="7"/>
        <v>&lt;Valeur name="datevaleur"&gt;2019/02/06&lt;/Valeur&gt;</v>
      </c>
      <c r="AC14" t="str">
        <f t="shared" si="8"/>
        <v>&lt;Valeur name="compte"&gt;101&lt;/Valeur&gt;</v>
      </c>
      <c r="AD14" t="str">
        <f t="shared" si="9"/>
        <v>&lt;Valeur name="description"&gt; CB 548222 REXEL 59LA SENTI LE 0502&lt;/Valeur&gt;</v>
      </c>
      <c r="AE14" t="str">
        <f t="shared" si="10"/>
        <v>&lt;Valeur name="valeur"&gt;41.32&lt;/Valeur&gt;</v>
      </c>
      <c r="AF14" t="str">
        <f t="shared" si="11"/>
        <v>&lt;Valeur name="compta"&gt;1&lt;/Valeur&gt;</v>
      </c>
      <c r="AG14" t="str">
        <f t="shared" si="12"/>
        <v>&lt;Valeur name="tvapct"&gt;20&lt;/Valeur&gt;</v>
      </c>
      <c r="AH14" t="str">
        <f t="shared" si="13"/>
        <v>&lt;Valeur name="tva"&gt;6.88666666666666&lt;/Valeur&gt;</v>
      </c>
      <c r="AL14" t="str">
        <f t="shared" si="14"/>
        <v>&lt;Insert&gt;&lt;Valeur name="no"&gt;13&lt;/Valeur&gt;&lt;Valeur name="ecriturebanque"&gt;12&lt;/Valeur&gt;&lt;Valeur name="datevaleur"&gt;2019/02/06&lt;/Valeur&gt;&lt;Valeur name="compte"&gt;101&lt;/Valeur&gt;&lt;Valeur name="description"&gt; CB 548222 REXEL 59LA SENTI LE 0502&lt;/Valeur&gt;&lt;Valeur name="valeur"&gt;41.32&lt;/Valeur&gt;&lt;Valeur name="compta"&gt;1&lt;/Valeur&gt;&lt;Valeur name="tvapct"&gt;20&lt;/Valeur&gt;&lt;Valeur name="tva"&gt;6.88666666666666&lt;/Valeur&gt;&lt;/Insert&gt;</v>
      </c>
    </row>
    <row r="15" spans="1:38" x14ac:dyDescent="0.25">
      <c r="A15">
        <v>13</v>
      </c>
      <c r="B15">
        <f>IF(A15&lt;&gt;"",VLOOKUP(A15,Banque!B:D,3,FALSE),1)</f>
        <v>1</v>
      </c>
      <c r="C15" s="1">
        <v>43502</v>
      </c>
      <c r="D15" t="s">
        <v>253</v>
      </c>
      <c r="E15" t="s">
        <v>520</v>
      </c>
      <c r="G15" s="10">
        <v>77.13</v>
      </c>
      <c r="I15" s="11">
        <f t="shared" si="0"/>
        <v>12.85499999999999</v>
      </c>
      <c r="K15">
        <v>14</v>
      </c>
      <c r="L15">
        <v>13</v>
      </c>
      <c r="M15" s="16" t="s">
        <v>875</v>
      </c>
      <c r="N15">
        <f>IFERROR(VLOOKUP(D15,tab!A:B,2,FALSE),1)</f>
        <v>13</v>
      </c>
      <c r="O15" t="str">
        <f t="shared" si="1"/>
        <v> CB 548222 CARREFOUR D 59AULNOY L LE 0502</v>
      </c>
      <c r="P15" s="14">
        <f t="shared" si="2"/>
        <v>77.13</v>
      </c>
      <c r="Q15" s="14">
        <f t="shared" si="3"/>
        <v>1</v>
      </c>
      <c r="R15" s="14">
        <v>20</v>
      </c>
      <c r="S15" s="14">
        <f t="shared" si="4"/>
        <v>12.85499999999999</v>
      </c>
      <c r="Z15" t="str">
        <f t="shared" si="5"/>
        <v>&lt;Valeur name="no"&gt;14&lt;/Valeur&gt;</v>
      </c>
      <c r="AA15" t="str">
        <f t="shared" si="6"/>
        <v>&lt;Valeur name="ecriturebanque"&gt;13&lt;/Valeur&gt;</v>
      </c>
      <c r="AB15" t="str">
        <f t="shared" si="7"/>
        <v>&lt;Valeur name="datevaleur"&gt;2019/02/06&lt;/Valeur&gt;</v>
      </c>
      <c r="AC15" t="str">
        <f t="shared" si="8"/>
        <v>&lt;Valeur name="compte"&gt;13&lt;/Valeur&gt;</v>
      </c>
      <c r="AD15" t="str">
        <f t="shared" si="9"/>
        <v>&lt;Valeur name="description"&gt; CB 548222 CARREFOUR D 59AULNOY L LE 0502&lt;/Valeur&gt;</v>
      </c>
      <c r="AE15" t="str">
        <f t="shared" si="10"/>
        <v>&lt;Valeur name="valeur"&gt;77.13&lt;/Valeur&gt;</v>
      </c>
      <c r="AF15" t="str">
        <f t="shared" si="11"/>
        <v>&lt;Valeur name="compta"&gt;1&lt;/Valeur&gt;</v>
      </c>
      <c r="AG15" t="str">
        <f t="shared" si="12"/>
        <v>&lt;Valeur name="tvapct"&gt;20&lt;/Valeur&gt;</v>
      </c>
      <c r="AH15" t="str">
        <f t="shared" si="13"/>
        <v>&lt;Valeur name="tva"&gt;12.855&lt;/Valeur&gt;</v>
      </c>
      <c r="AL15" t="str">
        <f t="shared" si="14"/>
        <v>&lt;Insert&gt;&lt;Valeur name="no"&gt;14&lt;/Valeur&gt;&lt;Valeur name="ecriturebanque"&gt;13&lt;/Valeur&gt;&lt;Valeur name="datevaleur"&gt;2019/02/06&lt;/Valeur&gt;&lt;Valeur name="compte"&gt;13&lt;/Valeur&gt;&lt;Valeur name="description"&gt; CB 548222 CARREFOUR D 59AULNOY L LE 0502&lt;/Valeur&gt;&lt;Valeur name="valeur"&gt;77.13&lt;/Valeur&gt;&lt;Valeur name="compta"&gt;1&lt;/Valeur&gt;&lt;Valeur name="tvapct"&gt;20&lt;/Valeur&gt;&lt;Valeur name="tva"&gt;12.855&lt;/Valeur&gt;&lt;/Insert&gt;</v>
      </c>
    </row>
    <row r="16" spans="1:38" x14ac:dyDescent="0.25">
      <c r="A16">
        <v>14</v>
      </c>
      <c r="B16">
        <f>IF(A16&lt;&gt;"",VLOOKUP(A16,Banque!B:D,3,FALSE),1)</f>
        <v>1</v>
      </c>
      <c r="C16" s="1">
        <v>43502</v>
      </c>
      <c r="D16" t="s">
        <v>376</v>
      </c>
      <c r="E16" t="s">
        <v>521</v>
      </c>
      <c r="F16" t="s">
        <v>522</v>
      </c>
      <c r="G16" s="10">
        <v>8</v>
      </c>
      <c r="I16" s="11">
        <f t="shared" si="0"/>
        <v>1.333333333333333</v>
      </c>
      <c r="K16">
        <v>15</v>
      </c>
      <c r="L16">
        <v>14</v>
      </c>
      <c r="M16" s="16" t="s">
        <v>875</v>
      </c>
      <c r="N16">
        <f>IFERROR(VLOOKUP(D16,tab!A:B,2,FALSE),1)</f>
        <v>69</v>
      </c>
      <c r="O16" t="str">
        <f t="shared" si="1"/>
        <v> PRLV SEPA Google Ireland Limited /  Motif : APPS COMMERCE:le-metal.net:GG101PA7</v>
      </c>
      <c r="P16" s="14">
        <f t="shared" si="2"/>
        <v>8</v>
      </c>
      <c r="Q16" s="14">
        <f t="shared" si="3"/>
        <v>1</v>
      </c>
      <c r="R16" s="14">
        <v>20</v>
      </c>
      <c r="S16" s="14">
        <f t="shared" si="4"/>
        <v>1.333333333333333</v>
      </c>
      <c r="Z16" t="str">
        <f t="shared" si="5"/>
        <v>&lt;Valeur name="no"&gt;15&lt;/Valeur&gt;</v>
      </c>
      <c r="AA16" t="str">
        <f t="shared" si="6"/>
        <v>&lt;Valeur name="ecriturebanque"&gt;14&lt;/Valeur&gt;</v>
      </c>
      <c r="AB16" t="str">
        <f t="shared" si="7"/>
        <v>&lt;Valeur name="datevaleur"&gt;2019/02/06&lt;/Valeur&gt;</v>
      </c>
      <c r="AC16" t="str">
        <f t="shared" si="8"/>
        <v>&lt;Valeur name="compte"&gt;69&lt;/Valeur&gt;</v>
      </c>
      <c r="AD16" t="str">
        <f t="shared" si="9"/>
        <v>&lt;Valeur name="description"&gt; PRLV SEPA Google Ireland Limited /  Motif : APPS COMMERCE:le-metal.net:GG101PA7&lt;/Valeur&gt;</v>
      </c>
      <c r="AE16" t="str">
        <f t="shared" si="10"/>
        <v>&lt;Valeur name="valeur"&gt;8&lt;/Valeur&gt;</v>
      </c>
      <c r="AF16" t="str">
        <f t="shared" si="11"/>
        <v>&lt;Valeur name="compta"&gt;1&lt;/Valeur&gt;</v>
      </c>
      <c r="AG16" t="str">
        <f t="shared" si="12"/>
        <v>&lt;Valeur name="tvapct"&gt;20&lt;/Valeur&gt;</v>
      </c>
      <c r="AH16" t="str">
        <f t="shared" si="13"/>
        <v>&lt;Valeur name="tva"&gt;1.33333333333333&lt;/Valeur&gt;</v>
      </c>
      <c r="AL16" t="str">
        <f t="shared" si="14"/>
        <v>&lt;Insert&gt;&lt;Valeur name="no"&gt;15&lt;/Valeur&gt;&lt;Valeur name="ecriturebanque"&gt;14&lt;/Valeur&gt;&lt;Valeur name="datevaleur"&gt;2019/02/06&lt;/Valeur&gt;&lt;Valeur name="compte"&gt;69&lt;/Valeur&gt;&lt;Valeur name="description"&gt; PRLV SEPA Google Ireland Limited /  Motif : APPS COMMERCE:le-metal.net:GG101PA7&lt;/Valeur&gt;&lt;Valeur name="valeur"&gt;8&lt;/Valeur&gt;&lt;Valeur name="compta"&gt;1&lt;/Valeur&gt;&lt;Valeur name="tvapct"&gt;20&lt;/Valeur&gt;&lt;Valeur name="tva"&gt;1.33333333333333&lt;/Valeur&gt;&lt;/Insert&gt;</v>
      </c>
    </row>
    <row r="17" spans="1:38" x14ac:dyDescent="0.25">
      <c r="A17">
        <v>15</v>
      </c>
      <c r="B17">
        <f>IF(A17&lt;&gt;"",VLOOKUP(A17,Banque!B:D,3,FALSE),1)</f>
        <v>0</v>
      </c>
      <c r="C17" s="1">
        <v>43502</v>
      </c>
      <c r="D17" t="s">
        <v>534</v>
      </c>
      <c r="E17" t="s">
        <v>523</v>
      </c>
      <c r="F17" t="s">
        <v>533</v>
      </c>
      <c r="H17" s="10">
        <v>8898.84</v>
      </c>
      <c r="I17" s="11">
        <f t="shared" si="0"/>
        <v>-1483.1399999999994</v>
      </c>
      <c r="K17">
        <v>16</v>
      </c>
      <c r="L17">
        <v>15</v>
      </c>
      <c r="M17" s="16" t="s">
        <v>875</v>
      </c>
      <c r="N17">
        <f>IFERROR(VLOOKUP(D17,tab!A:B,2,FALSE),1)</f>
        <v>3</v>
      </c>
      <c r="O17" t="str">
        <f t="shared" si="1"/>
        <v> VIR TRESORERIE FOURMIES /  Motif : FACTURE AF231-2 ANOR</v>
      </c>
      <c r="P17" s="14">
        <f t="shared" si="2"/>
        <v>8898.84</v>
      </c>
      <c r="Q17" s="14">
        <f t="shared" si="3"/>
        <v>0</v>
      </c>
      <c r="R17" s="14">
        <v>20</v>
      </c>
      <c r="S17" s="14">
        <f t="shared" si="4"/>
        <v>-1483.1399999999994</v>
      </c>
      <c r="Z17" t="str">
        <f t="shared" si="5"/>
        <v>&lt;Valeur name="no"&gt;16&lt;/Valeur&gt;</v>
      </c>
      <c r="AA17" t="str">
        <f t="shared" si="6"/>
        <v>&lt;Valeur name="ecriturebanque"&gt;15&lt;/Valeur&gt;</v>
      </c>
      <c r="AB17" t="str">
        <f t="shared" si="7"/>
        <v>&lt;Valeur name="datevaleur"&gt;2019/02/06&lt;/Valeur&gt;</v>
      </c>
      <c r="AC17" t="str">
        <f t="shared" si="8"/>
        <v>&lt;Valeur name="compte"&gt;3&lt;/Valeur&gt;</v>
      </c>
      <c r="AD17" t="str">
        <f t="shared" si="9"/>
        <v>&lt;Valeur name="description"&gt; VIR TRESORERIE FOURMIES /  Motif : FACTURE AF231-2 ANOR&lt;/Valeur&gt;</v>
      </c>
      <c r="AE17" t="str">
        <f t="shared" si="10"/>
        <v>&lt;Valeur name="valeur"&gt;8898.84&lt;/Valeur&gt;</v>
      </c>
      <c r="AF17" t="str">
        <f t="shared" si="11"/>
        <v>&lt;Valeur name="compta"&gt;0&lt;/Valeur&gt;</v>
      </c>
      <c r="AG17" t="str">
        <f t="shared" si="12"/>
        <v>&lt;Valeur name="tvapct"&gt;20&lt;/Valeur&gt;</v>
      </c>
      <c r="AH17" t="str">
        <f t="shared" si="13"/>
        <v>&lt;Valeur name="tva"&gt;-1483.14&lt;/Valeur&gt;</v>
      </c>
      <c r="AL17" t="str">
        <f t="shared" si="14"/>
        <v>&lt;Insert&gt;&lt;Valeur name="no"&gt;16&lt;/Valeur&gt;&lt;Valeur name="ecriturebanque"&gt;15&lt;/Valeur&gt;&lt;Valeur name="datevaleur"&gt;2019/02/06&lt;/Valeur&gt;&lt;Valeur name="compte"&gt;3&lt;/Valeur&gt;&lt;Valeur name="description"&gt; VIR TRESORERIE FOURMIES /  Motif : FACTURE AF231-2 ANOR&lt;/Valeur&gt;&lt;Valeur name="valeur"&gt;8898.84&lt;/Valeur&gt;&lt;Valeur name="compta"&gt;0&lt;/Valeur&gt;&lt;Valeur name="tvapct"&gt;20&lt;/Valeur&gt;&lt;Valeur name="tva"&gt;-1483.14&lt;/Valeur&gt;&lt;/Insert&gt;</v>
      </c>
    </row>
    <row r="18" spans="1:38" x14ac:dyDescent="0.25">
      <c r="A18">
        <v>16</v>
      </c>
      <c r="B18">
        <f>IF(A18&lt;&gt;"",VLOOKUP(A18,Banque!B:D,3,FALSE),1)</f>
        <v>1</v>
      </c>
      <c r="C18" s="1">
        <v>43503</v>
      </c>
      <c r="D18" t="s">
        <v>254</v>
      </c>
      <c r="E18" t="s">
        <v>513</v>
      </c>
      <c r="G18" s="10">
        <v>12.75</v>
      </c>
      <c r="I18" s="11">
        <f t="shared" si="0"/>
        <v>2.125</v>
      </c>
      <c r="K18">
        <v>17</v>
      </c>
      <c r="L18">
        <v>16</v>
      </c>
      <c r="M18" s="16" t="s">
        <v>949</v>
      </c>
      <c r="N18">
        <f>IFERROR(VLOOKUP(D18,tab!A:B,2,FALSE),1)</f>
        <v>27</v>
      </c>
      <c r="O18" t="str">
        <f t="shared" si="1"/>
        <v> CB 548222 BOULANGERIE 62BEAURAIN LE 0602</v>
      </c>
      <c r="P18" s="14">
        <f t="shared" si="2"/>
        <v>12.75</v>
      </c>
      <c r="Q18" s="14">
        <f t="shared" si="3"/>
        <v>1</v>
      </c>
      <c r="R18" s="14">
        <v>20</v>
      </c>
      <c r="S18" s="14">
        <f t="shared" si="4"/>
        <v>2.125</v>
      </c>
      <c r="Z18" t="str">
        <f t="shared" si="5"/>
        <v>&lt;Valeur name="no"&gt;17&lt;/Valeur&gt;</v>
      </c>
      <c r="AA18" t="str">
        <f t="shared" si="6"/>
        <v>&lt;Valeur name="ecriturebanque"&gt;16&lt;/Valeur&gt;</v>
      </c>
      <c r="AB18" t="str">
        <f t="shared" si="7"/>
        <v>&lt;Valeur name="datevaleur"&gt;2019/02/07&lt;/Valeur&gt;</v>
      </c>
      <c r="AC18" t="str">
        <f t="shared" si="8"/>
        <v>&lt;Valeur name="compte"&gt;27&lt;/Valeur&gt;</v>
      </c>
      <c r="AD18" t="str">
        <f t="shared" si="9"/>
        <v>&lt;Valeur name="description"&gt; CB 548222 BOULANGERIE 62BEAURAIN LE 0602&lt;/Valeur&gt;</v>
      </c>
      <c r="AE18" t="str">
        <f t="shared" si="10"/>
        <v>&lt;Valeur name="valeur"&gt;12.75&lt;/Valeur&gt;</v>
      </c>
      <c r="AF18" t="str">
        <f t="shared" si="11"/>
        <v>&lt;Valeur name="compta"&gt;1&lt;/Valeur&gt;</v>
      </c>
      <c r="AG18" t="str">
        <f t="shared" si="12"/>
        <v>&lt;Valeur name="tvapct"&gt;20&lt;/Valeur&gt;</v>
      </c>
      <c r="AH18" t="str">
        <f t="shared" si="13"/>
        <v>&lt;Valeur name="tva"&gt;2.125&lt;/Valeur&gt;</v>
      </c>
      <c r="AL18" t="str">
        <f t="shared" si="14"/>
        <v>&lt;Insert&gt;&lt;Valeur name="no"&gt;17&lt;/Valeur&gt;&lt;Valeur name="ecriturebanque"&gt;16&lt;/Valeur&gt;&lt;Valeur name="datevaleur"&gt;2019/02/07&lt;/Valeur&gt;&lt;Valeur name="compte"&gt;27&lt;/Valeur&gt;&lt;Valeur name="description"&gt; CB 548222 BOULANGERIE 62BEAURAIN LE 0602&lt;/Valeur&gt;&lt;Valeur name="valeur"&gt;12.75&lt;/Valeur&gt;&lt;Valeur name="compta"&gt;1&lt;/Valeur&gt;&lt;Valeur name="tvapct"&gt;20&lt;/Valeur&gt;&lt;Valeur name="tva"&gt;2.125&lt;/Valeur&gt;&lt;/Insert&gt;</v>
      </c>
    </row>
    <row r="19" spans="1:38" x14ac:dyDescent="0.25">
      <c r="A19">
        <v>17</v>
      </c>
      <c r="B19">
        <f>IF(A19&lt;&gt;"",VLOOKUP(A19,Banque!B:D,3,FALSE),1)</f>
        <v>1</v>
      </c>
      <c r="C19" s="1">
        <v>43503</v>
      </c>
      <c r="D19" t="s">
        <v>373</v>
      </c>
      <c r="E19" t="s">
        <v>514</v>
      </c>
      <c r="G19" s="10">
        <v>50.22</v>
      </c>
      <c r="I19" s="11">
        <f t="shared" si="0"/>
        <v>8.3699999999999974</v>
      </c>
      <c r="K19">
        <v>18</v>
      </c>
      <c r="L19">
        <v>17</v>
      </c>
      <c r="M19" s="16" t="s">
        <v>949</v>
      </c>
      <c r="N19">
        <f>IFERROR(VLOOKUP(D19,tab!A:B,2,FALSE),1)</f>
        <v>38</v>
      </c>
      <c r="O19" t="str">
        <f t="shared" si="1"/>
        <v> CB 548222 BRICO DEPOT 62BEAURAIN LE 0602</v>
      </c>
      <c r="P19" s="14">
        <f t="shared" si="2"/>
        <v>50.22</v>
      </c>
      <c r="Q19" s="14">
        <f t="shared" si="3"/>
        <v>1</v>
      </c>
      <c r="R19" s="14">
        <v>20</v>
      </c>
      <c r="S19" s="14">
        <f t="shared" si="4"/>
        <v>8.3699999999999974</v>
      </c>
      <c r="Z19" t="str">
        <f t="shared" si="5"/>
        <v>&lt;Valeur name="no"&gt;18&lt;/Valeur&gt;</v>
      </c>
      <c r="AA19" t="str">
        <f t="shared" si="6"/>
        <v>&lt;Valeur name="ecriturebanque"&gt;17&lt;/Valeur&gt;</v>
      </c>
      <c r="AB19" t="str">
        <f t="shared" si="7"/>
        <v>&lt;Valeur name="datevaleur"&gt;2019/02/07&lt;/Valeur&gt;</v>
      </c>
      <c r="AC19" t="str">
        <f t="shared" si="8"/>
        <v>&lt;Valeur name="compte"&gt;38&lt;/Valeur&gt;</v>
      </c>
      <c r="AD19" t="str">
        <f t="shared" si="9"/>
        <v>&lt;Valeur name="description"&gt; CB 548222 BRICO DEPOT 62BEAURAIN LE 0602&lt;/Valeur&gt;</v>
      </c>
      <c r="AE19" t="str">
        <f t="shared" si="10"/>
        <v>&lt;Valeur name="valeur"&gt;50.22&lt;/Valeur&gt;</v>
      </c>
      <c r="AF19" t="str">
        <f t="shared" si="11"/>
        <v>&lt;Valeur name="compta"&gt;1&lt;/Valeur&gt;</v>
      </c>
      <c r="AG19" t="str">
        <f t="shared" si="12"/>
        <v>&lt;Valeur name="tvapct"&gt;20&lt;/Valeur&gt;</v>
      </c>
      <c r="AH19" t="str">
        <f t="shared" si="13"/>
        <v>&lt;Valeur name="tva"&gt;8.37&lt;/Valeur&gt;</v>
      </c>
      <c r="AL19" t="str">
        <f t="shared" si="14"/>
        <v>&lt;Insert&gt;&lt;Valeur name="no"&gt;18&lt;/Valeur&gt;&lt;Valeur name="ecriturebanque"&gt;17&lt;/Valeur&gt;&lt;Valeur name="datevaleur"&gt;2019/02/07&lt;/Valeur&gt;&lt;Valeur name="compte"&gt;38&lt;/Valeur&gt;&lt;Valeur name="description"&gt; CB 548222 BRICO DEPOT 62BEAURAIN LE 0602&lt;/Valeur&gt;&lt;Valeur name="valeur"&gt;50.22&lt;/Valeur&gt;&lt;Valeur name="compta"&gt;1&lt;/Valeur&gt;&lt;Valeur name="tvapct"&gt;20&lt;/Valeur&gt;&lt;Valeur name="tva"&gt;8.37&lt;/Valeur&gt;&lt;/Insert&gt;</v>
      </c>
    </row>
    <row r="20" spans="1:38" x14ac:dyDescent="0.25">
      <c r="A20">
        <v>18</v>
      </c>
      <c r="B20">
        <f>IF(A20&lt;&gt;"",VLOOKUP(A20,Banque!B:D,3,FALSE),1)</f>
        <v>1</v>
      </c>
      <c r="C20" s="1">
        <v>43503</v>
      </c>
      <c r="D20" t="s">
        <v>373</v>
      </c>
      <c r="E20" t="s">
        <v>515</v>
      </c>
      <c r="G20" s="10">
        <v>74.150000000000006</v>
      </c>
      <c r="I20" s="11">
        <f t="shared" si="0"/>
        <v>12.358333333333334</v>
      </c>
      <c r="K20">
        <v>19</v>
      </c>
      <c r="L20">
        <v>18</v>
      </c>
      <c r="M20" s="16" t="s">
        <v>949</v>
      </c>
      <c r="N20">
        <f>IFERROR(VLOOKUP(D20,tab!A:B,2,FALSE),1)</f>
        <v>38</v>
      </c>
      <c r="O20" t="str">
        <f t="shared" si="1"/>
        <v> CB 548222 BRICO DEPOT 59AULNOY L LE 0602</v>
      </c>
      <c r="P20" s="14">
        <f t="shared" si="2"/>
        <v>74.150000000000006</v>
      </c>
      <c r="Q20" s="14">
        <f t="shared" si="3"/>
        <v>1</v>
      </c>
      <c r="R20" s="14">
        <v>20</v>
      </c>
      <c r="S20" s="14">
        <f t="shared" si="4"/>
        <v>12.358333333333334</v>
      </c>
      <c r="Z20" t="str">
        <f t="shared" si="5"/>
        <v>&lt;Valeur name="no"&gt;19&lt;/Valeur&gt;</v>
      </c>
      <c r="AA20" t="str">
        <f t="shared" si="6"/>
        <v>&lt;Valeur name="ecriturebanque"&gt;18&lt;/Valeur&gt;</v>
      </c>
      <c r="AB20" t="str">
        <f t="shared" si="7"/>
        <v>&lt;Valeur name="datevaleur"&gt;2019/02/07&lt;/Valeur&gt;</v>
      </c>
      <c r="AC20" t="str">
        <f t="shared" si="8"/>
        <v>&lt;Valeur name="compte"&gt;38&lt;/Valeur&gt;</v>
      </c>
      <c r="AD20" t="str">
        <f t="shared" si="9"/>
        <v>&lt;Valeur name="description"&gt; CB 548222 BRICO DEPOT 59AULNOY L LE 0602&lt;/Valeur&gt;</v>
      </c>
      <c r="AE20" t="str">
        <f t="shared" si="10"/>
        <v>&lt;Valeur name="valeur"&gt;74.15&lt;/Valeur&gt;</v>
      </c>
      <c r="AF20" t="str">
        <f t="shared" si="11"/>
        <v>&lt;Valeur name="compta"&gt;1&lt;/Valeur&gt;</v>
      </c>
      <c r="AG20" t="str">
        <f t="shared" si="12"/>
        <v>&lt;Valeur name="tvapct"&gt;20&lt;/Valeur&gt;</v>
      </c>
      <c r="AH20" t="str">
        <f t="shared" si="13"/>
        <v>&lt;Valeur name="tva"&gt;12.3583333333333&lt;/Valeur&gt;</v>
      </c>
      <c r="AL20" t="str">
        <f t="shared" si="14"/>
        <v>&lt;Insert&gt;&lt;Valeur name="no"&gt;19&lt;/Valeur&gt;&lt;Valeur name="ecriturebanque"&gt;18&lt;/Valeur&gt;&lt;Valeur name="datevaleur"&gt;2019/02/07&lt;/Valeur&gt;&lt;Valeur name="compte"&gt;38&lt;/Valeur&gt;&lt;Valeur name="description"&gt; CB 548222 BRICO DEPOT 59AULNOY L LE 0602&lt;/Valeur&gt;&lt;Valeur name="valeur"&gt;74.15&lt;/Valeur&gt;&lt;Valeur name="compta"&gt;1&lt;/Valeur&gt;&lt;Valeur name="tvapct"&gt;20&lt;/Valeur&gt;&lt;Valeur name="tva"&gt;12.3583333333333&lt;/Valeur&gt;&lt;/Insert&gt;</v>
      </c>
    </row>
    <row r="21" spans="1:38" x14ac:dyDescent="0.25">
      <c r="A21">
        <v>19</v>
      </c>
      <c r="B21">
        <f>IF(A21&lt;&gt;"",VLOOKUP(A21,Banque!B:D,3,FALSE),1)</f>
        <v>1</v>
      </c>
      <c r="C21" s="1">
        <v>43507</v>
      </c>
      <c r="D21" t="s">
        <v>381</v>
      </c>
      <c r="E21" t="s">
        <v>532</v>
      </c>
      <c r="G21" s="10">
        <v>237.15</v>
      </c>
      <c r="I21" s="11">
        <f t="shared" si="0"/>
        <v>39.525000000000006</v>
      </c>
      <c r="K21">
        <v>20</v>
      </c>
      <c r="L21">
        <v>19</v>
      </c>
      <c r="M21" s="16" t="s">
        <v>950</v>
      </c>
      <c r="N21">
        <f>IFERROR(VLOOKUP(D21,tab!A:B,2,FALSE),1)</f>
        <v>22</v>
      </c>
      <c r="O21" t="str">
        <f t="shared" si="1"/>
        <v> 02836 262611 0138 01FIN DE PRET: 12/2020</v>
      </c>
      <c r="P21" s="14">
        <f t="shared" si="2"/>
        <v>237.15</v>
      </c>
      <c r="Q21" s="14">
        <f t="shared" si="3"/>
        <v>1</v>
      </c>
      <c r="R21" s="14">
        <v>20</v>
      </c>
      <c r="S21" s="14">
        <f t="shared" si="4"/>
        <v>39.525000000000006</v>
      </c>
      <c r="Z21" t="str">
        <f t="shared" si="5"/>
        <v>&lt;Valeur name="no"&gt;20&lt;/Valeur&gt;</v>
      </c>
      <c r="AA21" t="str">
        <f t="shared" si="6"/>
        <v>&lt;Valeur name="ecriturebanque"&gt;19&lt;/Valeur&gt;</v>
      </c>
      <c r="AB21" t="str">
        <f t="shared" si="7"/>
        <v>&lt;Valeur name="datevaleur"&gt;2019/02/11&lt;/Valeur&gt;</v>
      </c>
      <c r="AC21" t="str">
        <f t="shared" si="8"/>
        <v>&lt;Valeur name="compte"&gt;22&lt;/Valeur&gt;</v>
      </c>
      <c r="AD21" t="str">
        <f t="shared" si="9"/>
        <v>&lt;Valeur name="description"&gt; 02836 262611 0138 01FIN DE PRET: 12/2020&lt;/Valeur&gt;</v>
      </c>
      <c r="AE21" t="str">
        <f t="shared" si="10"/>
        <v>&lt;Valeur name="valeur"&gt;237.15&lt;/Valeur&gt;</v>
      </c>
      <c r="AF21" t="str">
        <f t="shared" si="11"/>
        <v>&lt;Valeur name="compta"&gt;1&lt;/Valeur&gt;</v>
      </c>
      <c r="AG21" t="str">
        <f t="shared" si="12"/>
        <v>&lt;Valeur name="tvapct"&gt;20&lt;/Valeur&gt;</v>
      </c>
      <c r="AH21" t="str">
        <f t="shared" si="13"/>
        <v>&lt;Valeur name="tva"&gt;39.525&lt;/Valeur&gt;</v>
      </c>
      <c r="AL21" t="str">
        <f t="shared" si="14"/>
        <v>&lt;Insert&gt;&lt;Valeur name="no"&gt;20&lt;/Valeur&gt;&lt;Valeur name="ecriturebanque"&gt;19&lt;/Valeur&gt;&lt;Valeur name="datevaleur"&gt;2019/02/11&lt;/Valeur&gt;&lt;Valeur name="compte"&gt;22&lt;/Valeur&gt;&lt;Valeur name="description"&gt; 02836 262611 0138 01FIN DE PRET: 12/2020&lt;/Valeur&gt;&lt;Valeur name="valeur"&gt;237.15&lt;/Valeur&gt;&lt;Valeur name="compta"&gt;1&lt;/Valeur&gt;&lt;Valeur name="tvapct"&gt;20&lt;/Valeur&gt;&lt;Valeur name="tva"&gt;39.525&lt;/Valeur&gt;&lt;/Insert&gt;</v>
      </c>
    </row>
    <row r="22" spans="1:38" x14ac:dyDescent="0.25">
      <c r="A22">
        <v>20</v>
      </c>
      <c r="B22">
        <f>IF(A22&lt;&gt;"",VLOOKUP(A22,Banque!B:D,3,FALSE),1)</f>
        <v>1</v>
      </c>
      <c r="C22" s="1">
        <v>43507</v>
      </c>
      <c r="D22" t="s">
        <v>382</v>
      </c>
      <c r="E22" t="s">
        <v>509</v>
      </c>
      <c r="G22" s="10">
        <v>260</v>
      </c>
      <c r="I22" s="11">
        <f t="shared" si="0"/>
        <v>43.333333333333314</v>
      </c>
      <c r="K22">
        <v>21</v>
      </c>
      <c r="L22">
        <v>20</v>
      </c>
      <c r="M22" s="16" t="s">
        <v>950</v>
      </c>
      <c r="N22">
        <f>IFERROR(VLOOKUP(D22,tab!A:B,2,FALSE),1)</f>
        <v>23</v>
      </c>
      <c r="O22" t="str">
        <f t="shared" si="1"/>
        <v> 02836 262611 0104 00 5 831,16 EUR</v>
      </c>
      <c r="P22" s="14">
        <f t="shared" si="2"/>
        <v>260</v>
      </c>
      <c r="Q22" s="14">
        <f t="shared" si="3"/>
        <v>1</v>
      </c>
      <c r="R22" s="14">
        <v>20</v>
      </c>
      <c r="S22" s="14">
        <f t="shared" si="4"/>
        <v>43.333333333333314</v>
      </c>
      <c r="Z22" t="str">
        <f t="shared" si="5"/>
        <v>&lt;Valeur name="no"&gt;21&lt;/Valeur&gt;</v>
      </c>
      <c r="AA22" t="str">
        <f t="shared" si="6"/>
        <v>&lt;Valeur name="ecriturebanque"&gt;20&lt;/Valeur&gt;</v>
      </c>
      <c r="AB22" t="str">
        <f t="shared" si="7"/>
        <v>&lt;Valeur name="datevaleur"&gt;2019/02/11&lt;/Valeur&gt;</v>
      </c>
      <c r="AC22" t="str">
        <f t="shared" si="8"/>
        <v>&lt;Valeur name="compte"&gt;23&lt;/Valeur&gt;</v>
      </c>
      <c r="AD22" t="str">
        <f t="shared" si="9"/>
        <v>&lt;Valeur name="description"&gt; 02836 262611 0104 00 5 831,16 EUR&lt;/Valeur&gt;</v>
      </c>
      <c r="AE22" t="str">
        <f t="shared" si="10"/>
        <v>&lt;Valeur name="valeur"&gt;260&lt;/Valeur&gt;</v>
      </c>
      <c r="AF22" t="str">
        <f t="shared" si="11"/>
        <v>&lt;Valeur name="compta"&gt;1&lt;/Valeur&gt;</v>
      </c>
      <c r="AG22" t="str">
        <f t="shared" si="12"/>
        <v>&lt;Valeur name="tvapct"&gt;20&lt;/Valeur&gt;</v>
      </c>
      <c r="AH22" t="str">
        <f t="shared" si="13"/>
        <v>&lt;Valeur name="tva"&gt;43.3333333333333&lt;/Valeur&gt;</v>
      </c>
      <c r="AL22" t="str">
        <f t="shared" si="14"/>
        <v>&lt;Insert&gt;&lt;Valeur name="no"&gt;21&lt;/Valeur&gt;&lt;Valeur name="ecriturebanque"&gt;20&lt;/Valeur&gt;&lt;Valeur name="datevaleur"&gt;2019/02/11&lt;/Valeur&gt;&lt;Valeur name="compte"&gt;23&lt;/Valeur&gt;&lt;Valeur name="description"&gt; 02836 262611 0104 00 5 831,16 EUR&lt;/Valeur&gt;&lt;Valeur name="valeur"&gt;260&lt;/Valeur&gt;&lt;Valeur name="compta"&gt;1&lt;/Valeur&gt;&lt;Valeur name="tvapct"&gt;20&lt;/Valeur&gt;&lt;Valeur name="tva"&gt;43.3333333333333&lt;/Valeur&gt;&lt;/Insert&gt;</v>
      </c>
    </row>
    <row r="23" spans="1:38" x14ac:dyDescent="0.25">
      <c r="A23">
        <v>21</v>
      </c>
      <c r="B23">
        <f>IF(A23&lt;&gt;"",VLOOKUP(A23,Banque!B:D,3,FALSE),1)</f>
        <v>1</v>
      </c>
      <c r="C23" s="1">
        <v>43507</v>
      </c>
      <c r="D23" t="s">
        <v>380</v>
      </c>
      <c r="E23" t="s">
        <v>510</v>
      </c>
      <c r="G23" s="10">
        <v>380</v>
      </c>
      <c r="I23" s="11">
        <f t="shared" si="0"/>
        <v>63.333333333333314</v>
      </c>
      <c r="K23">
        <v>22</v>
      </c>
      <c r="L23">
        <v>21</v>
      </c>
      <c r="M23" s="16" t="s">
        <v>950</v>
      </c>
      <c r="N23">
        <f>IFERROR(VLOOKUP(D23,tab!A:B,2,FALSE),1)</f>
        <v>24</v>
      </c>
      <c r="O23" t="str">
        <f t="shared" si="1"/>
        <v> 02836 262611 0138 00FIN DE PRET: 03/2020</v>
      </c>
      <c r="P23" s="14">
        <f t="shared" si="2"/>
        <v>380</v>
      </c>
      <c r="Q23" s="14">
        <f t="shared" si="3"/>
        <v>1</v>
      </c>
      <c r="R23" s="14">
        <v>20</v>
      </c>
      <c r="S23" s="14">
        <f t="shared" si="4"/>
        <v>63.333333333333314</v>
      </c>
      <c r="Z23" t="str">
        <f t="shared" si="5"/>
        <v>&lt;Valeur name="no"&gt;22&lt;/Valeur&gt;</v>
      </c>
      <c r="AA23" t="str">
        <f t="shared" si="6"/>
        <v>&lt;Valeur name="ecriturebanque"&gt;21&lt;/Valeur&gt;</v>
      </c>
      <c r="AB23" t="str">
        <f t="shared" si="7"/>
        <v>&lt;Valeur name="datevaleur"&gt;2019/02/11&lt;/Valeur&gt;</v>
      </c>
      <c r="AC23" t="str">
        <f t="shared" si="8"/>
        <v>&lt;Valeur name="compte"&gt;24&lt;/Valeur&gt;</v>
      </c>
      <c r="AD23" t="str">
        <f t="shared" si="9"/>
        <v>&lt;Valeur name="description"&gt; 02836 262611 0138 00FIN DE PRET: 03/2020&lt;/Valeur&gt;</v>
      </c>
      <c r="AE23" t="str">
        <f t="shared" si="10"/>
        <v>&lt;Valeur name="valeur"&gt;380&lt;/Valeur&gt;</v>
      </c>
      <c r="AF23" t="str">
        <f t="shared" si="11"/>
        <v>&lt;Valeur name="compta"&gt;1&lt;/Valeur&gt;</v>
      </c>
      <c r="AG23" t="str">
        <f t="shared" si="12"/>
        <v>&lt;Valeur name="tvapct"&gt;20&lt;/Valeur&gt;</v>
      </c>
      <c r="AH23" t="str">
        <f t="shared" si="13"/>
        <v>&lt;Valeur name="tva"&gt;63.3333333333333&lt;/Valeur&gt;</v>
      </c>
      <c r="AL23" t="str">
        <f t="shared" si="14"/>
        <v>&lt;Insert&gt;&lt;Valeur name="no"&gt;22&lt;/Valeur&gt;&lt;Valeur name="ecriturebanque"&gt;21&lt;/Valeur&gt;&lt;Valeur name="datevaleur"&gt;2019/02/11&lt;/Valeur&gt;&lt;Valeur name="compte"&gt;24&lt;/Valeur&gt;&lt;Valeur name="description"&gt; 02836 262611 0138 00FIN DE PRET: 03/2020&lt;/Valeur&gt;&lt;Valeur name="valeur"&gt;380&lt;/Valeur&gt;&lt;Valeur name="compta"&gt;1&lt;/Valeur&gt;&lt;Valeur name="tvapct"&gt;20&lt;/Valeur&gt;&lt;Valeur name="tva"&gt;63.3333333333333&lt;/Valeur&gt;&lt;/Insert&gt;</v>
      </c>
    </row>
    <row r="24" spans="1:38" x14ac:dyDescent="0.25">
      <c r="A24">
        <v>22</v>
      </c>
      <c r="B24">
        <f>IF(A24&lt;&gt;"",VLOOKUP(A24,Banque!B:D,3,FALSE),1)</f>
        <v>1</v>
      </c>
      <c r="C24" s="1">
        <v>43507</v>
      </c>
      <c r="D24" t="s">
        <v>254</v>
      </c>
      <c r="E24" t="s">
        <v>511</v>
      </c>
      <c r="G24" s="10">
        <v>11.45</v>
      </c>
      <c r="I24" s="11">
        <f t="shared" si="0"/>
        <v>1.9083333333333332</v>
      </c>
      <c r="K24">
        <v>23</v>
      </c>
      <c r="L24">
        <v>22</v>
      </c>
      <c r="M24" s="16" t="s">
        <v>950</v>
      </c>
      <c r="N24">
        <f>IFERROR(VLOOKUP(D24,tab!A:B,2,FALSE),1)</f>
        <v>27</v>
      </c>
      <c r="O24" t="str">
        <f t="shared" si="1"/>
        <v> CB 454106 GERSTEP 59WASQUEHA LE 0802</v>
      </c>
      <c r="P24" s="14">
        <f t="shared" si="2"/>
        <v>11.45</v>
      </c>
      <c r="Q24" s="14">
        <f t="shared" si="3"/>
        <v>1</v>
      </c>
      <c r="R24" s="14">
        <v>20</v>
      </c>
      <c r="S24" s="14">
        <f t="shared" si="4"/>
        <v>1.9083333333333332</v>
      </c>
      <c r="Z24" t="str">
        <f t="shared" si="5"/>
        <v>&lt;Valeur name="no"&gt;23&lt;/Valeur&gt;</v>
      </c>
      <c r="AA24" t="str">
        <f t="shared" si="6"/>
        <v>&lt;Valeur name="ecriturebanque"&gt;22&lt;/Valeur&gt;</v>
      </c>
      <c r="AB24" t="str">
        <f t="shared" si="7"/>
        <v>&lt;Valeur name="datevaleur"&gt;2019/02/11&lt;/Valeur&gt;</v>
      </c>
      <c r="AC24" t="str">
        <f t="shared" si="8"/>
        <v>&lt;Valeur name="compte"&gt;27&lt;/Valeur&gt;</v>
      </c>
      <c r="AD24" t="str">
        <f t="shared" si="9"/>
        <v>&lt;Valeur name="description"&gt; CB 454106 GERSTEP 59WASQUEHA LE 0802&lt;/Valeur&gt;</v>
      </c>
      <c r="AE24" t="str">
        <f t="shared" si="10"/>
        <v>&lt;Valeur name="valeur"&gt;11.45&lt;/Valeur&gt;</v>
      </c>
      <c r="AF24" t="str">
        <f t="shared" si="11"/>
        <v>&lt;Valeur name="compta"&gt;1&lt;/Valeur&gt;</v>
      </c>
      <c r="AG24" t="str">
        <f t="shared" si="12"/>
        <v>&lt;Valeur name="tvapct"&gt;20&lt;/Valeur&gt;</v>
      </c>
      <c r="AH24" t="str">
        <f t="shared" si="13"/>
        <v>&lt;Valeur name="tva"&gt;1.90833333333333&lt;/Valeur&gt;</v>
      </c>
      <c r="AL24" t="str">
        <f t="shared" si="14"/>
        <v>&lt;Insert&gt;&lt;Valeur name="no"&gt;23&lt;/Valeur&gt;&lt;Valeur name="ecriturebanque"&gt;22&lt;/Valeur&gt;&lt;Valeur name="datevaleur"&gt;2019/02/11&lt;/Valeur&gt;&lt;Valeur name="compte"&gt;27&lt;/Valeur&gt;&lt;Valeur name="description"&gt; CB 454106 GERSTEP 59WASQUEHA LE 0802&lt;/Valeur&gt;&lt;Valeur name="valeur"&gt;11.45&lt;/Valeur&gt;&lt;Valeur name="compta"&gt;1&lt;/Valeur&gt;&lt;Valeur name="tvapct"&gt;20&lt;/Valeur&gt;&lt;Valeur name="tva"&gt;1.90833333333333&lt;/Valeur&gt;&lt;/Insert&gt;</v>
      </c>
    </row>
    <row r="25" spans="1:38" x14ac:dyDescent="0.25">
      <c r="A25">
        <v>23</v>
      </c>
      <c r="B25">
        <f>IF(A25&lt;&gt;"",VLOOKUP(A25,Banque!B:D,3,FALSE),1)</f>
        <v>1</v>
      </c>
      <c r="C25" s="1">
        <v>43507</v>
      </c>
      <c r="D25" t="s">
        <v>253</v>
      </c>
      <c r="E25" t="s">
        <v>512</v>
      </c>
      <c r="G25" s="10">
        <v>73.52</v>
      </c>
      <c r="I25" s="11">
        <f t="shared" si="0"/>
        <v>12.25333333333333</v>
      </c>
      <c r="K25">
        <v>24</v>
      </c>
      <c r="L25">
        <v>23</v>
      </c>
      <c r="M25" s="16" t="s">
        <v>950</v>
      </c>
      <c r="N25">
        <f>IFERROR(VLOOKUP(D25,tab!A:B,2,FALSE),1)</f>
        <v>13</v>
      </c>
      <c r="O25" t="str">
        <f t="shared" si="1"/>
        <v> CB 454106 CARREFOUR D 59AULNOY L LE 0802</v>
      </c>
      <c r="P25" s="14">
        <f t="shared" si="2"/>
        <v>73.52</v>
      </c>
      <c r="Q25" s="14">
        <f t="shared" si="3"/>
        <v>1</v>
      </c>
      <c r="R25" s="14">
        <v>20</v>
      </c>
      <c r="S25" s="14">
        <f t="shared" si="4"/>
        <v>12.25333333333333</v>
      </c>
      <c r="Z25" t="str">
        <f t="shared" si="5"/>
        <v>&lt;Valeur name="no"&gt;24&lt;/Valeur&gt;</v>
      </c>
      <c r="AA25" t="str">
        <f t="shared" si="6"/>
        <v>&lt;Valeur name="ecriturebanque"&gt;23&lt;/Valeur&gt;</v>
      </c>
      <c r="AB25" t="str">
        <f t="shared" si="7"/>
        <v>&lt;Valeur name="datevaleur"&gt;2019/02/11&lt;/Valeur&gt;</v>
      </c>
      <c r="AC25" t="str">
        <f t="shared" si="8"/>
        <v>&lt;Valeur name="compte"&gt;13&lt;/Valeur&gt;</v>
      </c>
      <c r="AD25" t="str">
        <f t="shared" si="9"/>
        <v>&lt;Valeur name="description"&gt; CB 454106 CARREFOUR D 59AULNOY L LE 0802&lt;/Valeur&gt;</v>
      </c>
      <c r="AE25" t="str">
        <f t="shared" si="10"/>
        <v>&lt;Valeur name="valeur"&gt;73.52&lt;/Valeur&gt;</v>
      </c>
      <c r="AF25" t="str">
        <f t="shared" si="11"/>
        <v>&lt;Valeur name="compta"&gt;1&lt;/Valeur&gt;</v>
      </c>
      <c r="AG25" t="str">
        <f t="shared" si="12"/>
        <v>&lt;Valeur name="tvapct"&gt;20&lt;/Valeur&gt;</v>
      </c>
      <c r="AH25" t="str">
        <f t="shared" si="13"/>
        <v>&lt;Valeur name="tva"&gt;12.2533333333333&lt;/Valeur&gt;</v>
      </c>
      <c r="AL25" t="str">
        <f t="shared" si="14"/>
        <v>&lt;Insert&gt;&lt;Valeur name="no"&gt;24&lt;/Valeur&gt;&lt;Valeur name="ecriturebanque"&gt;23&lt;/Valeur&gt;&lt;Valeur name="datevaleur"&gt;2019/02/11&lt;/Valeur&gt;&lt;Valeur name="compte"&gt;13&lt;/Valeur&gt;&lt;Valeur name="description"&gt; CB 454106 CARREFOUR D 59AULNOY L LE 0802&lt;/Valeur&gt;&lt;Valeur name="valeur"&gt;73.52&lt;/Valeur&gt;&lt;Valeur name="compta"&gt;1&lt;/Valeur&gt;&lt;Valeur name="tvapct"&gt;20&lt;/Valeur&gt;&lt;Valeur name="tva"&gt;12.2533333333333&lt;/Valeur&gt;&lt;/Insert&gt;</v>
      </c>
    </row>
    <row r="26" spans="1:38" x14ac:dyDescent="0.25">
      <c r="A26">
        <v>24</v>
      </c>
      <c r="B26">
        <f>IF(A26&lt;&gt;"",VLOOKUP(A26,Banque!B:D,3,FALSE),1)</f>
        <v>1</v>
      </c>
      <c r="C26" s="1">
        <v>43508</v>
      </c>
      <c r="D26" t="s">
        <v>437</v>
      </c>
      <c r="E26" t="s">
        <v>247</v>
      </c>
      <c r="F26" t="s">
        <v>438</v>
      </c>
      <c r="G26" s="10">
        <v>176</v>
      </c>
      <c r="I26" s="11">
        <f t="shared" si="0"/>
        <v>29.333333333333314</v>
      </c>
      <c r="K26">
        <v>25</v>
      </c>
      <c r="L26">
        <v>24</v>
      </c>
      <c r="M26" s="16" t="s">
        <v>877</v>
      </c>
      <c r="N26">
        <f>IFERROR(VLOOKUP(D26,tab!A:B,2,FALSE),1)</f>
        <v>41</v>
      </c>
      <c r="O26" t="str">
        <f t="shared" si="1"/>
        <v>CB 548222 CARREFOUR V 59AULNOY L / Location Camion Arras</v>
      </c>
      <c r="P26" s="14">
        <f t="shared" si="2"/>
        <v>176</v>
      </c>
      <c r="Q26" s="14">
        <f t="shared" si="3"/>
        <v>1</v>
      </c>
      <c r="R26" s="14">
        <v>20</v>
      </c>
      <c r="S26" s="14">
        <f t="shared" si="4"/>
        <v>29.333333333333314</v>
      </c>
      <c r="Z26" t="str">
        <f t="shared" si="5"/>
        <v>&lt;Valeur name="no"&gt;25&lt;/Valeur&gt;</v>
      </c>
      <c r="AA26" t="str">
        <f t="shared" si="6"/>
        <v>&lt;Valeur name="ecriturebanque"&gt;24&lt;/Valeur&gt;</v>
      </c>
      <c r="AB26" t="str">
        <f t="shared" si="7"/>
        <v>&lt;Valeur name="datevaleur"&gt;2019/02/12&lt;/Valeur&gt;</v>
      </c>
      <c r="AC26" t="str">
        <f t="shared" si="8"/>
        <v>&lt;Valeur name="compte"&gt;41&lt;/Valeur&gt;</v>
      </c>
      <c r="AD26" t="str">
        <f t="shared" si="9"/>
        <v>&lt;Valeur name="description"&gt;CB 548222 CARREFOUR V 59AULNOY L / Location Camion Arras&lt;/Valeur&gt;</v>
      </c>
      <c r="AE26" t="str">
        <f t="shared" si="10"/>
        <v>&lt;Valeur name="valeur"&gt;176&lt;/Valeur&gt;</v>
      </c>
      <c r="AF26" t="str">
        <f t="shared" si="11"/>
        <v>&lt;Valeur name="compta"&gt;1&lt;/Valeur&gt;</v>
      </c>
      <c r="AG26" t="str">
        <f t="shared" si="12"/>
        <v>&lt;Valeur name="tvapct"&gt;20&lt;/Valeur&gt;</v>
      </c>
      <c r="AH26" t="str">
        <f t="shared" si="13"/>
        <v>&lt;Valeur name="tva"&gt;29.3333333333333&lt;/Valeur&gt;</v>
      </c>
      <c r="AL26" t="str">
        <f t="shared" si="14"/>
        <v>&lt;Insert&gt;&lt;Valeur name="no"&gt;25&lt;/Valeur&gt;&lt;Valeur name="ecriturebanque"&gt;24&lt;/Valeur&gt;&lt;Valeur name="datevaleur"&gt;2019/02/12&lt;/Valeur&gt;&lt;Valeur name="compte"&gt;41&lt;/Valeur&gt;&lt;Valeur name="description"&gt;CB 548222 CARREFOUR V 59AULNOY L / Location Camion Arras&lt;/Valeur&gt;&lt;Valeur name="valeur"&gt;176&lt;/Valeur&gt;&lt;Valeur name="compta"&gt;1&lt;/Valeur&gt;&lt;Valeur name="tvapct"&gt;20&lt;/Valeur&gt;&lt;Valeur name="tva"&gt;29.3333333333333&lt;/Valeur&gt;&lt;/Insert&gt;</v>
      </c>
    </row>
    <row r="27" spans="1:38" x14ac:dyDescent="0.25">
      <c r="A27">
        <v>25</v>
      </c>
      <c r="B27">
        <f>IF(A27&lt;&gt;"",VLOOKUP(A27,Banque!B:D,3,FALSE),1)</f>
        <v>1</v>
      </c>
      <c r="C27" s="1">
        <v>43508</v>
      </c>
      <c r="D27" t="s">
        <v>254</v>
      </c>
      <c r="E27" t="s">
        <v>245</v>
      </c>
      <c r="G27" s="10">
        <v>4.8499999999999996</v>
      </c>
      <c r="I27" s="11">
        <f t="shared" si="0"/>
        <v>0.80833333333333268</v>
      </c>
      <c r="K27">
        <v>26</v>
      </c>
      <c r="L27">
        <v>25</v>
      </c>
      <c r="M27" s="16" t="s">
        <v>877</v>
      </c>
      <c r="N27">
        <f>IFERROR(VLOOKUP(D27,tab!A:B,2,FALSE),1)</f>
        <v>27</v>
      </c>
      <c r="O27" t="str">
        <f t="shared" si="1"/>
        <v>CB 454106 FOUR D ANNA 59VILLENEU</v>
      </c>
      <c r="P27" s="14">
        <f t="shared" si="2"/>
        <v>4.8499999999999996</v>
      </c>
      <c r="Q27" s="14">
        <f t="shared" si="3"/>
        <v>1</v>
      </c>
      <c r="R27" s="14">
        <v>20</v>
      </c>
      <c r="S27" s="14">
        <f t="shared" si="4"/>
        <v>0.80833333333333268</v>
      </c>
      <c r="Z27" t="str">
        <f t="shared" si="5"/>
        <v>&lt;Valeur name="no"&gt;26&lt;/Valeur&gt;</v>
      </c>
      <c r="AA27" t="str">
        <f t="shared" si="6"/>
        <v>&lt;Valeur name="ecriturebanque"&gt;25&lt;/Valeur&gt;</v>
      </c>
      <c r="AB27" t="str">
        <f t="shared" si="7"/>
        <v>&lt;Valeur name="datevaleur"&gt;2019/02/12&lt;/Valeur&gt;</v>
      </c>
      <c r="AC27" t="str">
        <f t="shared" si="8"/>
        <v>&lt;Valeur name="compte"&gt;27&lt;/Valeur&gt;</v>
      </c>
      <c r="AD27" t="str">
        <f t="shared" si="9"/>
        <v>&lt;Valeur name="description"&gt;CB 454106 FOUR D ANNA 59VILLENEU&lt;/Valeur&gt;</v>
      </c>
      <c r="AE27" t="str">
        <f t="shared" si="10"/>
        <v>&lt;Valeur name="valeur"&gt;4.85&lt;/Valeur&gt;</v>
      </c>
      <c r="AF27" t="str">
        <f t="shared" si="11"/>
        <v>&lt;Valeur name="compta"&gt;1&lt;/Valeur&gt;</v>
      </c>
      <c r="AG27" t="str">
        <f t="shared" si="12"/>
        <v>&lt;Valeur name="tvapct"&gt;20&lt;/Valeur&gt;</v>
      </c>
      <c r="AH27" t="str">
        <f t="shared" si="13"/>
        <v>&lt;Valeur name="tva"&gt;0.808333333333333&lt;/Valeur&gt;</v>
      </c>
      <c r="AL27" t="str">
        <f t="shared" si="14"/>
        <v>&lt;Insert&gt;&lt;Valeur name="no"&gt;26&lt;/Valeur&gt;&lt;Valeur name="ecriturebanque"&gt;25&lt;/Valeur&gt;&lt;Valeur name="datevaleur"&gt;2019/02/12&lt;/Valeur&gt;&lt;Valeur name="compte"&gt;27&lt;/Valeur&gt;&lt;Valeur name="description"&gt;CB 454106 FOUR D ANNA 59VILLENEU&lt;/Valeur&gt;&lt;Valeur name="valeur"&gt;4.85&lt;/Valeur&gt;&lt;Valeur name="compta"&gt;1&lt;/Valeur&gt;&lt;Valeur name="tvapct"&gt;20&lt;/Valeur&gt;&lt;Valeur name="tva"&gt;0.808333333333333&lt;/Valeur&gt;&lt;/Insert&gt;</v>
      </c>
    </row>
    <row r="28" spans="1:38" x14ac:dyDescent="0.25">
      <c r="A28">
        <v>26</v>
      </c>
      <c r="B28">
        <f>IF(A28&lt;&gt;"",VLOOKUP(A28,Banque!B:D,3,FALSE),1)</f>
        <v>0</v>
      </c>
      <c r="C28" s="1">
        <v>43508</v>
      </c>
      <c r="D28" t="s">
        <v>370</v>
      </c>
      <c r="E28" t="s">
        <v>37</v>
      </c>
      <c r="F28" t="s">
        <v>249</v>
      </c>
      <c r="H28" s="10">
        <v>23562.7</v>
      </c>
      <c r="I28" s="11">
        <f t="shared" si="0"/>
        <v>-3927.116666666665</v>
      </c>
      <c r="K28">
        <v>27</v>
      </c>
      <c r="L28">
        <v>26</v>
      </c>
      <c r="M28" s="16" t="s">
        <v>877</v>
      </c>
      <c r="N28">
        <f>IFERROR(VLOOKUP(D28,tab!A:B,2,FALSE),1)</f>
        <v>9</v>
      </c>
      <c r="O28" t="str">
        <f t="shared" si="1"/>
        <v>VIR TRESORERIE VILLENEUVE D / FAC NoAF241-2 DU 31/12/2018VILLE</v>
      </c>
      <c r="P28" s="14">
        <f t="shared" si="2"/>
        <v>23562.7</v>
      </c>
      <c r="Q28" s="14">
        <f t="shared" si="3"/>
        <v>0</v>
      </c>
      <c r="R28" s="14">
        <v>20</v>
      </c>
      <c r="S28" s="14">
        <f t="shared" si="4"/>
        <v>-3927.116666666665</v>
      </c>
      <c r="Z28" t="str">
        <f t="shared" si="5"/>
        <v>&lt;Valeur name="no"&gt;27&lt;/Valeur&gt;</v>
      </c>
      <c r="AA28" t="str">
        <f t="shared" si="6"/>
        <v>&lt;Valeur name="ecriturebanque"&gt;26&lt;/Valeur&gt;</v>
      </c>
      <c r="AB28" t="str">
        <f t="shared" si="7"/>
        <v>&lt;Valeur name="datevaleur"&gt;2019/02/12&lt;/Valeur&gt;</v>
      </c>
      <c r="AC28" t="str">
        <f t="shared" si="8"/>
        <v>&lt;Valeur name="compte"&gt;9&lt;/Valeur&gt;</v>
      </c>
      <c r="AD28" t="str">
        <f t="shared" si="9"/>
        <v>&lt;Valeur name="description"&gt;VIR TRESORERIE VILLENEUVE D / FAC NoAF241-2 DU 31/12/2018VILLE&lt;/Valeur&gt;</v>
      </c>
      <c r="AE28" t="str">
        <f t="shared" si="10"/>
        <v>&lt;Valeur name="valeur"&gt;23562.7&lt;/Valeur&gt;</v>
      </c>
      <c r="AF28" t="str">
        <f t="shared" si="11"/>
        <v>&lt;Valeur name="compta"&gt;0&lt;/Valeur&gt;</v>
      </c>
      <c r="AG28" t="str">
        <f t="shared" si="12"/>
        <v>&lt;Valeur name="tvapct"&gt;20&lt;/Valeur&gt;</v>
      </c>
      <c r="AH28" t="str">
        <f t="shared" si="13"/>
        <v>&lt;Valeur name="tva"&gt;-3927.11666666666&lt;/Valeur&gt;</v>
      </c>
      <c r="AL28" t="str">
        <f t="shared" si="14"/>
        <v>&lt;Insert&gt;&lt;Valeur name="no"&gt;27&lt;/Valeur&gt;&lt;Valeur name="ecriturebanque"&gt;26&lt;/Valeur&gt;&lt;Valeur name="datevaleur"&gt;2019/02/12&lt;/Valeur&gt;&lt;Valeur name="compte"&gt;9&lt;/Valeur&gt;&lt;Valeur name="description"&gt;VIR TRESORERIE VILLENEUVE D / FAC NoAF241-2 DU 31/12/2018VILLE&lt;/Valeur&gt;&lt;Valeur name="valeur"&gt;23562.7&lt;/Valeur&gt;&lt;Valeur name="compta"&gt;0&lt;/Valeur&gt;&lt;Valeur name="tvapct"&gt;20&lt;/Valeur&gt;&lt;Valeur name="tva"&gt;-3927.11666666666&lt;/Valeur&gt;&lt;/Insert&gt;</v>
      </c>
    </row>
    <row r="29" spans="1:38" x14ac:dyDescent="0.25">
      <c r="A29">
        <v>27</v>
      </c>
      <c r="B29">
        <f>IF(A29&lt;&gt;"",VLOOKUP(A29,Banque!B:D,3,FALSE),1)</f>
        <v>1</v>
      </c>
      <c r="C29" s="1">
        <v>43509</v>
      </c>
      <c r="D29" t="s">
        <v>253</v>
      </c>
      <c r="E29" t="s">
        <v>149</v>
      </c>
      <c r="G29" s="10">
        <v>51.11</v>
      </c>
      <c r="I29" s="11">
        <f t="shared" si="0"/>
        <v>8.5183333333333309</v>
      </c>
      <c r="K29">
        <v>28</v>
      </c>
      <c r="L29">
        <v>27</v>
      </c>
      <c r="M29" s="16" t="s">
        <v>951</v>
      </c>
      <c r="N29">
        <f>IFERROR(VLOOKUP(D29,tab!A:B,2,FALSE),1)</f>
        <v>13</v>
      </c>
      <c r="O29" t="str">
        <f t="shared" si="1"/>
        <v>CB 548222 CARREFOUR D 59AULNOY L</v>
      </c>
      <c r="P29" s="14">
        <f t="shared" si="2"/>
        <v>51.11</v>
      </c>
      <c r="Q29" s="14">
        <f t="shared" si="3"/>
        <v>1</v>
      </c>
      <c r="R29" s="14">
        <v>20</v>
      </c>
      <c r="S29" s="14">
        <f t="shared" si="4"/>
        <v>8.5183333333333309</v>
      </c>
      <c r="Z29" t="str">
        <f t="shared" si="5"/>
        <v>&lt;Valeur name="no"&gt;28&lt;/Valeur&gt;</v>
      </c>
      <c r="AA29" t="str">
        <f t="shared" si="6"/>
        <v>&lt;Valeur name="ecriturebanque"&gt;27&lt;/Valeur&gt;</v>
      </c>
      <c r="AB29" t="str">
        <f t="shared" si="7"/>
        <v>&lt;Valeur name="datevaleur"&gt;2019/02/13&lt;/Valeur&gt;</v>
      </c>
      <c r="AC29" t="str">
        <f t="shared" si="8"/>
        <v>&lt;Valeur name="compte"&gt;13&lt;/Valeur&gt;</v>
      </c>
      <c r="AD29" t="str">
        <f t="shared" si="9"/>
        <v>&lt;Valeur name="description"&gt;CB 548222 CARREFOUR D 59AULNOY L&lt;/Valeur&gt;</v>
      </c>
      <c r="AE29" t="str">
        <f t="shared" si="10"/>
        <v>&lt;Valeur name="valeur"&gt;51.11&lt;/Valeur&gt;</v>
      </c>
      <c r="AF29" t="str">
        <f t="shared" si="11"/>
        <v>&lt;Valeur name="compta"&gt;1&lt;/Valeur&gt;</v>
      </c>
      <c r="AG29" t="str">
        <f t="shared" si="12"/>
        <v>&lt;Valeur name="tvapct"&gt;20&lt;/Valeur&gt;</v>
      </c>
      <c r="AH29" t="str">
        <f t="shared" si="13"/>
        <v>&lt;Valeur name="tva"&gt;8.51833333333333&lt;/Valeur&gt;</v>
      </c>
      <c r="AL29" t="str">
        <f t="shared" si="14"/>
        <v>&lt;Insert&gt;&lt;Valeur name="no"&gt;28&lt;/Valeur&gt;&lt;Valeur name="ecriturebanque"&gt;27&lt;/Valeur&gt;&lt;Valeur name="datevaleur"&gt;2019/02/13&lt;/Valeur&gt;&lt;Valeur name="compte"&gt;13&lt;/Valeur&gt;&lt;Valeur name="description"&gt;CB 548222 CARREFOUR D 59AULNOY L&lt;/Valeur&gt;&lt;Valeur name="valeur"&gt;51.11&lt;/Valeur&gt;&lt;Valeur name="compta"&gt;1&lt;/Valeur&gt;&lt;Valeur name="tvapct"&gt;20&lt;/Valeur&gt;&lt;Valeur name="tva"&gt;8.51833333333333&lt;/Valeur&gt;&lt;/Insert&gt;</v>
      </c>
    </row>
    <row r="30" spans="1:38" x14ac:dyDescent="0.25">
      <c r="A30">
        <v>28</v>
      </c>
      <c r="B30">
        <f>IF(A30&lt;&gt;"",VLOOKUP(A30,Banque!B:D,3,FALSE),1)</f>
        <v>0</v>
      </c>
      <c r="C30" s="1">
        <v>43510</v>
      </c>
      <c r="D30" t="s">
        <v>255</v>
      </c>
      <c r="E30" t="s">
        <v>238</v>
      </c>
      <c r="G30" s="10">
        <v>1300</v>
      </c>
      <c r="I30" s="11">
        <f t="shared" si="0"/>
        <v>216.66666666666652</v>
      </c>
      <c r="K30">
        <v>29</v>
      </c>
      <c r="L30">
        <v>28</v>
      </c>
      <c r="M30" s="16" t="s">
        <v>952</v>
      </c>
      <c r="N30">
        <f>IFERROR(VLOOKUP(D30,tab!A:B,2,FALSE),1)</f>
        <v>20</v>
      </c>
      <c r="O30" t="str">
        <f t="shared" si="1"/>
        <v>E-VIR SEPA Loyer</v>
      </c>
      <c r="P30" s="14">
        <f t="shared" si="2"/>
        <v>1300</v>
      </c>
      <c r="Q30" s="14">
        <f t="shared" si="3"/>
        <v>0</v>
      </c>
      <c r="R30" s="14">
        <v>20</v>
      </c>
      <c r="S30" s="14">
        <f t="shared" si="4"/>
        <v>216.66666666666652</v>
      </c>
      <c r="Z30" t="str">
        <f t="shared" si="5"/>
        <v>&lt;Valeur name="no"&gt;29&lt;/Valeur&gt;</v>
      </c>
      <c r="AA30" t="str">
        <f t="shared" si="6"/>
        <v>&lt;Valeur name="ecriturebanque"&gt;28&lt;/Valeur&gt;</v>
      </c>
      <c r="AB30" t="str">
        <f t="shared" si="7"/>
        <v>&lt;Valeur name="datevaleur"&gt;2019/02/14&lt;/Valeur&gt;</v>
      </c>
      <c r="AC30" t="str">
        <f t="shared" si="8"/>
        <v>&lt;Valeur name="compte"&gt;20&lt;/Valeur&gt;</v>
      </c>
      <c r="AD30" t="str">
        <f t="shared" si="9"/>
        <v>&lt;Valeur name="description"&gt;E-VIR SEPA Loyer&lt;/Valeur&gt;</v>
      </c>
      <c r="AE30" t="str">
        <f t="shared" si="10"/>
        <v>&lt;Valeur name="valeur"&gt;1300&lt;/Valeur&gt;</v>
      </c>
      <c r="AF30" t="str">
        <f t="shared" si="11"/>
        <v>&lt;Valeur name="compta"&gt;0&lt;/Valeur&gt;</v>
      </c>
      <c r="AG30" t="str">
        <f t="shared" si="12"/>
        <v>&lt;Valeur name="tvapct"&gt;20&lt;/Valeur&gt;</v>
      </c>
      <c r="AH30" t="str">
        <f t="shared" si="13"/>
        <v>&lt;Valeur name="tva"&gt;216.666666666667&lt;/Valeur&gt;</v>
      </c>
      <c r="AL30" t="str">
        <f t="shared" si="14"/>
        <v>&lt;Insert&gt;&lt;Valeur name="no"&gt;29&lt;/Valeur&gt;&lt;Valeur name="ecriturebanque"&gt;28&lt;/Valeur&gt;&lt;Valeur name="datevaleur"&gt;2019/02/14&lt;/Valeur&gt;&lt;Valeur name="compte"&gt;20&lt;/Valeur&gt;&lt;Valeur name="description"&gt;E-VIR SEPA Loyer&lt;/Valeur&gt;&lt;Valeur name="valeur"&gt;1300&lt;/Valeur&gt;&lt;Valeur name="compta"&gt;0&lt;/Valeur&gt;&lt;Valeur name="tvapct"&gt;20&lt;/Valeur&gt;&lt;Valeur name="tva"&gt;216.666666666667&lt;/Valeur&gt;&lt;/Insert&gt;</v>
      </c>
    </row>
    <row r="31" spans="1:38" x14ac:dyDescent="0.25">
      <c r="A31">
        <v>29</v>
      </c>
      <c r="B31">
        <f>IF(A31&lt;&gt;"",VLOOKUP(A31,Banque!B:D,3,FALSE),1)</f>
        <v>1</v>
      </c>
      <c r="C31" s="1">
        <v>43510</v>
      </c>
      <c r="D31" t="s">
        <v>373</v>
      </c>
      <c r="E31" t="s">
        <v>132</v>
      </c>
      <c r="G31" s="10">
        <v>90</v>
      </c>
      <c r="I31" s="11">
        <f t="shared" si="0"/>
        <v>15</v>
      </c>
      <c r="K31">
        <v>30</v>
      </c>
      <c r="L31">
        <v>29</v>
      </c>
      <c r="M31" s="16" t="s">
        <v>952</v>
      </c>
      <c r="N31">
        <f>IFERROR(VLOOKUP(D31,tab!A:B,2,FALSE),1)</f>
        <v>38</v>
      </c>
      <c r="O31" t="str">
        <f t="shared" si="1"/>
        <v>CB 548222 BRICO DEPOT 59AULNOY L</v>
      </c>
      <c r="P31" s="14">
        <f t="shared" si="2"/>
        <v>90</v>
      </c>
      <c r="Q31" s="14">
        <f t="shared" si="3"/>
        <v>1</v>
      </c>
      <c r="R31" s="14">
        <v>20</v>
      </c>
      <c r="S31" s="14">
        <f t="shared" si="4"/>
        <v>15</v>
      </c>
      <c r="Z31" t="str">
        <f t="shared" si="5"/>
        <v>&lt;Valeur name="no"&gt;30&lt;/Valeur&gt;</v>
      </c>
      <c r="AA31" t="str">
        <f t="shared" si="6"/>
        <v>&lt;Valeur name="ecriturebanque"&gt;29&lt;/Valeur&gt;</v>
      </c>
      <c r="AB31" t="str">
        <f t="shared" si="7"/>
        <v>&lt;Valeur name="datevaleur"&gt;2019/02/14&lt;/Valeur&gt;</v>
      </c>
      <c r="AC31" t="str">
        <f t="shared" si="8"/>
        <v>&lt;Valeur name="compte"&gt;38&lt;/Valeur&gt;</v>
      </c>
      <c r="AD31" t="str">
        <f t="shared" si="9"/>
        <v>&lt;Valeur name="description"&gt;CB 548222 BRICO DEPOT 59AULNOY L&lt;/Valeur&gt;</v>
      </c>
      <c r="AE31" t="str">
        <f t="shared" si="10"/>
        <v>&lt;Valeur name="valeur"&gt;90&lt;/Valeur&gt;</v>
      </c>
      <c r="AF31" t="str">
        <f t="shared" si="11"/>
        <v>&lt;Valeur name="compta"&gt;1&lt;/Valeur&gt;</v>
      </c>
      <c r="AG31" t="str">
        <f t="shared" si="12"/>
        <v>&lt;Valeur name="tvapct"&gt;20&lt;/Valeur&gt;</v>
      </c>
      <c r="AH31" t="str">
        <f t="shared" si="13"/>
        <v>&lt;Valeur name="tva"&gt;15&lt;/Valeur&gt;</v>
      </c>
      <c r="AL31" t="str">
        <f t="shared" si="14"/>
        <v>&lt;Insert&gt;&lt;Valeur name="no"&gt;30&lt;/Valeur&gt;&lt;Valeur name="ecriturebanque"&gt;29&lt;/Valeur&gt;&lt;Valeur name="datevaleur"&gt;2019/02/14&lt;/Valeur&gt;&lt;Valeur name="compte"&gt;38&lt;/Valeur&gt;&lt;Valeur name="description"&gt;CB 548222 BRICO DEPOT 59AULNOY L&lt;/Valeur&gt;&lt;Valeur name="valeur"&gt;90&lt;/Valeur&gt;&lt;Valeur name="compta"&gt;1&lt;/Valeur&gt;&lt;Valeur name="tvapct"&gt;20&lt;/Valeur&gt;&lt;Valeur name="tva"&gt;15&lt;/Valeur&gt;&lt;/Insert&gt;</v>
      </c>
    </row>
    <row r="32" spans="1:38" x14ac:dyDescent="0.25">
      <c r="A32">
        <v>30</v>
      </c>
      <c r="B32">
        <f>IF(A32&lt;&gt;"",VLOOKUP(A32,Banque!B:D,3,FALSE),1)</f>
        <v>1</v>
      </c>
      <c r="C32" s="1">
        <v>43510</v>
      </c>
      <c r="D32" t="s">
        <v>253</v>
      </c>
      <c r="E32" t="s">
        <v>242</v>
      </c>
      <c r="G32" s="10">
        <v>94.12</v>
      </c>
      <c r="I32" s="11">
        <f t="shared" si="0"/>
        <v>15.686666666666667</v>
      </c>
      <c r="K32">
        <v>31</v>
      </c>
      <c r="L32">
        <v>30</v>
      </c>
      <c r="M32" s="16" t="s">
        <v>952</v>
      </c>
      <c r="N32">
        <f>IFERROR(VLOOKUP(D32,tab!A:B,2,FALSE),1)</f>
        <v>13</v>
      </c>
      <c r="O32" t="str">
        <f t="shared" si="1"/>
        <v>CB 454106 RELAIS ARRA 62ARRAS CE</v>
      </c>
      <c r="P32" s="14">
        <f t="shared" si="2"/>
        <v>94.12</v>
      </c>
      <c r="Q32" s="14">
        <f t="shared" si="3"/>
        <v>1</v>
      </c>
      <c r="R32" s="14">
        <v>20</v>
      </c>
      <c r="S32" s="14">
        <f t="shared" si="4"/>
        <v>15.686666666666667</v>
      </c>
      <c r="Z32" t="str">
        <f t="shared" si="5"/>
        <v>&lt;Valeur name="no"&gt;31&lt;/Valeur&gt;</v>
      </c>
      <c r="AA32" t="str">
        <f t="shared" si="6"/>
        <v>&lt;Valeur name="ecriturebanque"&gt;30&lt;/Valeur&gt;</v>
      </c>
      <c r="AB32" t="str">
        <f t="shared" si="7"/>
        <v>&lt;Valeur name="datevaleur"&gt;2019/02/14&lt;/Valeur&gt;</v>
      </c>
      <c r="AC32" t="str">
        <f t="shared" si="8"/>
        <v>&lt;Valeur name="compte"&gt;13&lt;/Valeur&gt;</v>
      </c>
      <c r="AD32" t="str">
        <f t="shared" si="9"/>
        <v>&lt;Valeur name="description"&gt;CB 454106 RELAIS ARRA 62ARRAS CE&lt;/Valeur&gt;</v>
      </c>
      <c r="AE32" t="str">
        <f t="shared" si="10"/>
        <v>&lt;Valeur name="valeur"&gt;94.12&lt;/Valeur&gt;</v>
      </c>
      <c r="AF32" t="str">
        <f t="shared" si="11"/>
        <v>&lt;Valeur name="compta"&gt;1&lt;/Valeur&gt;</v>
      </c>
      <c r="AG32" t="str">
        <f t="shared" si="12"/>
        <v>&lt;Valeur name="tvapct"&gt;20&lt;/Valeur&gt;</v>
      </c>
      <c r="AH32" t="str">
        <f t="shared" si="13"/>
        <v>&lt;Valeur name="tva"&gt;15.6866666666667&lt;/Valeur&gt;</v>
      </c>
      <c r="AL32" t="str">
        <f t="shared" si="14"/>
        <v>&lt;Insert&gt;&lt;Valeur name="no"&gt;31&lt;/Valeur&gt;&lt;Valeur name="ecriturebanque"&gt;30&lt;/Valeur&gt;&lt;Valeur name="datevaleur"&gt;2019/02/14&lt;/Valeur&gt;&lt;Valeur name="compte"&gt;13&lt;/Valeur&gt;&lt;Valeur name="description"&gt;CB 454106 RELAIS ARRA 62ARRAS CE&lt;/Valeur&gt;&lt;Valeur name="valeur"&gt;94.12&lt;/Valeur&gt;&lt;Valeur name="compta"&gt;1&lt;/Valeur&gt;&lt;Valeur name="tvapct"&gt;20&lt;/Valeur&gt;&lt;Valeur name="tva"&gt;15.6866666666667&lt;/Valeur&gt;&lt;/Insert&gt;</v>
      </c>
    </row>
    <row r="33" spans="1:38" x14ac:dyDescent="0.25">
      <c r="A33">
        <v>31</v>
      </c>
      <c r="B33">
        <f>IF(A33&lt;&gt;"",VLOOKUP(A33,Banque!B:D,3,FALSE),1)</f>
        <v>1</v>
      </c>
      <c r="C33" s="1">
        <v>43510</v>
      </c>
      <c r="D33" t="s">
        <v>254</v>
      </c>
      <c r="E33" t="s">
        <v>219</v>
      </c>
      <c r="G33" s="10">
        <v>15.8</v>
      </c>
      <c r="I33" s="11">
        <f t="shared" si="0"/>
        <v>2.6333333333333329</v>
      </c>
      <c r="K33">
        <v>32</v>
      </c>
      <c r="L33">
        <v>31</v>
      </c>
      <c r="M33" s="16" t="s">
        <v>952</v>
      </c>
      <c r="N33">
        <f>IFERROR(VLOOKUP(D33,tab!A:B,2,FALSE),1)</f>
        <v>27</v>
      </c>
      <c r="O33" t="str">
        <f t="shared" si="1"/>
        <v>CB 454106 SHELL 3298  62RUMAUCOU</v>
      </c>
      <c r="P33" s="14">
        <f t="shared" si="2"/>
        <v>15.8</v>
      </c>
      <c r="Q33" s="14">
        <f t="shared" si="3"/>
        <v>1</v>
      </c>
      <c r="R33" s="14">
        <v>20</v>
      </c>
      <c r="S33" s="14">
        <f t="shared" si="4"/>
        <v>2.6333333333333329</v>
      </c>
      <c r="Z33" t="str">
        <f t="shared" si="5"/>
        <v>&lt;Valeur name="no"&gt;32&lt;/Valeur&gt;</v>
      </c>
      <c r="AA33" t="str">
        <f t="shared" si="6"/>
        <v>&lt;Valeur name="ecriturebanque"&gt;31&lt;/Valeur&gt;</v>
      </c>
      <c r="AB33" t="str">
        <f t="shared" si="7"/>
        <v>&lt;Valeur name="datevaleur"&gt;2019/02/14&lt;/Valeur&gt;</v>
      </c>
      <c r="AC33" t="str">
        <f t="shared" si="8"/>
        <v>&lt;Valeur name="compte"&gt;27&lt;/Valeur&gt;</v>
      </c>
      <c r="AD33" t="str">
        <f t="shared" si="9"/>
        <v>&lt;Valeur name="description"&gt;CB 454106 SHELL 3298  62RUMAUCOU&lt;/Valeur&gt;</v>
      </c>
      <c r="AE33" t="str">
        <f t="shared" si="10"/>
        <v>&lt;Valeur name="valeur"&gt;15.8&lt;/Valeur&gt;</v>
      </c>
      <c r="AF33" t="str">
        <f t="shared" si="11"/>
        <v>&lt;Valeur name="compta"&gt;1&lt;/Valeur&gt;</v>
      </c>
      <c r="AG33" t="str">
        <f t="shared" si="12"/>
        <v>&lt;Valeur name="tvapct"&gt;20&lt;/Valeur&gt;</v>
      </c>
      <c r="AH33" t="str">
        <f t="shared" si="13"/>
        <v>&lt;Valeur name="tva"&gt;2.63333333333333&lt;/Valeur&gt;</v>
      </c>
      <c r="AL33" t="str">
        <f t="shared" si="14"/>
        <v>&lt;Insert&gt;&lt;Valeur name="no"&gt;32&lt;/Valeur&gt;&lt;Valeur name="ecriturebanque"&gt;31&lt;/Valeur&gt;&lt;Valeur name="datevaleur"&gt;2019/02/14&lt;/Valeur&gt;&lt;Valeur name="compte"&gt;27&lt;/Valeur&gt;&lt;Valeur name="description"&gt;CB 454106 SHELL 3298  62RUMAUCOU&lt;/Valeur&gt;&lt;Valeur name="valeur"&gt;15.8&lt;/Valeur&gt;&lt;Valeur name="compta"&gt;1&lt;/Valeur&gt;&lt;Valeur name="tvapct"&gt;20&lt;/Valeur&gt;&lt;Valeur name="tva"&gt;2.63333333333333&lt;/Valeur&gt;&lt;/Insert&gt;</v>
      </c>
    </row>
    <row r="34" spans="1:38" x14ac:dyDescent="0.25">
      <c r="B34">
        <f>IF(A34&lt;&gt;"",VLOOKUP(A34,Banque!B:D,3,FALSE),1)</f>
        <v>1</v>
      </c>
      <c r="C34" s="1">
        <v>43511</v>
      </c>
      <c r="D34" t="s">
        <v>268</v>
      </c>
      <c r="G34" s="10">
        <v>797.12</v>
      </c>
      <c r="I34" s="11">
        <f t="shared" si="0"/>
        <v>132.85333333333335</v>
      </c>
      <c r="K34">
        <v>33</v>
      </c>
      <c r="L34">
        <v>32</v>
      </c>
      <c r="M34" s="16" t="s">
        <v>904</v>
      </c>
      <c r="N34">
        <f>IFERROR(VLOOKUP(D34,tab!A:B,2,FALSE),1)</f>
        <v>106</v>
      </c>
      <c r="O34" t="str">
        <f t="shared" si="1"/>
        <v/>
      </c>
      <c r="P34" s="14">
        <f t="shared" si="2"/>
        <v>797.12</v>
      </c>
      <c r="Q34" s="14">
        <f t="shared" si="3"/>
        <v>1</v>
      </c>
      <c r="R34" s="14">
        <v>20</v>
      </c>
      <c r="S34" s="14">
        <f t="shared" si="4"/>
        <v>132.85333333333335</v>
      </c>
      <c r="Z34" t="str">
        <f t="shared" si="5"/>
        <v>&lt;Valeur name="no"&gt;33&lt;/Valeur&gt;</v>
      </c>
      <c r="AA34" t="str">
        <f t="shared" si="6"/>
        <v>&lt;Valeur name="ecriturebanque"&gt;32&lt;/Valeur&gt;</v>
      </c>
      <c r="AB34" t="str">
        <f t="shared" si="7"/>
        <v>&lt;Valeur name="datevaleur"&gt;2019/02/15&lt;/Valeur&gt;</v>
      </c>
      <c r="AC34" t="str">
        <f t="shared" si="8"/>
        <v>&lt;Valeur name="compte"&gt;106&lt;/Valeur&gt;</v>
      </c>
      <c r="AD34" t="str">
        <f t="shared" si="9"/>
        <v>&lt;Valeur name="description"&gt;&lt;/Valeur&gt;</v>
      </c>
      <c r="AE34" t="str">
        <f t="shared" si="10"/>
        <v>&lt;Valeur name="valeur"&gt;797.12&lt;/Valeur&gt;</v>
      </c>
      <c r="AF34" t="str">
        <f t="shared" si="11"/>
        <v>&lt;Valeur name="compta"&gt;1&lt;/Valeur&gt;</v>
      </c>
      <c r="AG34" t="str">
        <f t="shared" si="12"/>
        <v>&lt;Valeur name="tvapct"&gt;20&lt;/Valeur&gt;</v>
      </c>
      <c r="AH34" t="str">
        <f t="shared" si="13"/>
        <v>&lt;Valeur name="tva"&gt;132.853333333333&lt;/Valeur&gt;</v>
      </c>
      <c r="AL34" t="str">
        <f t="shared" si="14"/>
        <v>&lt;Insert&gt;&lt;Valeur name="no"&gt;33&lt;/Valeur&gt;&lt;Valeur name="ecriturebanque"&gt;32&lt;/Valeur&gt;&lt;Valeur name="datevaleur"&gt;2019/02/15&lt;/Valeur&gt;&lt;Valeur name="compte"&gt;106&lt;/Valeur&gt;&lt;Valeur name="description"&gt;&lt;/Valeur&gt;&lt;Valeur name="valeur"&gt;797.12&lt;/Valeur&gt;&lt;Valeur name="compta"&gt;1&lt;/Valeur&gt;&lt;Valeur name="tvapct"&gt;20&lt;/Valeur&gt;&lt;Valeur name="tva"&gt;132.853333333333&lt;/Valeur&gt;&lt;/Insert&gt;</v>
      </c>
    </row>
    <row r="35" spans="1:38" x14ac:dyDescent="0.25">
      <c r="B35">
        <f>IF(A35&lt;&gt;"",VLOOKUP(A35,Banque!B:D,3,FALSE),1)</f>
        <v>1</v>
      </c>
      <c r="C35" s="1">
        <v>43511</v>
      </c>
      <c r="D35" t="s">
        <v>279</v>
      </c>
      <c r="G35" s="10">
        <v>1330.73</v>
      </c>
      <c r="I35" s="11">
        <f t="shared" si="0"/>
        <v>221.78833333333318</v>
      </c>
      <c r="K35">
        <v>34</v>
      </c>
      <c r="L35">
        <v>32</v>
      </c>
      <c r="M35" s="16" t="s">
        <v>904</v>
      </c>
      <c r="N35">
        <f>IFERROR(VLOOKUP(D35,tab!A:B,2,FALSE),1)</f>
        <v>54</v>
      </c>
      <c r="O35" t="str">
        <f t="shared" si="1"/>
        <v/>
      </c>
      <c r="P35" s="14">
        <f t="shared" si="2"/>
        <v>1330.73</v>
      </c>
      <c r="Q35" s="14">
        <f t="shared" si="3"/>
        <v>1</v>
      </c>
      <c r="R35" s="14">
        <v>20</v>
      </c>
      <c r="S35" s="14">
        <f t="shared" si="4"/>
        <v>221.78833333333318</v>
      </c>
      <c r="Z35" t="str">
        <f t="shared" si="5"/>
        <v>&lt;Valeur name="no"&gt;34&lt;/Valeur&gt;</v>
      </c>
      <c r="AA35" t="str">
        <f t="shared" si="6"/>
        <v>&lt;Valeur name="ecriturebanque"&gt;32&lt;/Valeur&gt;</v>
      </c>
      <c r="AB35" t="str">
        <f t="shared" si="7"/>
        <v>&lt;Valeur name="datevaleur"&gt;2019/02/15&lt;/Valeur&gt;</v>
      </c>
      <c r="AC35" t="str">
        <f t="shared" si="8"/>
        <v>&lt;Valeur name="compte"&gt;54&lt;/Valeur&gt;</v>
      </c>
      <c r="AD35" t="str">
        <f t="shared" si="9"/>
        <v>&lt;Valeur name="description"&gt;&lt;/Valeur&gt;</v>
      </c>
      <c r="AE35" t="str">
        <f t="shared" si="10"/>
        <v>&lt;Valeur name="valeur"&gt;1330.73&lt;/Valeur&gt;</v>
      </c>
      <c r="AF35" t="str">
        <f t="shared" si="11"/>
        <v>&lt;Valeur name="compta"&gt;1&lt;/Valeur&gt;</v>
      </c>
      <c r="AG35" t="str">
        <f t="shared" si="12"/>
        <v>&lt;Valeur name="tvapct"&gt;20&lt;/Valeur&gt;</v>
      </c>
      <c r="AH35" t="str">
        <f t="shared" si="13"/>
        <v>&lt;Valeur name="tva"&gt;221.788333333333&lt;/Valeur&gt;</v>
      </c>
      <c r="AL35" t="str">
        <f t="shared" si="14"/>
        <v>&lt;Insert&gt;&lt;Valeur name="no"&gt;34&lt;/Valeur&gt;&lt;Valeur name="ecriturebanque"&gt;32&lt;/Valeur&gt;&lt;Valeur name="datevaleur"&gt;2019/02/15&lt;/Valeur&gt;&lt;Valeur name="compte"&gt;54&lt;/Valeur&gt;&lt;Valeur name="description"&gt;&lt;/Valeur&gt;&lt;Valeur name="valeur"&gt;1330.73&lt;/Valeur&gt;&lt;Valeur name="compta"&gt;1&lt;/Valeur&gt;&lt;Valeur name="tvapct"&gt;20&lt;/Valeur&gt;&lt;Valeur name="tva"&gt;221.788333333333&lt;/Valeur&gt;&lt;/Insert&gt;</v>
      </c>
    </row>
    <row r="36" spans="1:38" x14ac:dyDescent="0.25">
      <c r="B36">
        <f>IF(A36&lt;&gt;"",VLOOKUP(A36,Banque!B:D,3,FALSE),1)</f>
        <v>1</v>
      </c>
      <c r="C36" s="1">
        <v>43511</v>
      </c>
      <c r="D36" t="s">
        <v>262</v>
      </c>
      <c r="G36" s="10">
        <v>4249.74</v>
      </c>
      <c r="I36" s="11">
        <f t="shared" si="0"/>
        <v>708.29</v>
      </c>
      <c r="K36">
        <v>35</v>
      </c>
      <c r="L36">
        <v>32</v>
      </c>
      <c r="M36" s="16" t="s">
        <v>904</v>
      </c>
      <c r="N36">
        <f>IFERROR(VLOOKUP(D36,tab!A:B,2,FALSE),1)</f>
        <v>65</v>
      </c>
      <c r="O36" t="str">
        <f t="shared" si="1"/>
        <v/>
      </c>
      <c r="P36" s="14">
        <f t="shared" si="2"/>
        <v>4249.74</v>
      </c>
      <c r="Q36" s="14">
        <f t="shared" si="3"/>
        <v>1</v>
      </c>
      <c r="R36" s="14">
        <v>20</v>
      </c>
      <c r="S36" s="14">
        <f t="shared" si="4"/>
        <v>708.29</v>
      </c>
      <c r="Z36" t="str">
        <f t="shared" si="5"/>
        <v>&lt;Valeur name="no"&gt;35&lt;/Valeur&gt;</v>
      </c>
      <c r="AA36" t="str">
        <f t="shared" si="6"/>
        <v>&lt;Valeur name="ecriturebanque"&gt;32&lt;/Valeur&gt;</v>
      </c>
      <c r="AB36" t="str">
        <f t="shared" si="7"/>
        <v>&lt;Valeur name="datevaleur"&gt;2019/02/15&lt;/Valeur&gt;</v>
      </c>
      <c r="AC36" t="str">
        <f t="shared" si="8"/>
        <v>&lt;Valeur name="compte"&gt;65&lt;/Valeur&gt;</v>
      </c>
      <c r="AD36" t="str">
        <f t="shared" si="9"/>
        <v>&lt;Valeur name="description"&gt;&lt;/Valeur&gt;</v>
      </c>
      <c r="AE36" t="str">
        <f t="shared" si="10"/>
        <v>&lt;Valeur name="valeur"&gt;4249.74&lt;/Valeur&gt;</v>
      </c>
      <c r="AF36" t="str">
        <f t="shared" si="11"/>
        <v>&lt;Valeur name="compta"&gt;1&lt;/Valeur&gt;</v>
      </c>
      <c r="AG36" t="str">
        <f t="shared" si="12"/>
        <v>&lt;Valeur name="tvapct"&gt;20&lt;/Valeur&gt;</v>
      </c>
      <c r="AH36" t="str">
        <f t="shared" si="13"/>
        <v>&lt;Valeur name="tva"&gt;708.29&lt;/Valeur&gt;</v>
      </c>
      <c r="AL36" t="str">
        <f t="shared" si="14"/>
        <v>&lt;Insert&gt;&lt;Valeur name="no"&gt;35&lt;/Valeur&gt;&lt;Valeur name="ecriturebanque"&gt;32&lt;/Valeur&gt;&lt;Valeur name="datevaleur"&gt;2019/02/15&lt;/Valeur&gt;&lt;Valeur name="compte"&gt;65&lt;/Valeur&gt;&lt;Valeur name="description"&gt;&lt;/Valeur&gt;&lt;Valeur name="valeur"&gt;4249.74&lt;/Valeur&gt;&lt;Valeur name="compta"&gt;1&lt;/Valeur&gt;&lt;Valeur name="tvapct"&gt;20&lt;/Valeur&gt;&lt;Valeur name="tva"&gt;708.29&lt;/Valeur&gt;&lt;/Insert&gt;</v>
      </c>
    </row>
    <row r="37" spans="1:38" x14ac:dyDescent="0.25">
      <c r="A37">
        <v>33</v>
      </c>
      <c r="B37">
        <f>IF(A37&lt;&gt;"",VLOOKUP(A37,Banque!B:D,3,FALSE),1)</f>
        <v>1</v>
      </c>
      <c r="C37" s="1">
        <v>43511</v>
      </c>
      <c r="D37" t="s">
        <v>278</v>
      </c>
      <c r="E37" t="s">
        <v>233</v>
      </c>
      <c r="G37" s="10">
        <v>135</v>
      </c>
      <c r="I37" s="11">
        <f t="shared" si="0"/>
        <v>22.5</v>
      </c>
      <c r="K37">
        <v>36</v>
      </c>
      <c r="L37">
        <v>33</v>
      </c>
      <c r="M37" s="16" t="s">
        <v>904</v>
      </c>
      <c r="N37">
        <f>IFERROR(VLOOKUP(D37,tab!A:B,2,FALSE),1)</f>
        <v>11</v>
      </c>
      <c r="O37" t="str">
        <f t="shared" si="1"/>
        <v>CB 548222 AMENDE PVE  35RENNES</v>
      </c>
      <c r="P37" s="14">
        <f t="shared" si="2"/>
        <v>135</v>
      </c>
      <c r="Q37" s="14">
        <f t="shared" si="3"/>
        <v>1</v>
      </c>
      <c r="R37" s="14">
        <v>20</v>
      </c>
      <c r="S37" s="14">
        <f t="shared" si="4"/>
        <v>22.5</v>
      </c>
      <c r="Z37" t="str">
        <f t="shared" si="5"/>
        <v>&lt;Valeur name="no"&gt;36&lt;/Valeur&gt;</v>
      </c>
      <c r="AA37" t="str">
        <f t="shared" si="6"/>
        <v>&lt;Valeur name="ecriturebanque"&gt;33&lt;/Valeur&gt;</v>
      </c>
      <c r="AB37" t="str">
        <f t="shared" si="7"/>
        <v>&lt;Valeur name="datevaleur"&gt;2019/02/15&lt;/Valeur&gt;</v>
      </c>
      <c r="AC37" t="str">
        <f t="shared" si="8"/>
        <v>&lt;Valeur name="compte"&gt;11&lt;/Valeur&gt;</v>
      </c>
      <c r="AD37" t="str">
        <f t="shared" si="9"/>
        <v>&lt;Valeur name="description"&gt;CB 548222 AMENDE PVE  35RENNES&lt;/Valeur&gt;</v>
      </c>
      <c r="AE37" t="str">
        <f t="shared" si="10"/>
        <v>&lt;Valeur name="valeur"&gt;135&lt;/Valeur&gt;</v>
      </c>
      <c r="AF37" t="str">
        <f t="shared" si="11"/>
        <v>&lt;Valeur name="compta"&gt;1&lt;/Valeur&gt;</v>
      </c>
      <c r="AG37" t="str">
        <f t="shared" si="12"/>
        <v>&lt;Valeur name="tvapct"&gt;20&lt;/Valeur&gt;</v>
      </c>
      <c r="AH37" t="str">
        <f t="shared" si="13"/>
        <v>&lt;Valeur name="tva"&gt;22.5&lt;/Valeur&gt;</v>
      </c>
      <c r="AL37" t="str">
        <f t="shared" si="14"/>
        <v>&lt;Insert&gt;&lt;Valeur name="no"&gt;36&lt;/Valeur&gt;&lt;Valeur name="ecriturebanque"&gt;33&lt;/Valeur&gt;&lt;Valeur name="datevaleur"&gt;2019/02/15&lt;/Valeur&gt;&lt;Valeur name="compte"&gt;11&lt;/Valeur&gt;&lt;Valeur name="description"&gt;CB 548222 AMENDE PVE  35RENNES&lt;/Valeur&gt;&lt;Valeur name="valeur"&gt;135&lt;/Valeur&gt;&lt;Valeur name="compta"&gt;1&lt;/Valeur&gt;&lt;Valeur name="tvapct"&gt;20&lt;/Valeur&gt;&lt;Valeur name="tva"&gt;22.5&lt;/Valeur&gt;&lt;/Insert&gt;</v>
      </c>
    </row>
    <row r="38" spans="1:38" x14ac:dyDescent="0.25">
      <c r="A38">
        <v>34</v>
      </c>
      <c r="B38">
        <f>IF(A38&lt;&gt;"",VLOOKUP(A38,Banque!B:D,3,FALSE),1)</f>
        <v>1</v>
      </c>
      <c r="C38" s="1">
        <v>43511</v>
      </c>
      <c r="D38" t="s">
        <v>269</v>
      </c>
      <c r="E38" t="s">
        <v>230</v>
      </c>
      <c r="G38" s="10">
        <v>3088</v>
      </c>
      <c r="I38" s="11">
        <f t="shared" si="0"/>
        <v>514.66666666666652</v>
      </c>
      <c r="K38">
        <v>37</v>
      </c>
      <c r="L38">
        <v>34</v>
      </c>
      <c r="M38" s="16" t="s">
        <v>904</v>
      </c>
      <c r="N38">
        <f>IFERROR(VLOOKUP(D38,tab!A:B,2,FALSE),1)</f>
        <v>14</v>
      </c>
      <c r="O38" t="str">
        <f t="shared" si="1"/>
        <v>PRLV B2B CONGES INTEMPERIES BTP</v>
      </c>
      <c r="P38" s="14">
        <f t="shared" si="2"/>
        <v>3088</v>
      </c>
      <c r="Q38" s="14">
        <f t="shared" si="3"/>
        <v>1</v>
      </c>
      <c r="R38" s="14">
        <v>20</v>
      </c>
      <c r="S38" s="14">
        <f t="shared" si="4"/>
        <v>514.66666666666652</v>
      </c>
      <c r="Z38" t="str">
        <f t="shared" si="5"/>
        <v>&lt;Valeur name="no"&gt;37&lt;/Valeur&gt;</v>
      </c>
      <c r="AA38" t="str">
        <f t="shared" si="6"/>
        <v>&lt;Valeur name="ecriturebanque"&gt;34&lt;/Valeur&gt;</v>
      </c>
      <c r="AB38" t="str">
        <f t="shared" si="7"/>
        <v>&lt;Valeur name="datevaleur"&gt;2019/02/15&lt;/Valeur&gt;</v>
      </c>
      <c r="AC38" t="str">
        <f t="shared" si="8"/>
        <v>&lt;Valeur name="compte"&gt;14&lt;/Valeur&gt;</v>
      </c>
      <c r="AD38" t="str">
        <f t="shared" si="9"/>
        <v>&lt;Valeur name="description"&gt;PRLV B2B CONGES INTEMPERIES BTP&lt;/Valeur&gt;</v>
      </c>
      <c r="AE38" t="str">
        <f t="shared" si="10"/>
        <v>&lt;Valeur name="valeur"&gt;3088&lt;/Valeur&gt;</v>
      </c>
      <c r="AF38" t="str">
        <f t="shared" si="11"/>
        <v>&lt;Valeur name="compta"&gt;1&lt;/Valeur&gt;</v>
      </c>
      <c r="AG38" t="str">
        <f t="shared" si="12"/>
        <v>&lt;Valeur name="tvapct"&gt;20&lt;/Valeur&gt;</v>
      </c>
      <c r="AH38" t="str">
        <f t="shared" si="13"/>
        <v>&lt;Valeur name="tva"&gt;514.666666666667&lt;/Valeur&gt;</v>
      </c>
      <c r="AL38" t="str">
        <f t="shared" si="14"/>
        <v>&lt;Insert&gt;&lt;Valeur name="no"&gt;37&lt;/Valeur&gt;&lt;Valeur name="ecriturebanque"&gt;34&lt;/Valeur&gt;&lt;Valeur name="datevaleur"&gt;2019/02/15&lt;/Valeur&gt;&lt;Valeur name="compte"&gt;14&lt;/Valeur&gt;&lt;Valeur name="description"&gt;PRLV B2B CONGES INTEMPERIES BTP&lt;/Valeur&gt;&lt;Valeur name="valeur"&gt;3088&lt;/Valeur&gt;&lt;Valeur name="compta"&gt;1&lt;/Valeur&gt;&lt;Valeur name="tvapct"&gt;20&lt;/Valeur&gt;&lt;Valeur name="tva"&gt;514.666666666667&lt;/Valeur&gt;&lt;/Insert&gt;</v>
      </c>
    </row>
    <row r="39" spans="1:38" x14ac:dyDescent="0.25">
      <c r="A39">
        <v>35</v>
      </c>
      <c r="B39">
        <f>IF(A39&lt;&gt;"",VLOOKUP(A39,Banque!B:D,3,FALSE),1)</f>
        <v>1</v>
      </c>
      <c r="C39" s="1">
        <v>43511</v>
      </c>
      <c r="D39" t="s">
        <v>267</v>
      </c>
      <c r="E39" t="s">
        <v>52</v>
      </c>
      <c r="G39" s="10">
        <v>162</v>
      </c>
      <c r="I39" s="11">
        <f t="shared" si="0"/>
        <v>27</v>
      </c>
      <c r="K39">
        <v>38</v>
      </c>
      <c r="L39">
        <v>35</v>
      </c>
      <c r="M39" s="16" t="s">
        <v>904</v>
      </c>
      <c r="N39">
        <f>IFERROR(VLOOKUP(D39,tab!A:B,2,FALSE),1)</f>
        <v>12</v>
      </c>
      <c r="O39" t="str">
        <f t="shared" si="1"/>
        <v>PRLV SEPA MMA IARD SA-MMA IARD</v>
      </c>
      <c r="P39" s="14">
        <f t="shared" si="2"/>
        <v>162</v>
      </c>
      <c r="Q39" s="14">
        <f t="shared" si="3"/>
        <v>1</v>
      </c>
      <c r="R39" s="14">
        <v>20</v>
      </c>
      <c r="S39" s="14">
        <f t="shared" si="4"/>
        <v>27</v>
      </c>
      <c r="Z39" t="str">
        <f t="shared" si="5"/>
        <v>&lt;Valeur name="no"&gt;38&lt;/Valeur&gt;</v>
      </c>
      <c r="AA39" t="str">
        <f t="shared" si="6"/>
        <v>&lt;Valeur name="ecriturebanque"&gt;35&lt;/Valeur&gt;</v>
      </c>
      <c r="AB39" t="str">
        <f t="shared" si="7"/>
        <v>&lt;Valeur name="datevaleur"&gt;2019/02/15&lt;/Valeur&gt;</v>
      </c>
      <c r="AC39" t="str">
        <f t="shared" si="8"/>
        <v>&lt;Valeur name="compte"&gt;12&lt;/Valeur&gt;</v>
      </c>
      <c r="AD39" t="str">
        <f t="shared" si="9"/>
        <v>&lt;Valeur name="description"&gt;PRLV SEPA MMA IARD SA-MMA IARD&lt;/Valeur&gt;</v>
      </c>
      <c r="AE39" t="str">
        <f t="shared" si="10"/>
        <v>&lt;Valeur name="valeur"&gt;162&lt;/Valeur&gt;</v>
      </c>
      <c r="AF39" t="str">
        <f t="shared" si="11"/>
        <v>&lt;Valeur name="compta"&gt;1&lt;/Valeur&gt;</v>
      </c>
      <c r="AG39" t="str">
        <f t="shared" si="12"/>
        <v>&lt;Valeur name="tvapct"&gt;20&lt;/Valeur&gt;</v>
      </c>
      <c r="AH39" t="str">
        <f t="shared" si="13"/>
        <v>&lt;Valeur name="tva"&gt;27&lt;/Valeur&gt;</v>
      </c>
      <c r="AL39" t="str">
        <f t="shared" si="14"/>
        <v>&lt;Insert&gt;&lt;Valeur name="no"&gt;38&lt;/Valeur&gt;&lt;Valeur name="ecriturebanque"&gt;35&lt;/Valeur&gt;&lt;Valeur name="datevaleur"&gt;2019/02/15&lt;/Valeur&gt;&lt;Valeur name="compte"&gt;12&lt;/Valeur&gt;&lt;Valeur name="description"&gt;PRLV SEPA MMA IARD SA-MMA IARD&lt;/Valeur&gt;&lt;Valeur name="valeur"&gt;162&lt;/Valeur&gt;&lt;Valeur name="compta"&gt;1&lt;/Valeur&gt;&lt;Valeur name="tvapct"&gt;20&lt;/Valeur&gt;&lt;Valeur name="tva"&gt;27&lt;/Valeur&gt;&lt;/Insert&gt;</v>
      </c>
    </row>
    <row r="40" spans="1:38" x14ac:dyDescent="0.25">
      <c r="A40">
        <v>36</v>
      </c>
      <c r="B40">
        <f>IF(A40&lt;&gt;"",VLOOKUP(A40,Banque!B:D,3,FALSE),1)</f>
        <v>1</v>
      </c>
      <c r="C40" s="1">
        <v>43511</v>
      </c>
      <c r="D40" t="s">
        <v>257</v>
      </c>
      <c r="E40" t="s">
        <v>31</v>
      </c>
      <c r="G40" s="10">
        <v>0.21</v>
      </c>
      <c r="I40" s="11">
        <f t="shared" si="0"/>
        <v>3.5000000000000003E-2</v>
      </c>
      <c r="K40">
        <v>39</v>
      </c>
      <c r="L40">
        <v>36</v>
      </c>
      <c r="M40" s="16" t="s">
        <v>904</v>
      </c>
      <c r="N40">
        <f>IFERROR(VLOOKUP(D40,tab!A:B,2,FALSE),1)</f>
        <v>18</v>
      </c>
      <c r="O40" t="str">
        <f t="shared" si="1"/>
        <v>FRAIS E-VIR SEPA VERS EEE</v>
      </c>
      <c r="P40" s="14">
        <f t="shared" si="2"/>
        <v>0.21</v>
      </c>
      <c r="Q40" s="14">
        <f t="shared" si="3"/>
        <v>1</v>
      </c>
      <c r="R40" s="14">
        <v>20</v>
      </c>
      <c r="S40" s="14">
        <f t="shared" si="4"/>
        <v>3.5000000000000003E-2</v>
      </c>
      <c r="Z40" t="str">
        <f t="shared" si="5"/>
        <v>&lt;Valeur name="no"&gt;39&lt;/Valeur&gt;</v>
      </c>
      <c r="AA40" t="str">
        <f t="shared" si="6"/>
        <v>&lt;Valeur name="ecriturebanque"&gt;36&lt;/Valeur&gt;</v>
      </c>
      <c r="AB40" t="str">
        <f t="shared" si="7"/>
        <v>&lt;Valeur name="datevaleur"&gt;2019/02/15&lt;/Valeur&gt;</v>
      </c>
      <c r="AC40" t="str">
        <f t="shared" si="8"/>
        <v>&lt;Valeur name="compte"&gt;18&lt;/Valeur&gt;</v>
      </c>
      <c r="AD40" t="str">
        <f t="shared" si="9"/>
        <v>&lt;Valeur name="description"&gt;FRAIS E-VIR SEPA VERS EEE&lt;/Valeur&gt;</v>
      </c>
      <c r="AE40" t="str">
        <f t="shared" si="10"/>
        <v>&lt;Valeur name="valeur"&gt;0.21&lt;/Valeur&gt;</v>
      </c>
      <c r="AF40" t="str">
        <f t="shared" si="11"/>
        <v>&lt;Valeur name="compta"&gt;1&lt;/Valeur&gt;</v>
      </c>
      <c r="AG40" t="str">
        <f t="shared" si="12"/>
        <v>&lt;Valeur name="tvapct"&gt;20&lt;/Valeur&gt;</v>
      </c>
      <c r="AH40" t="str">
        <f t="shared" si="13"/>
        <v>&lt;Valeur name="tva"&gt;0.035&lt;/Valeur&gt;</v>
      </c>
      <c r="AL40" t="str">
        <f t="shared" si="14"/>
        <v>&lt;Insert&gt;&lt;Valeur name="no"&gt;39&lt;/Valeur&gt;&lt;Valeur name="ecriturebanque"&gt;36&lt;/Valeur&gt;&lt;Valeur name="datevaleur"&gt;2019/02/15&lt;/Valeur&gt;&lt;Valeur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41" spans="1:38" x14ac:dyDescent="0.25">
      <c r="A41">
        <v>37</v>
      </c>
      <c r="B41">
        <f>IF(A41&lt;&gt;"",VLOOKUP(A41,Banque!B:D,3,FALSE),1)</f>
        <v>0</v>
      </c>
      <c r="C41" s="1">
        <v>43514</v>
      </c>
      <c r="D41" t="s">
        <v>280</v>
      </c>
      <c r="E41" t="s">
        <v>217</v>
      </c>
      <c r="G41" s="10">
        <v>961.2</v>
      </c>
      <c r="I41" s="11">
        <f t="shared" si="0"/>
        <v>160.19999999999993</v>
      </c>
      <c r="K41">
        <v>40</v>
      </c>
      <c r="L41">
        <v>37</v>
      </c>
      <c r="M41" s="16" t="s">
        <v>878</v>
      </c>
      <c r="N41">
        <f>IFERROR(VLOOKUP(D41,tab!A:B,2,FALSE),1)</f>
        <v>43</v>
      </c>
      <c r="O41" t="str">
        <f t="shared" si="1"/>
        <v>E-VIR SEPA CIR Caillebotis Thery</v>
      </c>
      <c r="P41" s="14">
        <f t="shared" si="2"/>
        <v>961.2</v>
      </c>
      <c r="Q41" s="14">
        <f t="shared" si="3"/>
        <v>0</v>
      </c>
      <c r="R41" s="14">
        <v>20</v>
      </c>
      <c r="S41" s="14">
        <f t="shared" si="4"/>
        <v>160.19999999999993</v>
      </c>
      <c r="Z41" t="str">
        <f t="shared" si="5"/>
        <v>&lt;Valeur name="no"&gt;40&lt;/Valeur&gt;</v>
      </c>
      <c r="AA41" t="str">
        <f t="shared" si="6"/>
        <v>&lt;Valeur name="ecriturebanque"&gt;37&lt;/Valeur&gt;</v>
      </c>
      <c r="AB41" t="str">
        <f t="shared" si="7"/>
        <v>&lt;Valeur name="datevaleur"&gt;2019/02/18&lt;/Valeur&gt;</v>
      </c>
      <c r="AC41" t="str">
        <f t="shared" si="8"/>
        <v>&lt;Valeur name="compte"&gt;43&lt;/Valeur&gt;</v>
      </c>
      <c r="AD41" t="str">
        <f t="shared" si="9"/>
        <v>&lt;Valeur name="description"&gt;E-VIR SEPA CIR Caillebotis Thery&lt;/Valeur&gt;</v>
      </c>
      <c r="AE41" t="str">
        <f t="shared" si="10"/>
        <v>&lt;Valeur name="valeur"&gt;961.2&lt;/Valeur&gt;</v>
      </c>
      <c r="AF41" t="str">
        <f t="shared" si="11"/>
        <v>&lt;Valeur name="compta"&gt;0&lt;/Valeur&gt;</v>
      </c>
      <c r="AG41" t="str">
        <f t="shared" si="12"/>
        <v>&lt;Valeur name="tvapct"&gt;20&lt;/Valeur&gt;</v>
      </c>
      <c r="AH41" t="str">
        <f t="shared" si="13"/>
        <v>&lt;Valeur name="tva"&gt;160.2&lt;/Valeur&gt;</v>
      </c>
      <c r="AL41" t="str">
        <f t="shared" si="14"/>
        <v>&lt;Insert&gt;&lt;Valeur name="no"&gt;40&lt;/Valeur&gt;&lt;Valeur name="ecriturebanque"&gt;37&lt;/Valeur&gt;&lt;Valeur name="datevaleur"&gt;2019/02/18&lt;/Valeur&gt;&lt;Valeur name="compte"&gt;43&lt;/Valeur&gt;&lt;Valeur name="description"&gt;E-VIR SEPA CIR Caillebotis Thery&lt;/Valeur&gt;&lt;Valeur name="valeur"&gt;961.2&lt;/Valeur&gt;&lt;Valeur name="compta"&gt;0&lt;/Valeur&gt;&lt;Valeur name="tvapct"&gt;20&lt;/Valeur&gt;&lt;Valeur name="tva"&gt;160.2&lt;/Valeur&gt;&lt;/Insert&gt;</v>
      </c>
    </row>
    <row r="42" spans="1:38" x14ac:dyDescent="0.25">
      <c r="B42">
        <f>IF(A42&lt;&gt;"",VLOOKUP(A42,Banque!B:D,3,FALSE),1)</f>
        <v>1</v>
      </c>
      <c r="C42" s="1">
        <v>43514</v>
      </c>
      <c r="D42" t="s">
        <v>277</v>
      </c>
      <c r="G42" s="10">
        <v>816.83</v>
      </c>
      <c r="I42" s="11">
        <f t="shared" si="0"/>
        <v>136.13833333333332</v>
      </c>
      <c r="K42">
        <v>41</v>
      </c>
      <c r="L42">
        <v>38</v>
      </c>
      <c r="M42" s="16" t="s">
        <v>878</v>
      </c>
      <c r="N42">
        <f>IFERROR(VLOOKUP(D42,tab!A:B,2,FALSE),1)</f>
        <v>62</v>
      </c>
      <c r="O42" t="str">
        <f t="shared" si="1"/>
        <v/>
      </c>
      <c r="P42" s="14">
        <f t="shared" si="2"/>
        <v>816.83</v>
      </c>
      <c r="Q42" s="14">
        <f t="shared" si="3"/>
        <v>1</v>
      </c>
      <c r="R42" s="14">
        <v>20</v>
      </c>
      <c r="S42" s="14">
        <f t="shared" si="4"/>
        <v>136.13833333333332</v>
      </c>
      <c r="Z42" t="str">
        <f t="shared" si="5"/>
        <v>&lt;Valeur name="no"&gt;41&lt;/Valeur&gt;</v>
      </c>
      <c r="AA42" t="str">
        <f t="shared" si="6"/>
        <v>&lt;Valeur name="ecriturebanque"&gt;38&lt;/Valeur&gt;</v>
      </c>
      <c r="AB42" t="str">
        <f t="shared" si="7"/>
        <v>&lt;Valeur name="datevaleur"&gt;2019/02/18&lt;/Valeur&gt;</v>
      </c>
      <c r="AC42" t="str">
        <f t="shared" si="8"/>
        <v>&lt;Valeur name="compte"&gt;62&lt;/Valeur&gt;</v>
      </c>
      <c r="AD42" t="str">
        <f t="shared" si="9"/>
        <v>&lt;Valeur name="description"&gt;&lt;/Valeur&gt;</v>
      </c>
      <c r="AE42" t="str">
        <f t="shared" si="10"/>
        <v>&lt;Valeur name="valeur"&gt;816.83&lt;/Valeur&gt;</v>
      </c>
      <c r="AF42" t="str">
        <f t="shared" si="11"/>
        <v>&lt;Valeur name="compta"&gt;1&lt;/Valeur&gt;</v>
      </c>
      <c r="AG42" t="str">
        <f t="shared" si="12"/>
        <v>&lt;Valeur name="tvapct"&gt;20&lt;/Valeur&gt;</v>
      </c>
      <c r="AH42" t="str">
        <f t="shared" si="13"/>
        <v>&lt;Valeur name="tva"&gt;136.138333333333&lt;/Valeur&gt;</v>
      </c>
      <c r="AL42" t="str">
        <f t="shared" si="14"/>
        <v>&lt;Insert&gt;&lt;Valeur name="no"&gt;41&lt;/Valeur&gt;&lt;Valeur name="ecriturebanque"&gt;38&lt;/Valeur&gt;&lt;Valeur name="datevaleur"&gt;2019/02/18&lt;/Valeur&gt;&lt;Valeur name="compte"&gt;62&lt;/Valeur&gt;&lt;Valeur name="description"&gt;&lt;/Valeur&gt;&lt;Valeur name="valeur"&gt;816.83&lt;/Valeur&gt;&lt;Valeur name="compta"&gt;1&lt;/Valeur&gt;&lt;Valeur name="tvapct"&gt;20&lt;/Valeur&gt;&lt;Valeur name="tva"&gt;136.138333333333&lt;/Valeur&gt;&lt;/Insert&gt;</v>
      </c>
    </row>
    <row r="43" spans="1:38" x14ac:dyDescent="0.25">
      <c r="B43">
        <f>IF(A43&lt;&gt;"",VLOOKUP(A43,Banque!B:D,3,FALSE),1)</f>
        <v>1</v>
      </c>
      <c r="C43" s="1">
        <v>43514</v>
      </c>
      <c r="D43" t="s">
        <v>281</v>
      </c>
      <c r="G43" s="10">
        <v>1797.6</v>
      </c>
      <c r="I43" s="11">
        <f t="shared" si="0"/>
        <v>299.59999999999991</v>
      </c>
      <c r="K43">
        <v>42</v>
      </c>
      <c r="L43">
        <v>38</v>
      </c>
      <c r="M43" s="16" t="s">
        <v>878</v>
      </c>
      <c r="N43">
        <f>IFERROR(VLOOKUP(D43,tab!A:B,2,FALSE),1)</f>
        <v>77</v>
      </c>
      <c r="O43" t="str">
        <f t="shared" si="1"/>
        <v/>
      </c>
      <c r="P43" s="14">
        <f t="shared" si="2"/>
        <v>1797.6</v>
      </c>
      <c r="Q43" s="14">
        <f t="shared" si="3"/>
        <v>1</v>
      </c>
      <c r="R43" s="14">
        <v>20</v>
      </c>
      <c r="S43" s="14">
        <f t="shared" si="4"/>
        <v>299.59999999999991</v>
      </c>
      <c r="Z43" t="str">
        <f t="shared" si="5"/>
        <v>&lt;Valeur name="no"&gt;42&lt;/Valeur&gt;</v>
      </c>
      <c r="AA43" t="str">
        <f t="shared" si="6"/>
        <v>&lt;Valeur name="ecriturebanque"&gt;38&lt;/Valeur&gt;</v>
      </c>
      <c r="AB43" t="str">
        <f t="shared" si="7"/>
        <v>&lt;Valeur name="datevaleur"&gt;2019/02/18&lt;/Valeur&gt;</v>
      </c>
      <c r="AC43" t="str">
        <f t="shared" si="8"/>
        <v>&lt;Valeur name="compte"&gt;77&lt;/Valeur&gt;</v>
      </c>
      <c r="AD43" t="str">
        <f t="shared" si="9"/>
        <v>&lt;Valeur name="description"&gt;&lt;/Valeur&gt;</v>
      </c>
      <c r="AE43" t="str">
        <f t="shared" si="10"/>
        <v>&lt;Valeur name="valeur"&gt;1797.6&lt;/Valeur&gt;</v>
      </c>
      <c r="AF43" t="str">
        <f t="shared" si="11"/>
        <v>&lt;Valeur name="compta"&gt;1&lt;/Valeur&gt;</v>
      </c>
      <c r="AG43" t="str">
        <f t="shared" si="12"/>
        <v>&lt;Valeur name="tvapct"&gt;20&lt;/Valeur&gt;</v>
      </c>
      <c r="AH43" t="str">
        <f t="shared" si="13"/>
        <v>&lt;Valeur name="tva"&gt;299.6&lt;/Valeur&gt;</v>
      </c>
      <c r="AL43" t="str">
        <f t="shared" si="14"/>
        <v>&lt;Insert&gt;&lt;Valeur name="no"&gt;42&lt;/Valeur&gt;&lt;Valeur name="ecriturebanque"&gt;38&lt;/Valeur&gt;&lt;Valeur name="datevaleur"&gt;2019/02/18&lt;/Valeur&gt;&lt;Valeur name="compte"&gt;77&lt;/Valeur&gt;&lt;Valeur name="description"&gt;&lt;/Valeur&gt;&lt;Valeur name="valeur"&gt;1797.6&lt;/Valeur&gt;&lt;Valeur name="compta"&gt;1&lt;/Valeur&gt;&lt;Valeur name="tvapct"&gt;20&lt;/Valeur&gt;&lt;Valeur name="tva"&gt;299.6&lt;/Valeur&gt;&lt;/Insert&gt;</v>
      </c>
    </row>
    <row r="44" spans="1:38" x14ac:dyDescent="0.25">
      <c r="A44">
        <v>39</v>
      </c>
      <c r="B44">
        <f>IF(A44&lt;&gt;"",VLOOKUP(A44,Banque!B:D,3,FALSE),1)</f>
        <v>1</v>
      </c>
      <c r="C44" s="1">
        <v>43514</v>
      </c>
      <c r="D44" t="s">
        <v>376</v>
      </c>
      <c r="E44" t="s">
        <v>42</v>
      </c>
      <c r="G44" s="10">
        <v>9.99</v>
      </c>
      <c r="I44" s="11">
        <f t="shared" si="0"/>
        <v>1.6649999999999991</v>
      </c>
      <c r="K44">
        <v>43</v>
      </c>
      <c r="L44">
        <v>39</v>
      </c>
      <c r="M44" s="16" t="s">
        <v>878</v>
      </c>
      <c r="N44">
        <f>IFERROR(VLOOKUP(D44,tab!A:B,2,FALSE),1)</f>
        <v>69</v>
      </c>
      <c r="O44" t="str">
        <f t="shared" si="1"/>
        <v>CB 548222 GOOGLE GOOG GB   9,99</v>
      </c>
      <c r="P44" s="14">
        <f t="shared" si="2"/>
        <v>9.99</v>
      </c>
      <c r="Q44" s="14">
        <f t="shared" si="3"/>
        <v>1</v>
      </c>
      <c r="R44" s="14">
        <v>20</v>
      </c>
      <c r="S44" s="14">
        <f t="shared" si="4"/>
        <v>1.6649999999999991</v>
      </c>
      <c r="Z44" t="str">
        <f t="shared" si="5"/>
        <v>&lt;Valeur name="no"&gt;43&lt;/Valeur&gt;</v>
      </c>
      <c r="AA44" t="str">
        <f t="shared" si="6"/>
        <v>&lt;Valeur name="ecriturebanque"&gt;39&lt;/Valeur&gt;</v>
      </c>
      <c r="AB44" t="str">
        <f t="shared" si="7"/>
        <v>&lt;Valeur name="datevaleur"&gt;2019/02/18&lt;/Valeur&gt;</v>
      </c>
      <c r="AC44" t="str">
        <f t="shared" si="8"/>
        <v>&lt;Valeur name="compte"&gt;69&lt;/Valeur&gt;</v>
      </c>
      <c r="AD44" t="str">
        <f t="shared" si="9"/>
        <v>&lt;Valeur name="description"&gt;CB 548222 GOOGLE GOOG GB   9,99&lt;/Valeur&gt;</v>
      </c>
      <c r="AE44" t="str">
        <f t="shared" si="10"/>
        <v>&lt;Valeur name="valeur"&gt;9.99&lt;/Valeur&gt;</v>
      </c>
      <c r="AF44" t="str">
        <f t="shared" si="11"/>
        <v>&lt;Valeur name="compta"&gt;1&lt;/Valeur&gt;</v>
      </c>
      <c r="AG44" t="str">
        <f t="shared" si="12"/>
        <v>&lt;Valeur name="tvapct"&gt;20&lt;/Valeur&gt;</v>
      </c>
      <c r="AH44" t="str">
        <f t="shared" si="13"/>
        <v>&lt;Valeur name="tva"&gt;1.665&lt;/Valeur&gt;</v>
      </c>
      <c r="AL44" t="str">
        <f t="shared" si="14"/>
        <v>&lt;Insert&gt;&lt;Valeur name="no"&gt;43&lt;/Valeur&gt;&lt;Valeur name="ecriturebanque"&gt;39&lt;/Valeur&gt;&lt;Valeur name="datevaleur"&gt;2019/02/18&lt;/Valeur&gt;&lt;Valeur name="compte"&gt;69&lt;/Valeur&gt;&lt;Valeur name="description"&gt;CB 548222 GOOGLE GOOG GB   9,99&lt;/Valeur&gt;&lt;Valeur name="valeur"&gt;9.99&lt;/Valeur&gt;&lt;Valeur name="compta"&gt;1&lt;/Valeur&gt;&lt;Valeur name="tvapct"&gt;20&lt;/Valeur&gt;&lt;Valeur name="tva"&gt;1.665&lt;/Valeur&gt;&lt;/Insert&gt;</v>
      </c>
    </row>
    <row r="45" spans="1:38" x14ac:dyDescent="0.25">
      <c r="A45">
        <v>40</v>
      </c>
      <c r="B45">
        <f>IF(A45&lt;&gt;"",VLOOKUP(A45,Banque!B:D,3,FALSE),1)</f>
        <v>1</v>
      </c>
      <c r="C45" s="1">
        <v>43514</v>
      </c>
      <c r="D45" t="s">
        <v>254</v>
      </c>
      <c r="E45" t="s">
        <v>219</v>
      </c>
      <c r="G45" s="10">
        <v>9.5</v>
      </c>
      <c r="I45" s="11">
        <f t="shared" si="0"/>
        <v>1.583333333333333</v>
      </c>
      <c r="K45">
        <v>44</v>
      </c>
      <c r="L45">
        <v>40</v>
      </c>
      <c r="M45" s="16" t="s">
        <v>878</v>
      </c>
      <c r="N45">
        <f>IFERROR(VLOOKUP(D45,tab!A:B,2,FALSE),1)</f>
        <v>27</v>
      </c>
      <c r="O45" t="str">
        <f t="shared" si="1"/>
        <v>CB 454106 SHELL 3298  62RUMAUCOU</v>
      </c>
      <c r="P45" s="14">
        <f t="shared" si="2"/>
        <v>9.5</v>
      </c>
      <c r="Q45" s="14">
        <f t="shared" si="3"/>
        <v>1</v>
      </c>
      <c r="R45" s="14">
        <v>20</v>
      </c>
      <c r="S45" s="14">
        <f t="shared" si="4"/>
        <v>1.583333333333333</v>
      </c>
      <c r="Z45" t="str">
        <f t="shared" si="5"/>
        <v>&lt;Valeur name="no"&gt;44&lt;/Valeur&gt;</v>
      </c>
      <c r="AA45" t="str">
        <f t="shared" si="6"/>
        <v>&lt;Valeur name="ecriturebanque"&gt;40&lt;/Valeur&gt;</v>
      </c>
      <c r="AB45" t="str">
        <f t="shared" si="7"/>
        <v>&lt;Valeur name="datevaleur"&gt;2019/02/18&lt;/Valeur&gt;</v>
      </c>
      <c r="AC45" t="str">
        <f t="shared" si="8"/>
        <v>&lt;Valeur name="compte"&gt;27&lt;/Valeur&gt;</v>
      </c>
      <c r="AD45" t="str">
        <f t="shared" si="9"/>
        <v>&lt;Valeur name="description"&gt;CB 454106 SHELL 3298  62RUMAUCOU&lt;/Valeur&gt;</v>
      </c>
      <c r="AE45" t="str">
        <f t="shared" si="10"/>
        <v>&lt;Valeur name="valeur"&gt;9.5&lt;/Valeur&gt;</v>
      </c>
      <c r="AF45" t="str">
        <f t="shared" si="11"/>
        <v>&lt;Valeur name="compta"&gt;1&lt;/Valeur&gt;</v>
      </c>
      <c r="AG45" t="str">
        <f t="shared" si="12"/>
        <v>&lt;Valeur name="tvapct"&gt;20&lt;/Valeur&gt;</v>
      </c>
      <c r="AH45" t="str">
        <f t="shared" si="13"/>
        <v>&lt;Valeur name="tva"&gt;1.58333333333333&lt;/Valeur&gt;</v>
      </c>
      <c r="AL45" t="str">
        <f t="shared" si="14"/>
        <v>&lt;Insert&gt;&lt;Valeur name="no"&gt;44&lt;/Valeur&gt;&lt;Valeur name="ecriturebanque"&gt;40&lt;/Valeur&gt;&lt;Valeur name="datevaleur"&gt;2019/02/18&lt;/Valeur&gt;&lt;Valeur name="compte"&gt;27&lt;/Valeur&gt;&lt;Valeur name="description"&gt;CB 454106 SHELL 3298  62RUMAUCOU&lt;/Valeur&gt;&lt;Valeur name="valeur"&gt;9.5&lt;/Valeur&gt;&lt;Valeur name="compta"&gt;1&lt;/Valeur&gt;&lt;Valeur name="tvapct"&gt;20&lt;/Valeur&gt;&lt;Valeur name="tva"&gt;1.58333333333333&lt;/Valeur&gt;&lt;/Insert&gt;</v>
      </c>
    </row>
    <row r="46" spans="1:38" x14ac:dyDescent="0.25">
      <c r="A46">
        <v>41</v>
      </c>
      <c r="B46">
        <f>IF(A46&lt;&gt;"",VLOOKUP(A46,Banque!B:D,3,FALSE),1)</f>
        <v>1</v>
      </c>
      <c r="C46" s="1">
        <v>43514</v>
      </c>
      <c r="D46" t="s">
        <v>254</v>
      </c>
      <c r="E46" t="s">
        <v>213</v>
      </c>
      <c r="G46" s="10">
        <v>19.7</v>
      </c>
      <c r="I46" s="11">
        <f t="shared" si="0"/>
        <v>3.2833333333333314</v>
      </c>
      <c r="K46">
        <v>45</v>
      </c>
      <c r="L46">
        <v>41</v>
      </c>
      <c r="M46" s="16" t="s">
        <v>878</v>
      </c>
      <c r="N46">
        <f>IFERROR(VLOOKUP(D46,tab!A:B,2,FALSE),1)</f>
        <v>27</v>
      </c>
      <c r="O46" t="str">
        <f t="shared" si="1"/>
        <v>CB 454106 BOULANGERIE 62ST LAURE</v>
      </c>
      <c r="P46" s="14">
        <f t="shared" si="2"/>
        <v>19.7</v>
      </c>
      <c r="Q46" s="14">
        <f t="shared" si="3"/>
        <v>1</v>
      </c>
      <c r="R46" s="14">
        <v>20</v>
      </c>
      <c r="S46" s="14">
        <f t="shared" si="4"/>
        <v>3.2833333333333314</v>
      </c>
      <c r="Z46" t="str">
        <f t="shared" si="5"/>
        <v>&lt;Valeur name="no"&gt;45&lt;/Valeur&gt;</v>
      </c>
      <c r="AA46" t="str">
        <f t="shared" si="6"/>
        <v>&lt;Valeur name="ecriturebanque"&gt;41&lt;/Valeur&gt;</v>
      </c>
      <c r="AB46" t="str">
        <f t="shared" si="7"/>
        <v>&lt;Valeur name="datevaleur"&gt;2019/02/18&lt;/Valeur&gt;</v>
      </c>
      <c r="AC46" t="str">
        <f t="shared" si="8"/>
        <v>&lt;Valeur name="compte"&gt;27&lt;/Valeur&gt;</v>
      </c>
      <c r="AD46" t="str">
        <f t="shared" si="9"/>
        <v>&lt;Valeur name="description"&gt;CB 454106 BOULANGERIE 62ST LAURE&lt;/Valeur&gt;</v>
      </c>
      <c r="AE46" t="str">
        <f t="shared" si="10"/>
        <v>&lt;Valeur name="valeur"&gt;19.7&lt;/Valeur&gt;</v>
      </c>
      <c r="AF46" t="str">
        <f t="shared" si="11"/>
        <v>&lt;Valeur name="compta"&gt;1&lt;/Valeur&gt;</v>
      </c>
      <c r="AG46" t="str">
        <f t="shared" si="12"/>
        <v>&lt;Valeur name="tvapct"&gt;20&lt;/Valeur&gt;</v>
      </c>
      <c r="AH46" t="str">
        <f t="shared" si="13"/>
        <v>&lt;Valeur name="tva"&gt;3.28333333333333&lt;/Valeur&gt;</v>
      </c>
      <c r="AL46" t="str">
        <f t="shared" si="14"/>
        <v>&lt;Insert&gt;&lt;Valeur name="no"&gt;45&lt;/Valeur&gt;&lt;Valeur name="ecriturebanque"&gt;41&lt;/Valeur&gt;&lt;Valeur name="datevaleur"&gt;2019/02/18&lt;/Valeur&gt;&lt;Valeur name="compte"&gt;27&lt;/Valeur&gt;&lt;Valeur name="description"&gt;CB 454106 BOULANGERIE 62ST LAURE&lt;/Valeur&gt;&lt;Valeur name="valeur"&gt;19.7&lt;/Valeur&gt;&lt;Valeur name="compta"&gt;1&lt;/Valeur&gt;&lt;Valeur name="tvapct"&gt;20&lt;/Valeur&gt;&lt;Valeur name="tva"&gt;3.28333333333333&lt;/Valeur&gt;&lt;/Insert&gt;</v>
      </c>
    </row>
    <row r="47" spans="1:38" x14ac:dyDescent="0.25">
      <c r="A47">
        <v>42</v>
      </c>
      <c r="B47">
        <f>IF(A47&lt;&gt;"",VLOOKUP(A47,Banque!B:D,3,FALSE),1)</f>
        <v>0</v>
      </c>
      <c r="C47" s="1">
        <v>43514</v>
      </c>
      <c r="D47" t="s">
        <v>378</v>
      </c>
      <c r="E47" t="s">
        <v>227</v>
      </c>
      <c r="F47" t="s">
        <v>228</v>
      </c>
      <c r="H47" s="10">
        <v>15785.51</v>
      </c>
      <c r="I47" s="11">
        <f t="shared" si="0"/>
        <v>-2630.9183333333331</v>
      </c>
      <c r="K47">
        <v>46</v>
      </c>
      <c r="L47">
        <v>42</v>
      </c>
      <c r="M47" s="16" t="s">
        <v>878</v>
      </c>
      <c r="N47">
        <f>IFERROR(VLOOKUP(D47,tab!A:B,2,FALSE),1)</f>
        <v>6</v>
      </c>
      <c r="O47" t="str">
        <f t="shared" si="1"/>
        <v>VIR TRESORERIE HENIN BEAUMON / FAC. AF205-3 DU 30/11/2018SIT 3</v>
      </c>
      <c r="P47" s="14">
        <f t="shared" si="2"/>
        <v>15785.51</v>
      </c>
      <c r="Q47" s="14">
        <f t="shared" si="3"/>
        <v>0</v>
      </c>
      <c r="R47" s="14">
        <v>20</v>
      </c>
      <c r="S47" s="14">
        <f t="shared" si="4"/>
        <v>-2630.9183333333331</v>
      </c>
      <c r="Z47" t="str">
        <f t="shared" si="5"/>
        <v>&lt;Valeur name="no"&gt;46&lt;/Valeur&gt;</v>
      </c>
      <c r="AA47" t="str">
        <f t="shared" si="6"/>
        <v>&lt;Valeur name="ecriturebanque"&gt;42&lt;/Valeur&gt;</v>
      </c>
      <c r="AB47" t="str">
        <f t="shared" si="7"/>
        <v>&lt;Valeur name="datevaleur"&gt;2019/02/18&lt;/Valeur&gt;</v>
      </c>
      <c r="AC47" t="str">
        <f t="shared" si="8"/>
        <v>&lt;Valeur name="compte"&gt;6&lt;/Valeur&gt;</v>
      </c>
      <c r="AD47" t="str">
        <f t="shared" si="9"/>
        <v>&lt;Valeur name="description"&gt;VIR TRESORERIE HENIN BEAUMON / FAC. AF205-3 DU 30/11/2018SIT 3&lt;/Valeur&gt;</v>
      </c>
      <c r="AE47" t="str">
        <f t="shared" si="10"/>
        <v>&lt;Valeur name="valeur"&gt;15785.51&lt;/Valeur&gt;</v>
      </c>
      <c r="AF47" t="str">
        <f t="shared" si="11"/>
        <v>&lt;Valeur name="compta"&gt;0&lt;/Valeur&gt;</v>
      </c>
      <c r="AG47" t="str">
        <f t="shared" si="12"/>
        <v>&lt;Valeur name="tvapct"&gt;20&lt;/Valeur&gt;</v>
      </c>
      <c r="AH47" t="str">
        <f t="shared" si="13"/>
        <v>&lt;Valeur name="tva"&gt;-2630.91833333333&lt;/Valeur&gt;</v>
      </c>
      <c r="AL47" t="str">
        <f t="shared" si="14"/>
        <v>&lt;Insert&gt;&lt;Valeur name="no"&gt;46&lt;/Valeur&gt;&lt;Valeur name="ecriturebanque"&gt;42&lt;/Valeur&gt;&lt;Valeur name="datevaleur"&gt;2019/02/18&lt;/Valeur&gt;&lt;Valeur name="compte"&gt;6&lt;/Valeur&gt;&lt;Valeur name="description"&gt;VIR TRESORERIE HENIN BEAUMON / FAC. AF205-3 DU 30/11/2018SIT 3&lt;/Valeur&gt;&lt;Valeur name="valeur"&gt;15785.51&lt;/Valeur&gt;&lt;Valeur name="compta"&gt;0&lt;/Valeur&gt;&lt;Valeur name="tvapct"&gt;20&lt;/Valeur&gt;&lt;Valeur name="tva"&gt;-2630.91833333333&lt;/Valeur&gt;&lt;/Insert&gt;</v>
      </c>
    </row>
    <row r="48" spans="1:38" x14ac:dyDescent="0.25">
      <c r="A48">
        <v>43</v>
      </c>
      <c r="B48">
        <f>IF(A48&lt;&gt;"",VLOOKUP(A48,Banque!B:D,3,FALSE),1)</f>
        <v>1</v>
      </c>
      <c r="C48" s="1">
        <v>43514</v>
      </c>
      <c r="D48" t="s">
        <v>269</v>
      </c>
      <c r="E48" t="s">
        <v>47</v>
      </c>
      <c r="F48" t="s">
        <v>223</v>
      </c>
      <c r="G48" s="10">
        <v>2671</v>
      </c>
      <c r="I48" s="11">
        <f t="shared" si="0"/>
        <v>445.16666666666652</v>
      </c>
      <c r="K48">
        <v>47</v>
      </c>
      <c r="L48">
        <v>43</v>
      </c>
      <c r="M48" s="16" t="s">
        <v>878</v>
      </c>
      <c r="N48">
        <f>IFERROR(VLOOKUP(D48,tab!A:B,2,FALSE),1)</f>
        <v>14</v>
      </c>
      <c r="O48" t="str">
        <f t="shared" si="1"/>
        <v>PRLV SEPA URSSAF Nord-Pas-de-Cal / UR 317000001020473292    JANV197</v>
      </c>
      <c r="P48" s="14">
        <f t="shared" si="2"/>
        <v>2671</v>
      </c>
      <c r="Q48" s="14">
        <f t="shared" si="3"/>
        <v>1</v>
      </c>
      <c r="R48" s="14">
        <v>20</v>
      </c>
      <c r="S48" s="14">
        <f t="shared" si="4"/>
        <v>445.16666666666652</v>
      </c>
      <c r="Z48" t="str">
        <f t="shared" si="5"/>
        <v>&lt;Valeur name="no"&gt;47&lt;/Valeur&gt;</v>
      </c>
      <c r="AA48" t="str">
        <f t="shared" si="6"/>
        <v>&lt;Valeur name="ecriturebanque"&gt;43&lt;/Valeur&gt;</v>
      </c>
      <c r="AB48" t="str">
        <f t="shared" si="7"/>
        <v>&lt;Valeur name="datevaleur"&gt;2019/02/18&lt;/Valeur&gt;</v>
      </c>
      <c r="AC48" t="str">
        <f t="shared" si="8"/>
        <v>&lt;Valeur name="compte"&gt;14&lt;/Valeur&gt;</v>
      </c>
      <c r="AD48" t="str">
        <f t="shared" si="9"/>
        <v>&lt;Valeur name="description"&gt;PRLV SEPA URSSAF Nord-Pas-de-Cal / UR 317000001020473292    JANV197&lt;/Valeur&gt;</v>
      </c>
      <c r="AE48" t="str">
        <f t="shared" si="10"/>
        <v>&lt;Valeur name="valeur"&gt;2671&lt;/Valeur&gt;</v>
      </c>
      <c r="AF48" t="str">
        <f t="shared" si="11"/>
        <v>&lt;Valeur name="compta"&gt;1&lt;/Valeur&gt;</v>
      </c>
      <c r="AG48" t="str">
        <f t="shared" si="12"/>
        <v>&lt;Valeur name="tvapct"&gt;20&lt;/Valeur&gt;</v>
      </c>
      <c r="AH48" t="str">
        <f t="shared" si="13"/>
        <v>&lt;Valeur name="tva"&gt;445.166666666667&lt;/Valeur&gt;</v>
      </c>
      <c r="AL48" t="str">
        <f t="shared" si="14"/>
        <v>&lt;Insert&gt;&lt;Valeur name="no"&gt;47&lt;/Valeur&gt;&lt;Valeur name="ecriturebanque"&gt;43&lt;/Valeur&gt;&lt;Valeur name="datevaleur"&gt;2019/02/18&lt;/Valeur&gt;&lt;Valeur name="compte"&gt;14&lt;/Valeur&gt;&lt;Valeur name="description"&gt;PRLV SEPA URSSAF Nord-Pas-de-Cal / UR 317000001020473292    JANV197&lt;/Valeur&gt;&lt;Valeur name="valeur"&gt;2671&lt;/Valeur&gt;&lt;Valeur name="compta"&gt;1&lt;/Valeur&gt;&lt;Valeur name="tvapct"&gt;20&lt;/Valeur&gt;&lt;Valeur name="tva"&gt;445.166666666667&lt;/Valeur&gt;&lt;/Insert&gt;</v>
      </c>
    </row>
    <row r="49" spans="1:38" x14ac:dyDescent="0.25">
      <c r="A49">
        <v>44</v>
      </c>
      <c r="B49">
        <f>IF(A49&lt;&gt;"",VLOOKUP(A49,Banque!B:D,3,FALSE),1)</f>
        <v>1</v>
      </c>
      <c r="C49" s="1">
        <v>43515</v>
      </c>
      <c r="D49" t="s">
        <v>253</v>
      </c>
      <c r="E49" t="s">
        <v>142</v>
      </c>
      <c r="G49" s="10">
        <v>79.319999999999993</v>
      </c>
      <c r="I49" s="11">
        <f t="shared" si="0"/>
        <v>13.219999999999999</v>
      </c>
      <c r="K49">
        <v>48</v>
      </c>
      <c r="L49">
        <v>44</v>
      </c>
      <c r="M49" s="16" t="s">
        <v>953</v>
      </c>
      <c r="N49">
        <f>IFERROR(VLOOKUP(D49,tab!A:B,2,FALSE),1)</f>
        <v>13</v>
      </c>
      <c r="O49" t="str">
        <f t="shared" si="1"/>
        <v>CB 454106 DAC SM MATC 59BAVAY</v>
      </c>
      <c r="P49" s="14">
        <f t="shared" si="2"/>
        <v>79.319999999999993</v>
      </c>
      <c r="Q49" s="14">
        <f t="shared" si="3"/>
        <v>1</v>
      </c>
      <c r="R49" s="14">
        <v>20</v>
      </c>
      <c r="S49" s="14">
        <f t="shared" si="4"/>
        <v>13.219999999999999</v>
      </c>
      <c r="Z49" t="str">
        <f t="shared" si="5"/>
        <v>&lt;Valeur name="no"&gt;48&lt;/Valeur&gt;</v>
      </c>
      <c r="AA49" t="str">
        <f t="shared" si="6"/>
        <v>&lt;Valeur name="ecriturebanque"&gt;44&lt;/Valeur&gt;</v>
      </c>
      <c r="AB49" t="str">
        <f t="shared" si="7"/>
        <v>&lt;Valeur name="datevaleur"&gt;2019/02/19&lt;/Valeur&gt;</v>
      </c>
      <c r="AC49" t="str">
        <f t="shared" si="8"/>
        <v>&lt;Valeur name="compte"&gt;13&lt;/Valeur&gt;</v>
      </c>
      <c r="AD49" t="str">
        <f t="shared" si="9"/>
        <v>&lt;Valeur name="description"&gt;CB 454106 DAC SM MATC 59BAVAY&lt;/Valeur&gt;</v>
      </c>
      <c r="AE49" t="str">
        <f t="shared" si="10"/>
        <v>&lt;Valeur name="valeur"&gt;79.32&lt;/Valeur&gt;</v>
      </c>
      <c r="AF49" t="str">
        <f t="shared" si="11"/>
        <v>&lt;Valeur name="compta"&gt;1&lt;/Valeur&gt;</v>
      </c>
      <c r="AG49" t="str">
        <f t="shared" si="12"/>
        <v>&lt;Valeur name="tvapct"&gt;20&lt;/Valeur&gt;</v>
      </c>
      <c r="AH49" t="str">
        <f t="shared" si="13"/>
        <v>&lt;Valeur name="tva"&gt;13.22&lt;/Valeur&gt;</v>
      </c>
      <c r="AL49" t="str">
        <f t="shared" si="14"/>
        <v>&lt;Insert&gt;&lt;Valeur name="no"&gt;48&lt;/Valeur&gt;&lt;Valeur name="ecriturebanque"&gt;44&lt;/Valeur&gt;&lt;Valeur name="datevaleur"&gt;2019/02/19&lt;/Valeur&gt;&lt;Valeur name="compte"&gt;13&lt;/Valeur&gt;&lt;Valeur name="description"&gt;CB 454106 DAC SM MATC 59BAVAY&lt;/Valeur&gt;&lt;Valeur name="valeur"&gt;79.32&lt;/Valeur&gt;&lt;Valeur name="compta"&gt;1&lt;/Valeur&gt;&lt;Valeur name="tvapct"&gt;20&lt;/Valeur&gt;&lt;Valeur name="tva"&gt;13.22&lt;/Valeur&gt;&lt;/Insert&gt;</v>
      </c>
    </row>
    <row r="50" spans="1:38" x14ac:dyDescent="0.25">
      <c r="A50">
        <v>45</v>
      </c>
      <c r="B50">
        <f>IF(A50&lt;&gt;"",VLOOKUP(A50,Banque!B:D,3,FALSE),1)</f>
        <v>1</v>
      </c>
      <c r="C50" s="1">
        <v>43515</v>
      </c>
      <c r="D50" t="s">
        <v>257</v>
      </c>
      <c r="E50" t="s">
        <v>31</v>
      </c>
      <c r="G50" s="10">
        <v>0.21</v>
      </c>
      <c r="I50" s="11">
        <f t="shared" si="0"/>
        <v>3.5000000000000003E-2</v>
      </c>
      <c r="K50">
        <v>49</v>
      </c>
      <c r="L50">
        <v>45</v>
      </c>
      <c r="M50" s="16" t="s">
        <v>953</v>
      </c>
      <c r="N50">
        <f>IFERROR(VLOOKUP(D50,tab!A:B,2,FALSE),1)</f>
        <v>18</v>
      </c>
      <c r="O50" t="str">
        <f t="shared" si="1"/>
        <v>FRAIS E-VIR SEPA VERS EEE</v>
      </c>
      <c r="P50" s="14">
        <f t="shared" si="2"/>
        <v>0.21</v>
      </c>
      <c r="Q50" s="14">
        <f t="shared" si="3"/>
        <v>1</v>
      </c>
      <c r="R50" s="14">
        <v>20</v>
      </c>
      <c r="S50" s="14">
        <f t="shared" si="4"/>
        <v>3.5000000000000003E-2</v>
      </c>
      <c r="Z50" t="str">
        <f t="shared" si="5"/>
        <v>&lt;Valeur name="no"&gt;49&lt;/Valeur&gt;</v>
      </c>
      <c r="AA50" t="str">
        <f t="shared" si="6"/>
        <v>&lt;Valeur name="ecriturebanque"&gt;45&lt;/Valeur&gt;</v>
      </c>
      <c r="AB50" t="str">
        <f t="shared" si="7"/>
        <v>&lt;Valeur name="datevaleur"&gt;2019/02/19&lt;/Valeur&gt;</v>
      </c>
      <c r="AC50" t="str">
        <f t="shared" si="8"/>
        <v>&lt;Valeur name="compte"&gt;18&lt;/Valeur&gt;</v>
      </c>
      <c r="AD50" t="str">
        <f t="shared" si="9"/>
        <v>&lt;Valeur name="description"&gt;FRAIS E-VIR SEPA VERS EEE&lt;/Valeur&gt;</v>
      </c>
      <c r="AE50" t="str">
        <f t="shared" si="10"/>
        <v>&lt;Valeur name="valeur"&gt;0.21&lt;/Valeur&gt;</v>
      </c>
      <c r="AF50" t="str">
        <f t="shared" si="11"/>
        <v>&lt;Valeur name="compta"&gt;1&lt;/Valeur&gt;</v>
      </c>
      <c r="AG50" t="str">
        <f t="shared" si="12"/>
        <v>&lt;Valeur name="tvapct"&gt;20&lt;/Valeur&gt;</v>
      </c>
      <c r="AH50" t="str">
        <f t="shared" si="13"/>
        <v>&lt;Valeur name="tva"&gt;0.035&lt;/Valeur&gt;</v>
      </c>
      <c r="AL50" t="str">
        <f t="shared" si="14"/>
        <v>&lt;Insert&gt;&lt;Valeur name="no"&gt;49&lt;/Valeur&gt;&lt;Valeur name="ecriturebanque"&gt;45&lt;/Valeur&gt;&lt;Valeur name="datevaleur"&gt;2019/02/19&lt;/Valeur&gt;&lt;Valeur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51" spans="1:38" x14ac:dyDescent="0.25">
      <c r="A51">
        <v>46</v>
      </c>
      <c r="B51">
        <f>IF(A51&lt;&gt;"",VLOOKUP(A51,Banque!B:D,3,FALSE),1)</f>
        <v>0</v>
      </c>
      <c r="C51" s="1">
        <v>43516</v>
      </c>
      <c r="D51" t="s">
        <v>282</v>
      </c>
      <c r="E51" t="s">
        <v>200</v>
      </c>
      <c r="G51" s="10">
        <v>19.78</v>
      </c>
      <c r="I51" s="11">
        <f t="shared" si="0"/>
        <v>3.2966666666666669</v>
      </c>
      <c r="K51">
        <v>50</v>
      </c>
      <c r="L51">
        <v>46</v>
      </c>
      <c r="M51" s="16" t="s">
        <v>900</v>
      </c>
      <c r="N51">
        <f>IFERROR(VLOOKUP(D51,tab!A:B,2,FALSE),1)</f>
        <v>82</v>
      </c>
      <c r="O51" t="str">
        <f t="shared" si="1"/>
        <v>E-VIR SEPA LeLorrain buse chalum</v>
      </c>
      <c r="P51" s="14">
        <f t="shared" si="2"/>
        <v>19.78</v>
      </c>
      <c r="Q51" s="14">
        <f t="shared" si="3"/>
        <v>0</v>
      </c>
      <c r="R51" s="14">
        <v>20</v>
      </c>
      <c r="S51" s="14">
        <f t="shared" si="4"/>
        <v>3.2966666666666669</v>
      </c>
      <c r="Z51" t="str">
        <f t="shared" si="5"/>
        <v>&lt;Valeur name="no"&gt;50&lt;/Valeur&gt;</v>
      </c>
      <c r="AA51" t="str">
        <f t="shared" si="6"/>
        <v>&lt;Valeur name="ecriturebanque"&gt;46&lt;/Valeur&gt;</v>
      </c>
      <c r="AB51" t="str">
        <f t="shared" si="7"/>
        <v>&lt;Valeur name="datevaleur"&gt;2019/02/20&lt;/Valeur&gt;</v>
      </c>
      <c r="AC51" t="str">
        <f t="shared" si="8"/>
        <v>&lt;Valeur name="compte"&gt;82&lt;/Valeur&gt;</v>
      </c>
      <c r="AD51" t="str">
        <f t="shared" si="9"/>
        <v>&lt;Valeur name="description"&gt;E-VIR SEPA LeLorrain buse chalum&lt;/Valeur&gt;</v>
      </c>
      <c r="AE51" t="str">
        <f t="shared" si="10"/>
        <v>&lt;Valeur name="valeur"&gt;19.78&lt;/Valeur&gt;</v>
      </c>
      <c r="AF51" t="str">
        <f t="shared" si="11"/>
        <v>&lt;Valeur name="compta"&gt;0&lt;/Valeur&gt;</v>
      </c>
      <c r="AG51" t="str">
        <f t="shared" si="12"/>
        <v>&lt;Valeur name="tvapct"&gt;20&lt;/Valeur&gt;</v>
      </c>
      <c r="AH51" t="str">
        <f t="shared" si="13"/>
        <v>&lt;Valeur name="tva"&gt;3.29666666666667&lt;/Valeur&gt;</v>
      </c>
      <c r="AL51" t="str">
        <f t="shared" si="14"/>
        <v>&lt;Insert&gt;&lt;Valeur name="no"&gt;50&lt;/Valeur&gt;&lt;Valeur name="ecriturebanque"&gt;46&lt;/Valeur&gt;&lt;Valeur name="datevaleur"&gt;2019/02/20&lt;/Valeur&gt;&lt;Valeur name="compte"&gt;82&lt;/Valeur&gt;&lt;Valeur name="description"&gt;E-VIR SEPA LeLorrain buse chalum&lt;/Valeur&gt;&lt;Valeur name="valeur"&gt;19.78&lt;/Valeur&gt;&lt;Valeur name="compta"&gt;0&lt;/Valeur&gt;&lt;Valeur name="tvapct"&gt;20&lt;/Valeur&gt;&lt;Valeur name="tva"&gt;3.29666666666667&lt;/Valeur&gt;&lt;/Insert&gt;</v>
      </c>
    </row>
    <row r="52" spans="1:38" x14ac:dyDescent="0.25">
      <c r="A52">
        <v>47</v>
      </c>
      <c r="B52">
        <f>IF(A52&lt;&gt;"",VLOOKUP(A52,Banque!B:D,3,FALSE),1)</f>
        <v>0</v>
      </c>
      <c r="C52" s="1">
        <v>43516</v>
      </c>
      <c r="D52" t="s">
        <v>371</v>
      </c>
      <c r="E52" t="s">
        <v>204</v>
      </c>
      <c r="G52" s="10">
        <v>468</v>
      </c>
      <c r="I52" s="11">
        <f t="shared" si="0"/>
        <v>78</v>
      </c>
      <c r="K52">
        <v>51</v>
      </c>
      <c r="L52">
        <v>47</v>
      </c>
      <c r="M52" s="16" t="s">
        <v>900</v>
      </c>
      <c r="N52">
        <f>IFERROR(VLOOKUP(D52,tab!A:B,2,FALSE),1)</f>
        <v>116</v>
      </c>
      <c r="O52" t="str">
        <f t="shared" si="1"/>
        <v>E-VIR SEPA TSR Loc poste</v>
      </c>
      <c r="P52" s="14">
        <f t="shared" si="2"/>
        <v>468</v>
      </c>
      <c r="Q52" s="14">
        <f t="shared" si="3"/>
        <v>0</v>
      </c>
      <c r="R52" s="14">
        <v>20</v>
      </c>
      <c r="S52" s="14">
        <f t="shared" si="4"/>
        <v>78</v>
      </c>
      <c r="Z52" t="str">
        <f t="shared" si="5"/>
        <v>&lt;Valeur name="no"&gt;51&lt;/Valeur&gt;</v>
      </c>
      <c r="AA52" t="str">
        <f t="shared" si="6"/>
        <v>&lt;Valeur name="ecriturebanque"&gt;47&lt;/Valeur&gt;</v>
      </c>
      <c r="AB52" t="str">
        <f t="shared" si="7"/>
        <v>&lt;Valeur name="datevaleur"&gt;2019/02/20&lt;/Valeur&gt;</v>
      </c>
      <c r="AC52" t="str">
        <f t="shared" si="8"/>
        <v>&lt;Valeur name="compte"&gt;116&lt;/Valeur&gt;</v>
      </c>
      <c r="AD52" t="str">
        <f t="shared" si="9"/>
        <v>&lt;Valeur name="description"&gt;E-VIR SEPA TSR Loc poste&lt;/Valeur&gt;</v>
      </c>
      <c r="AE52" t="str">
        <f t="shared" si="10"/>
        <v>&lt;Valeur name="valeur"&gt;468&lt;/Valeur&gt;</v>
      </c>
      <c r="AF52" t="str">
        <f t="shared" si="11"/>
        <v>&lt;Valeur name="compta"&gt;0&lt;/Valeur&gt;</v>
      </c>
      <c r="AG52" t="str">
        <f t="shared" si="12"/>
        <v>&lt;Valeur name="tvapct"&gt;20&lt;/Valeur&gt;</v>
      </c>
      <c r="AH52" t="str">
        <f t="shared" si="13"/>
        <v>&lt;Valeur name="tva"&gt;78&lt;/Valeur&gt;</v>
      </c>
      <c r="AL52" t="str">
        <f t="shared" si="14"/>
        <v>&lt;Insert&gt;&lt;Valeur name="no"&gt;51&lt;/Valeur&gt;&lt;Valeur name="ecriturebanque"&gt;47&lt;/Valeur&gt;&lt;Valeur name="datevaleur"&gt;2019/02/20&lt;/Valeur&gt;&lt;Valeur name="compte"&gt;116&lt;/Valeur&gt;&lt;Valeur name="description"&gt;E-VIR SEPA TSR Loc poste&lt;/Valeur&gt;&lt;Valeur name="valeur"&gt;468&lt;/Valeur&gt;&lt;Valeur name="compta"&gt;0&lt;/Valeur&gt;&lt;Valeur name="tvapct"&gt;20&lt;/Valeur&gt;&lt;Valeur name="tva"&gt;78&lt;/Valeur&gt;&lt;/Insert&gt;</v>
      </c>
    </row>
    <row r="53" spans="1:38" x14ac:dyDescent="0.25">
      <c r="A53">
        <v>48</v>
      </c>
      <c r="B53">
        <f>IF(A53&lt;&gt;"",VLOOKUP(A53,Banque!B:D,3,FALSE),1)</f>
        <v>0</v>
      </c>
      <c r="C53" s="1">
        <v>43516</v>
      </c>
      <c r="D53" t="s">
        <v>371</v>
      </c>
      <c r="E53" t="s">
        <v>204</v>
      </c>
      <c r="G53" s="10">
        <v>202.8</v>
      </c>
      <c r="I53" s="11">
        <f t="shared" si="0"/>
        <v>33.799999999999983</v>
      </c>
      <c r="K53">
        <v>52</v>
      </c>
      <c r="L53">
        <v>48</v>
      </c>
      <c r="M53" s="16" t="s">
        <v>900</v>
      </c>
      <c r="N53">
        <f>IFERROR(VLOOKUP(D53,tab!A:B,2,FALSE),1)</f>
        <v>116</v>
      </c>
      <c r="O53" t="str">
        <f t="shared" si="1"/>
        <v>E-VIR SEPA TSR Loc poste</v>
      </c>
      <c r="P53" s="14">
        <f t="shared" si="2"/>
        <v>202.8</v>
      </c>
      <c r="Q53" s="14">
        <f t="shared" si="3"/>
        <v>0</v>
      </c>
      <c r="R53" s="14">
        <v>20</v>
      </c>
      <c r="S53" s="14">
        <f t="shared" si="4"/>
        <v>33.799999999999983</v>
      </c>
      <c r="Z53" t="str">
        <f t="shared" si="5"/>
        <v>&lt;Valeur name="no"&gt;52&lt;/Valeur&gt;</v>
      </c>
      <c r="AA53" t="str">
        <f t="shared" si="6"/>
        <v>&lt;Valeur name="ecriturebanque"&gt;48&lt;/Valeur&gt;</v>
      </c>
      <c r="AB53" t="str">
        <f t="shared" si="7"/>
        <v>&lt;Valeur name="datevaleur"&gt;2019/02/20&lt;/Valeur&gt;</v>
      </c>
      <c r="AC53" t="str">
        <f t="shared" si="8"/>
        <v>&lt;Valeur name="compte"&gt;116&lt;/Valeur&gt;</v>
      </c>
      <c r="AD53" t="str">
        <f t="shared" si="9"/>
        <v>&lt;Valeur name="description"&gt;E-VIR SEPA TSR Loc poste&lt;/Valeur&gt;</v>
      </c>
      <c r="AE53" t="str">
        <f t="shared" si="10"/>
        <v>&lt;Valeur name="valeur"&gt;202.8&lt;/Valeur&gt;</v>
      </c>
      <c r="AF53" t="str">
        <f t="shared" si="11"/>
        <v>&lt;Valeur name="compta"&gt;0&lt;/Valeur&gt;</v>
      </c>
      <c r="AG53" t="str">
        <f t="shared" si="12"/>
        <v>&lt;Valeur name="tvapct"&gt;20&lt;/Valeur&gt;</v>
      </c>
      <c r="AH53" t="str">
        <f t="shared" si="13"/>
        <v>&lt;Valeur name="tva"&gt;33.8&lt;/Valeur&gt;</v>
      </c>
      <c r="AL53" t="str">
        <f t="shared" si="14"/>
        <v>&lt;Insert&gt;&lt;Valeur name="no"&gt;52&lt;/Valeur&gt;&lt;Valeur name="ecriturebanque"&gt;48&lt;/Valeur&gt;&lt;Valeur name="datevaleur"&gt;2019/02/20&lt;/Valeur&gt;&lt;Valeur name="compte"&gt;116&lt;/Valeur&gt;&lt;Valeur name="description"&gt;E-VIR SEPA TSR Loc poste&lt;/Valeur&gt;&lt;Valeur name="valeur"&gt;202.8&lt;/Valeur&gt;&lt;Valeur name="compta"&gt;0&lt;/Valeur&gt;&lt;Valeur name="tvapct"&gt;20&lt;/Valeur&gt;&lt;Valeur name="tva"&gt;33.8&lt;/Valeur&gt;&lt;/Insert&gt;</v>
      </c>
    </row>
    <row r="54" spans="1:38" x14ac:dyDescent="0.25">
      <c r="A54">
        <v>49</v>
      </c>
      <c r="B54">
        <f>IF(A54&lt;&gt;"",VLOOKUP(A54,Banque!B:D,3,FALSE),1)</f>
        <v>1</v>
      </c>
      <c r="C54" s="1">
        <v>43516</v>
      </c>
      <c r="D54" t="s">
        <v>357</v>
      </c>
      <c r="E54" t="s">
        <v>202</v>
      </c>
      <c r="G54" s="10">
        <v>142.9</v>
      </c>
      <c r="I54" s="11">
        <f t="shared" si="0"/>
        <v>23.816666666666663</v>
      </c>
      <c r="K54">
        <v>53</v>
      </c>
      <c r="L54">
        <v>49</v>
      </c>
      <c r="M54" s="16" t="s">
        <v>900</v>
      </c>
      <c r="N54">
        <f>IFERROR(VLOOKUP(D54,tab!A:B,2,FALSE),1)</f>
        <v>50</v>
      </c>
      <c r="O54" t="str">
        <f t="shared" si="1"/>
        <v>E-VIR SEPA PRORATA 5 VdS</v>
      </c>
      <c r="P54" s="14">
        <f t="shared" si="2"/>
        <v>142.9</v>
      </c>
      <c r="Q54" s="14">
        <f t="shared" si="3"/>
        <v>1</v>
      </c>
      <c r="R54" s="14">
        <v>20</v>
      </c>
      <c r="S54" s="14">
        <f t="shared" si="4"/>
        <v>23.816666666666663</v>
      </c>
      <c r="Z54" t="str">
        <f t="shared" si="5"/>
        <v>&lt;Valeur name="no"&gt;53&lt;/Valeur&gt;</v>
      </c>
      <c r="AA54" t="str">
        <f t="shared" si="6"/>
        <v>&lt;Valeur name="ecriturebanque"&gt;49&lt;/Valeur&gt;</v>
      </c>
      <c r="AB54" t="str">
        <f t="shared" si="7"/>
        <v>&lt;Valeur name="datevaleur"&gt;2019/02/20&lt;/Valeur&gt;</v>
      </c>
      <c r="AC54" t="str">
        <f t="shared" si="8"/>
        <v>&lt;Valeur name="compte"&gt;50&lt;/Valeur&gt;</v>
      </c>
      <c r="AD54" t="str">
        <f t="shared" si="9"/>
        <v>&lt;Valeur name="description"&gt;E-VIR SEPA PRORATA 5 VdS&lt;/Valeur&gt;</v>
      </c>
      <c r="AE54" t="str">
        <f t="shared" si="10"/>
        <v>&lt;Valeur name="valeur"&gt;142.9&lt;/Valeur&gt;</v>
      </c>
      <c r="AF54" t="str">
        <f t="shared" si="11"/>
        <v>&lt;Valeur name="compta"&gt;1&lt;/Valeur&gt;</v>
      </c>
      <c r="AG54" t="str">
        <f t="shared" si="12"/>
        <v>&lt;Valeur name="tvapct"&gt;20&lt;/Valeur&gt;</v>
      </c>
      <c r="AH54" t="str">
        <f t="shared" si="13"/>
        <v>&lt;Valeur name="tva"&gt;23.8166666666667&lt;/Valeur&gt;</v>
      </c>
      <c r="AL54" t="str">
        <f t="shared" si="14"/>
        <v>&lt;Insert&gt;&lt;Valeur name="no"&gt;53&lt;/Valeur&gt;&lt;Valeur name="ecriturebanque"&gt;49&lt;/Valeur&gt;&lt;Valeur name="datevaleur"&gt;2019/02/20&lt;/Valeur&gt;&lt;Valeur name="compte"&gt;50&lt;/Valeur&gt;&lt;Valeur name="description"&gt;E-VIR SEPA PRORATA 5 VdS&lt;/Valeur&gt;&lt;Valeur name="valeur"&gt;142.9&lt;/Valeur&gt;&lt;Valeur name="compta"&gt;1&lt;/Valeur&gt;&lt;Valeur name="tvapct"&gt;20&lt;/Valeur&gt;&lt;Valeur name="tva"&gt;23.8166666666667&lt;/Valeur&gt;&lt;/Insert&gt;</v>
      </c>
    </row>
    <row r="55" spans="1:38" x14ac:dyDescent="0.25">
      <c r="A55">
        <v>50</v>
      </c>
      <c r="B55">
        <f>IF(A55&lt;&gt;"",VLOOKUP(A55,Banque!B:D,3,FALSE),1)</f>
        <v>1</v>
      </c>
      <c r="C55" s="1">
        <v>43516</v>
      </c>
      <c r="D55" t="s">
        <v>357</v>
      </c>
      <c r="E55" t="s">
        <v>206</v>
      </c>
      <c r="G55" s="10">
        <v>266.95</v>
      </c>
      <c r="I55" s="11">
        <f t="shared" si="0"/>
        <v>44.491666666666646</v>
      </c>
      <c r="K55">
        <v>54</v>
      </c>
      <c r="L55">
        <v>50</v>
      </c>
      <c r="M55" s="16" t="s">
        <v>900</v>
      </c>
      <c r="N55">
        <f>IFERROR(VLOOKUP(D55,tab!A:B,2,FALSE),1)</f>
        <v>50</v>
      </c>
      <c r="O55" t="str">
        <f t="shared" si="1"/>
        <v>E-VIR SEPA PRORATA Solde VdS</v>
      </c>
      <c r="P55" s="14">
        <f t="shared" si="2"/>
        <v>266.95</v>
      </c>
      <c r="Q55" s="14">
        <f t="shared" si="3"/>
        <v>1</v>
      </c>
      <c r="R55" s="14">
        <v>20</v>
      </c>
      <c r="S55" s="14">
        <f t="shared" si="4"/>
        <v>44.491666666666646</v>
      </c>
      <c r="Z55" t="str">
        <f t="shared" si="5"/>
        <v>&lt;Valeur name="no"&gt;54&lt;/Valeur&gt;</v>
      </c>
      <c r="AA55" t="str">
        <f t="shared" si="6"/>
        <v>&lt;Valeur name="ecriturebanque"&gt;50&lt;/Valeur&gt;</v>
      </c>
      <c r="AB55" t="str">
        <f t="shared" si="7"/>
        <v>&lt;Valeur name="datevaleur"&gt;2019/02/20&lt;/Valeur&gt;</v>
      </c>
      <c r="AC55" t="str">
        <f t="shared" si="8"/>
        <v>&lt;Valeur name="compte"&gt;50&lt;/Valeur&gt;</v>
      </c>
      <c r="AD55" t="str">
        <f t="shared" si="9"/>
        <v>&lt;Valeur name="description"&gt;E-VIR SEPA PRORATA Solde VdS&lt;/Valeur&gt;</v>
      </c>
      <c r="AE55" t="str">
        <f t="shared" si="10"/>
        <v>&lt;Valeur name="valeur"&gt;266.95&lt;/Valeur&gt;</v>
      </c>
      <c r="AF55" t="str">
        <f t="shared" si="11"/>
        <v>&lt;Valeur name="compta"&gt;1&lt;/Valeur&gt;</v>
      </c>
      <c r="AG55" t="str">
        <f t="shared" si="12"/>
        <v>&lt;Valeur name="tvapct"&gt;20&lt;/Valeur&gt;</v>
      </c>
      <c r="AH55" t="str">
        <f t="shared" si="13"/>
        <v>&lt;Valeur name="tva"&gt;44.4916666666666&lt;/Valeur&gt;</v>
      </c>
      <c r="AL55" t="str">
        <f t="shared" si="14"/>
        <v>&lt;Insert&gt;&lt;Valeur name="no"&gt;54&lt;/Valeur&gt;&lt;Valeur name="ecriturebanque"&gt;50&lt;/Valeur&gt;&lt;Valeur name="datevaleur"&gt;2019/02/20&lt;/Valeur&gt;&lt;Valeur name="compte"&gt;50&lt;/Valeur&gt;&lt;Valeur name="description"&gt;E-VIR SEPA PRORATA Solde VdS&lt;/Valeur&gt;&lt;Valeur name="valeur"&gt;266.95&lt;/Valeur&gt;&lt;Valeur name="compta"&gt;1&lt;/Valeur&gt;&lt;Valeur name="tvapct"&gt;20&lt;/Valeur&gt;&lt;Valeur name="tva"&gt;44.4916666666666&lt;/Valeur&gt;&lt;/Insert&gt;</v>
      </c>
    </row>
    <row r="56" spans="1:38" x14ac:dyDescent="0.25">
      <c r="A56">
        <v>51</v>
      </c>
      <c r="B56">
        <f>IF(A56&lt;&gt;"",VLOOKUP(A56,Banque!B:D,3,FALSE),1)</f>
        <v>1</v>
      </c>
      <c r="C56" s="1">
        <v>43516</v>
      </c>
      <c r="D56" t="s">
        <v>254</v>
      </c>
      <c r="E56" t="s">
        <v>213</v>
      </c>
      <c r="G56" s="10">
        <v>26.9</v>
      </c>
      <c r="I56" s="11">
        <f t="shared" si="0"/>
        <v>4.4833333333333307</v>
      </c>
      <c r="K56">
        <v>55</v>
      </c>
      <c r="L56">
        <v>51</v>
      </c>
      <c r="M56" s="16" t="s">
        <v>900</v>
      </c>
      <c r="N56">
        <f>IFERROR(VLOOKUP(D56,tab!A:B,2,FALSE),1)</f>
        <v>27</v>
      </c>
      <c r="O56" t="str">
        <f t="shared" si="1"/>
        <v>CB 454106 BOULANGERIE 62ST LAURE</v>
      </c>
      <c r="P56" s="14">
        <f t="shared" si="2"/>
        <v>26.9</v>
      </c>
      <c r="Q56" s="14">
        <f t="shared" si="3"/>
        <v>1</v>
      </c>
      <c r="R56" s="14">
        <v>20</v>
      </c>
      <c r="S56" s="14">
        <f t="shared" si="4"/>
        <v>4.4833333333333307</v>
      </c>
      <c r="Z56" t="str">
        <f t="shared" si="5"/>
        <v>&lt;Valeur name="no"&gt;55&lt;/Valeur&gt;</v>
      </c>
      <c r="AA56" t="str">
        <f t="shared" si="6"/>
        <v>&lt;Valeur name="ecriturebanque"&gt;51&lt;/Valeur&gt;</v>
      </c>
      <c r="AB56" t="str">
        <f t="shared" si="7"/>
        <v>&lt;Valeur name="datevaleur"&gt;2019/02/20&lt;/Valeur&gt;</v>
      </c>
      <c r="AC56" t="str">
        <f t="shared" si="8"/>
        <v>&lt;Valeur name="compte"&gt;27&lt;/Valeur&gt;</v>
      </c>
      <c r="AD56" t="str">
        <f t="shared" si="9"/>
        <v>&lt;Valeur name="description"&gt;CB 454106 BOULANGERIE 62ST LAURE&lt;/Valeur&gt;</v>
      </c>
      <c r="AE56" t="str">
        <f t="shared" si="10"/>
        <v>&lt;Valeur name="valeur"&gt;26.9&lt;/Valeur&gt;</v>
      </c>
      <c r="AF56" t="str">
        <f t="shared" si="11"/>
        <v>&lt;Valeur name="compta"&gt;1&lt;/Valeur&gt;</v>
      </c>
      <c r="AG56" t="str">
        <f t="shared" si="12"/>
        <v>&lt;Valeur name="tvapct"&gt;20&lt;/Valeur&gt;</v>
      </c>
      <c r="AH56" t="str">
        <f t="shared" si="13"/>
        <v>&lt;Valeur name="tva"&gt;4.48333333333333&lt;/Valeur&gt;</v>
      </c>
      <c r="AL56" t="str">
        <f t="shared" si="14"/>
        <v>&lt;Insert&gt;&lt;Valeur name="no"&gt;55&lt;/Valeur&gt;&lt;Valeur name="ecriturebanque"&gt;51&lt;/Valeur&gt;&lt;Valeur name="datevaleur"&gt;2019/02/20&lt;/Valeur&gt;&lt;Valeur name="compte"&gt;27&lt;/Valeur&gt;&lt;Valeur name="description"&gt;CB 454106 BOULANGERIE 62ST LAURE&lt;/Valeur&gt;&lt;Valeur name="valeur"&gt;26.9&lt;/Valeur&gt;&lt;Valeur name="compta"&gt;1&lt;/Valeur&gt;&lt;Valeur name="tvapct"&gt;20&lt;/Valeur&gt;&lt;Valeur name="tva"&gt;4.48333333333333&lt;/Valeur&gt;&lt;/Insert&gt;</v>
      </c>
    </row>
    <row r="57" spans="1:38" x14ac:dyDescent="0.25">
      <c r="A57">
        <v>52</v>
      </c>
      <c r="B57">
        <f>IF(A57&lt;&gt;"",VLOOKUP(A57,Banque!B:D,3,FALSE),1)</f>
        <v>1</v>
      </c>
      <c r="C57" s="1">
        <v>43516</v>
      </c>
      <c r="D57" t="s">
        <v>372</v>
      </c>
      <c r="E57" t="s">
        <v>211</v>
      </c>
      <c r="G57" s="10">
        <v>6.2</v>
      </c>
      <c r="I57" s="11">
        <f t="shared" si="0"/>
        <v>1.0333333333333332</v>
      </c>
      <c r="K57">
        <v>56</v>
      </c>
      <c r="L57">
        <v>52</v>
      </c>
      <c r="M57" s="16" t="s">
        <v>900</v>
      </c>
      <c r="N57">
        <f>IFERROR(VLOOKUP(D57,tab!A:B,2,FALSE),1)</f>
        <v>21</v>
      </c>
      <c r="O57" t="str">
        <f t="shared" si="1"/>
        <v>CB 454106 SANEF 1202- 60SENLIS</v>
      </c>
      <c r="P57" s="14">
        <f t="shared" si="2"/>
        <v>6.2</v>
      </c>
      <c r="Q57" s="14">
        <f t="shared" si="3"/>
        <v>1</v>
      </c>
      <c r="R57" s="14">
        <v>20</v>
      </c>
      <c r="S57" s="14">
        <f t="shared" si="4"/>
        <v>1.0333333333333332</v>
      </c>
      <c r="Z57" t="str">
        <f t="shared" si="5"/>
        <v>&lt;Valeur name="no"&gt;56&lt;/Valeur&gt;</v>
      </c>
      <c r="AA57" t="str">
        <f t="shared" si="6"/>
        <v>&lt;Valeur name="ecriturebanque"&gt;52&lt;/Valeur&gt;</v>
      </c>
      <c r="AB57" t="str">
        <f t="shared" si="7"/>
        <v>&lt;Valeur name="datevaleur"&gt;2019/02/20&lt;/Valeur&gt;</v>
      </c>
      <c r="AC57" t="str">
        <f t="shared" si="8"/>
        <v>&lt;Valeur name="compte"&gt;21&lt;/Valeur&gt;</v>
      </c>
      <c r="AD57" t="str">
        <f t="shared" si="9"/>
        <v>&lt;Valeur name="description"&gt;CB 454106 SANEF 1202- 60SENLIS&lt;/Valeur&gt;</v>
      </c>
      <c r="AE57" t="str">
        <f t="shared" si="10"/>
        <v>&lt;Valeur name="valeur"&gt;6.2&lt;/Valeur&gt;</v>
      </c>
      <c r="AF57" t="str">
        <f t="shared" si="11"/>
        <v>&lt;Valeur name="compta"&gt;1&lt;/Valeur&gt;</v>
      </c>
      <c r="AG57" t="str">
        <f t="shared" si="12"/>
        <v>&lt;Valeur name="tvapct"&gt;20&lt;/Valeur&gt;</v>
      </c>
      <c r="AH57" t="str">
        <f t="shared" si="13"/>
        <v>&lt;Valeur name="tva"&gt;1.03333333333333&lt;/Valeur&gt;</v>
      </c>
      <c r="AL57" t="str">
        <f t="shared" si="14"/>
        <v>&lt;Insert&gt;&lt;Valeur name="no"&gt;56&lt;/Valeur&gt;&lt;Valeur name="ecriturebanque"&gt;52&lt;/Valeur&gt;&lt;Valeur name="datevaleur"&gt;2019/02/20&lt;/Valeur&gt;&lt;Valeur name="compte"&gt;21&lt;/Valeur&gt;&lt;Valeur name="description"&gt;CB 454106 SANEF 1202- 60SENLIS&lt;/Valeur&gt;&lt;Valeur name="valeur"&gt;6.2&lt;/Valeur&gt;&lt;Valeur name="compta"&gt;1&lt;/Valeur&gt;&lt;Valeur name="tvapct"&gt;20&lt;/Valeur&gt;&lt;Valeur name="tva"&gt;1.03333333333333&lt;/Valeur&gt;&lt;/Insert&gt;</v>
      </c>
    </row>
    <row r="58" spans="1:38" x14ac:dyDescent="0.25">
      <c r="A58">
        <v>53</v>
      </c>
      <c r="B58">
        <f>IF(A58&lt;&gt;"",VLOOKUP(A58,Banque!B:D,3,FALSE),1)</f>
        <v>1</v>
      </c>
      <c r="C58" s="1">
        <v>43516</v>
      </c>
      <c r="D58" t="s">
        <v>372</v>
      </c>
      <c r="E58" t="s">
        <v>209</v>
      </c>
      <c r="G58" s="10">
        <v>4.9000000000000004</v>
      </c>
      <c r="I58" s="11">
        <f t="shared" si="0"/>
        <v>0.81666666666666643</v>
      </c>
      <c r="K58">
        <v>57</v>
      </c>
      <c r="L58">
        <v>53</v>
      </c>
      <c r="M58" s="16" t="s">
        <v>900</v>
      </c>
      <c r="N58">
        <f>IFERROR(VLOOKUP(D58,tab!A:B,2,FALSE),1)</f>
        <v>21</v>
      </c>
      <c r="O58" t="str">
        <f t="shared" si="1"/>
        <v>CB 548222 SANEF 1202- 60SENLIS</v>
      </c>
      <c r="P58" s="14">
        <f t="shared" si="2"/>
        <v>4.9000000000000004</v>
      </c>
      <c r="Q58" s="14">
        <f t="shared" si="3"/>
        <v>1</v>
      </c>
      <c r="R58" s="14">
        <v>20</v>
      </c>
      <c r="S58" s="14">
        <f t="shared" si="4"/>
        <v>0.81666666666666643</v>
      </c>
      <c r="Z58" t="str">
        <f t="shared" si="5"/>
        <v>&lt;Valeur name="no"&gt;57&lt;/Valeur&gt;</v>
      </c>
      <c r="AA58" t="str">
        <f t="shared" si="6"/>
        <v>&lt;Valeur name="ecriturebanque"&gt;53&lt;/Valeur&gt;</v>
      </c>
      <c r="AB58" t="str">
        <f t="shared" si="7"/>
        <v>&lt;Valeur name="datevaleur"&gt;2019/02/20&lt;/Valeur&gt;</v>
      </c>
      <c r="AC58" t="str">
        <f t="shared" si="8"/>
        <v>&lt;Valeur name="compte"&gt;21&lt;/Valeur&gt;</v>
      </c>
      <c r="AD58" t="str">
        <f t="shared" si="9"/>
        <v>&lt;Valeur name="description"&gt;CB 548222 SANEF 1202- 60SENLIS&lt;/Valeur&gt;</v>
      </c>
      <c r="AE58" t="str">
        <f t="shared" si="10"/>
        <v>&lt;Valeur name="valeur"&gt;4.9&lt;/Valeur&gt;</v>
      </c>
      <c r="AF58" t="str">
        <f t="shared" si="11"/>
        <v>&lt;Valeur name="compta"&gt;1&lt;/Valeur&gt;</v>
      </c>
      <c r="AG58" t="str">
        <f t="shared" si="12"/>
        <v>&lt;Valeur name="tvapct"&gt;20&lt;/Valeur&gt;</v>
      </c>
      <c r="AH58" t="str">
        <f t="shared" si="13"/>
        <v>&lt;Valeur name="tva"&gt;0.816666666666666&lt;/Valeur&gt;</v>
      </c>
      <c r="AL58" t="str">
        <f t="shared" si="14"/>
        <v>&lt;Insert&gt;&lt;Valeur name="no"&gt;57&lt;/Valeur&gt;&lt;Valeur name="ecriturebanque"&gt;53&lt;/Valeur&gt;&lt;Valeur name="datevaleur"&gt;2019/02/20&lt;/Valeur&gt;&lt;Valeur name="compte"&gt;21&lt;/Valeur&gt;&lt;Valeur name="description"&gt;CB 548222 SANEF 1202- 60SENLIS&lt;/Valeur&gt;&lt;Valeur name="valeur"&gt;4.9&lt;/Valeur&gt;&lt;Valeur name="compta"&gt;1&lt;/Valeur&gt;&lt;Valeur name="tvapct"&gt;20&lt;/Valeur&gt;&lt;Valeur name="tva"&gt;0.816666666666666&lt;/Valeur&gt;&lt;/Insert&gt;</v>
      </c>
    </row>
    <row r="59" spans="1:38" x14ac:dyDescent="0.25">
      <c r="A59">
        <v>54</v>
      </c>
      <c r="B59">
        <f>IF(A59&lt;&gt;"",VLOOKUP(A59,Banque!B:D,3,FALSE),1)</f>
        <v>1</v>
      </c>
      <c r="C59" s="1">
        <v>43517</v>
      </c>
      <c r="D59" t="s">
        <v>253</v>
      </c>
      <c r="E59" t="s">
        <v>122</v>
      </c>
      <c r="G59" s="10">
        <v>77.06</v>
      </c>
      <c r="I59" s="11">
        <f t="shared" si="0"/>
        <v>12.843333333333334</v>
      </c>
      <c r="K59">
        <v>58</v>
      </c>
      <c r="L59">
        <v>54</v>
      </c>
      <c r="M59" s="16" t="s">
        <v>954</v>
      </c>
      <c r="N59">
        <f>IFERROR(VLOOKUP(D59,tab!A:B,2,FALSE),1)</f>
        <v>13</v>
      </c>
      <c r="O59" t="str">
        <f t="shared" si="1"/>
        <v>CB 548222 DAC SM MATC 59BAVAY</v>
      </c>
      <c r="P59" s="14">
        <f t="shared" si="2"/>
        <v>77.06</v>
      </c>
      <c r="Q59" s="14">
        <f t="shared" si="3"/>
        <v>1</v>
      </c>
      <c r="R59" s="14">
        <v>20</v>
      </c>
      <c r="S59" s="14">
        <f t="shared" si="4"/>
        <v>12.843333333333334</v>
      </c>
      <c r="Z59" t="str">
        <f t="shared" si="5"/>
        <v>&lt;Valeur name="no"&gt;58&lt;/Valeur&gt;</v>
      </c>
      <c r="AA59" t="str">
        <f t="shared" si="6"/>
        <v>&lt;Valeur name="ecriturebanque"&gt;54&lt;/Valeur&gt;</v>
      </c>
      <c r="AB59" t="str">
        <f t="shared" si="7"/>
        <v>&lt;Valeur name="datevaleur"&gt;2019/02/21&lt;/Valeur&gt;</v>
      </c>
      <c r="AC59" t="str">
        <f t="shared" si="8"/>
        <v>&lt;Valeur name="compte"&gt;13&lt;/Valeur&gt;</v>
      </c>
      <c r="AD59" t="str">
        <f t="shared" si="9"/>
        <v>&lt;Valeur name="description"&gt;CB 548222 DAC SM MATC 59BAVAY&lt;/Valeur&gt;</v>
      </c>
      <c r="AE59" t="str">
        <f t="shared" si="10"/>
        <v>&lt;Valeur name="valeur"&gt;77.06&lt;/Valeur&gt;</v>
      </c>
      <c r="AF59" t="str">
        <f t="shared" si="11"/>
        <v>&lt;Valeur name="compta"&gt;1&lt;/Valeur&gt;</v>
      </c>
      <c r="AG59" t="str">
        <f t="shared" si="12"/>
        <v>&lt;Valeur name="tvapct"&gt;20&lt;/Valeur&gt;</v>
      </c>
      <c r="AH59" t="str">
        <f t="shared" si="13"/>
        <v>&lt;Valeur name="tva"&gt;12.8433333333333&lt;/Valeur&gt;</v>
      </c>
      <c r="AL59" t="str">
        <f t="shared" si="14"/>
        <v>&lt;Insert&gt;&lt;Valeur name="no"&gt;58&lt;/Valeur&gt;&lt;Valeur name="ecriturebanque"&gt;54&lt;/Valeur&gt;&lt;Valeur name="datevaleur"&gt;2019/02/21&lt;/Valeur&gt;&lt;Valeur name="compte"&gt;13&lt;/Valeur&gt;&lt;Valeur name="description"&gt;CB 548222 DAC SM MATC 59BAVAY&lt;/Valeur&gt;&lt;Valeur name="valeur"&gt;77.06&lt;/Valeur&gt;&lt;Valeur name="compta"&gt;1&lt;/Valeur&gt;&lt;Valeur name="tvapct"&gt;20&lt;/Valeur&gt;&lt;Valeur name="tva"&gt;12.8433333333333&lt;/Valeur&gt;&lt;/Insert&gt;</v>
      </c>
    </row>
    <row r="60" spans="1:38" x14ac:dyDescent="0.25">
      <c r="A60">
        <v>55</v>
      </c>
      <c r="B60">
        <f>IF(A60&lt;&gt;"",VLOOKUP(A60,Banque!B:D,3,FALSE),1)</f>
        <v>1</v>
      </c>
      <c r="C60" s="1">
        <v>43517</v>
      </c>
      <c r="D60" t="s">
        <v>254</v>
      </c>
      <c r="E60" t="s">
        <v>109</v>
      </c>
      <c r="G60" s="10">
        <v>16.3</v>
      </c>
      <c r="I60" s="11">
        <f t="shared" si="0"/>
        <v>2.7166666666666668</v>
      </c>
      <c r="K60">
        <v>59</v>
      </c>
      <c r="L60">
        <v>55</v>
      </c>
      <c r="M60" s="16" t="s">
        <v>954</v>
      </c>
      <c r="N60">
        <f>IFERROR(VLOOKUP(D60,tab!A:B,2,FALSE),1)</f>
        <v>27</v>
      </c>
      <c r="O60" t="str">
        <f t="shared" si="1"/>
        <v>CB 454106 LE PEPLUM   59BAVAY</v>
      </c>
      <c r="P60" s="14">
        <f t="shared" si="2"/>
        <v>16.3</v>
      </c>
      <c r="Q60" s="14">
        <f t="shared" si="3"/>
        <v>1</v>
      </c>
      <c r="R60" s="14">
        <v>20</v>
      </c>
      <c r="S60" s="14">
        <f t="shared" si="4"/>
        <v>2.7166666666666668</v>
      </c>
      <c r="Z60" t="str">
        <f t="shared" si="5"/>
        <v>&lt;Valeur name="no"&gt;59&lt;/Valeur&gt;</v>
      </c>
      <c r="AA60" t="str">
        <f t="shared" si="6"/>
        <v>&lt;Valeur name="ecriturebanque"&gt;55&lt;/Valeur&gt;</v>
      </c>
      <c r="AB60" t="str">
        <f t="shared" si="7"/>
        <v>&lt;Valeur name="datevaleur"&gt;2019/02/21&lt;/Valeur&gt;</v>
      </c>
      <c r="AC60" t="str">
        <f t="shared" si="8"/>
        <v>&lt;Valeur name="compte"&gt;27&lt;/Valeur&gt;</v>
      </c>
      <c r="AD60" t="str">
        <f t="shared" si="9"/>
        <v>&lt;Valeur name="description"&gt;CB 454106 LE PEPLUM   59BAVAY&lt;/Valeur&gt;</v>
      </c>
      <c r="AE60" t="str">
        <f t="shared" si="10"/>
        <v>&lt;Valeur name="valeur"&gt;16.3&lt;/Valeur&gt;</v>
      </c>
      <c r="AF60" t="str">
        <f t="shared" si="11"/>
        <v>&lt;Valeur name="compta"&gt;1&lt;/Valeur&gt;</v>
      </c>
      <c r="AG60" t="str">
        <f t="shared" si="12"/>
        <v>&lt;Valeur name="tvapct"&gt;20&lt;/Valeur&gt;</v>
      </c>
      <c r="AH60" t="str">
        <f t="shared" si="13"/>
        <v>&lt;Valeur name="tva"&gt;2.71666666666667&lt;/Valeur&gt;</v>
      </c>
      <c r="AL60" t="str">
        <f t="shared" si="14"/>
        <v>&lt;Insert&gt;&lt;Valeur name="no"&gt;59&lt;/Valeur&gt;&lt;Valeur name="ecriturebanque"&gt;55&lt;/Valeur&gt;&lt;Valeur name="datevaleur"&gt;2019/02/21&lt;/Valeur&gt;&lt;Valeur name="compte"&gt;27&lt;/Valeur&gt;&lt;Valeur name="description"&gt;CB 454106 LE PEPLUM   59BAVAY&lt;/Valeur&gt;&lt;Valeur name="valeur"&gt;16.3&lt;/Valeur&gt;&lt;Valeur name="compta"&gt;1&lt;/Valeur&gt;&lt;Valeur name="tvapct"&gt;20&lt;/Valeur&gt;&lt;Valeur name="tva"&gt;2.71666666666667&lt;/Valeur&gt;&lt;/Insert&gt;</v>
      </c>
    </row>
    <row r="61" spans="1:38" x14ac:dyDescent="0.25">
      <c r="A61">
        <v>56</v>
      </c>
      <c r="B61">
        <f>IF(A61&lt;&gt;"",VLOOKUP(A61,Banque!B:D,3,FALSE),1)</f>
        <v>1</v>
      </c>
      <c r="C61" s="1">
        <v>43517</v>
      </c>
      <c r="D61" t="s">
        <v>269</v>
      </c>
      <c r="E61" t="s">
        <v>15</v>
      </c>
      <c r="F61" t="s">
        <v>191</v>
      </c>
      <c r="G61" s="10">
        <v>151</v>
      </c>
      <c r="I61" s="11">
        <f t="shared" si="0"/>
        <v>25.166666666666657</v>
      </c>
      <c r="K61">
        <v>60</v>
      </c>
      <c r="L61">
        <v>56</v>
      </c>
      <c r="M61" s="16" t="s">
        <v>954</v>
      </c>
      <c r="N61">
        <f>IFERROR(VLOOKUP(D61,tab!A:B,2,FALSE),1)</f>
        <v>14</v>
      </c>
      <c r="O61" t="str">
        <f t="shared" si="1"/>
        <v>PRLV B2B DGFIP / PASDSN15022019-012019-7945135310</v>
      </c>
      <c r="P61" s="14">
        <f t="shared" si="2"/>
        <v>151</v>
      </c>
      <c r="Q61" s="14">
        <f t="shared" si="3"/>
        <v>1</v>
      </c>
      <c r="R61" s="14">
        <v>20</v>
      </c>
      <c r="S61" s="14">
        <f t="shared" si="4"/>
        <v>25.166666666666657</v>
      </c>
      <c r="Z61" t="str">
        <f t="shared" si="5"/>
        <v>&lt;Valeur name="no"&gt;60&lt;/Valeur&gt;</v>
      </c>
      <c r="AA61" t="str">
        <f t="shared" si="6"/>
        <v>&lt;Valeur name="ecriturebanque"&gt;56&lt;/Valeur&gt;</v>
      </c>
      <c r="AB61" t="str">
        <f t="shared" si="7"/>
        <v>&lt;Valeur name="datevaleur"&gt;2019/02/21&lt;/Valeur&gt;</v>
      </c>
      <c r="AC61" t="str">
        <f t="shared" si="8"/>
        <v>&lt;Valeur name="compte"&gt;14&lt;/Valeur&gt;</v>
      </c>
      <c r="AD61" t="str">
        <f t="shared" si="9"/>
        <v>&lt;Valeur name="description"&gt;PRLV B2B DGFIP / PASDSN15022019-012019-7945135310&lt;/Valeur&gt;</v>
      </c>
      <c r="AE61" t="str">
        <f t="shared" si="10"/>
        <v>&lt;Valeur name="valeur"&gt;151&lt;/Valeur&gt;</v>
      </c>
      <c r="AF61" t="str">
        <f t="shared" si="11"/>
        <v>&lt;Valeur name="compta"&gt;1&lt;/Valeur&gt;</v>
      </c>
      <c r="AG61" t="str">
        <f t="shared" si="12"/>
        <v>&lt;Valeur name="tvapct"&gt;20&lt;/Valeur&gt;</v>
      </c>
      <c r="AH61" t="str">
        <f t="shared" si="13"/>
        <v>&lt;Valeur name="tva"&gt;25.1666666666667&lt;/Valeur&gt;</v>
      </c>
      <c r="AL61" t="str">
        <f t="shared" si="14"/>
        <v>&lt;Insert&gt;&lt;Valeur name="no"&gt;60&lt;/Valeur&gt;&lt;Valeur name="ecriturebanque"&gt;56&lt;/Valeur&gt;&lt;Valeur name="datevaleur"&gt;2019/02/21&lt;/Valeur&gt;&lt;Valeur name="compte"&gt;14&lt;/Valeur&gt;&lt;Valeur name="description"&gt;PRLV B2B DGFIP / PASDSN15022019-012019-7945135310&lt;/Valeur&gt;&lt;Valeur name="valeur"&gt;151&lt;/Valeur&gt;&lt;Valeur name="compta"&gt;1&lt;/Valeur&gt;&lt;Valeur name="tvapct"&gt;20&lt;/Valeur&gt;&lt;Valeur name="tva"&gt;25.1666666666667&lt;/Valeur&gt;&lt;/Insert&gt;</v>
      </c>
    </row>
    <row r="62" spans="1:38" x14ac:dyDescent="0.25">
      <c r="A62">
        <v>57</v>
      </c>
      <c r="B62">
        <f>IF(A62&lt;&gt;"",VLOOKUP(A62,Banque!B:D,3,FALSE),1)</f>
        <v>1</v>
      </c>
      <c r="C62" s="1">
        <v>43517</v>
      </c>
      <c r="D62" t="s">
        <v>257</v>
      </c>
      <c r="E62" t="s">
        <v>31</v>
      </c>
      <c r="G62" s="10">
        <v>0.21</v>
      </c>
      <c r="I62" s="11">
        <f t="shared" si="0"/>
        <v>3.5000000000000003E-2</v>
      </c>
      <c r="K62">
        <v>61</v>
      </c>
      <c r="L62">
        <v>57</v>
      </c>
      <c r="M62" s="16" t="s">
        <v>954</v>
      </c>
      <c r="N62">
        <f>IFERROR(VLOOKUP(D62,tab!A:B,2,FALSE),1)</f>
        <v>18</v>
      </c>
      <c r="O62" t="str">
        <f t="shared" si="1"/>
        <v>FRAIS E-VIR SEPA VERS EEE</v>
      </c>
      <c r="P62" s="14">
        <f t="shared" si="2"/>
        <v>0.21</v>
      </c>
      <c r="Q62" s="14">
        <f t="shared" si="3"/>
        <v>1</v>
      </c>
      <c r="R62" s="14">
        <v>20</v>
      </c>
      <c r="S62" s="14">
        <f t="shared" si="4"/>
        <v>3.5000000000000003E-2</v>
      </c>
      <c r="Z62" t="str">
        <f t="shared" si="5"/>
        <v>&lt;Valeur name="no"&gt;61&lt;/Valeur&gt;</v>
      </c>
      <c r="AA62" t="str">
        <f t="shared" si="6"/>
        <v>&lt;Valeur name="ecriturebanque"&gt;57&lt;/Valeur&gt;</v>
      </c>
      <c r="AB62" t="str">
        <f t="shared" si="7"/>
        <v>&lt;Valeur name="datevaleur"&gt;2019/02/21&lt;/Valeur&gt;</v>
      </c>
      <c r="AC62" t="str">
        <f t="shared" si="8"/>
        <v>&lt;Valeur name="compte"&gt;18&lt;/Valeur&gt;</v>
      </c>
      <c r="AD62" t="str">
        <f t="shared" si="9"/>
        <v>&lt;Valeur name="description"&gt;FRAIS E-VIR SEPA VERS EEE&lt;/Valeur&gt;</v>
      </c>
      <c r="AE62" t="str">
        <f t="shared" si="10"/>
        <v>&lt;Valeur name="valeur"&gt;0.21&lt;/Valeur&gt;</v>
      </c>
      <c r="AF62" t="str">
        <f t="shared" si="11"/>
        <v>&lt;Valeur name="compta"&gt;1&lt;/Valeur&gt;</v>
      </c>
      <c r="AG62" t="str">
        <f t="shared" si="12"/>
        <v>&lt;Valeur name="tvapct"&gt;20&lt;/Valeur&gt;</v>
      </c>
      <c r="AH62" t="str">
        <f t="shared" si="13"/>
        <v>&lt;Valeur name="tva"&gt;0.035&lt;/Valeur&gt;</v>
      </c>
      <c r="AL62" t="str">
        <f t="shared" si="14"/>
        <v>&lt;Insert&gt;&lt;Valeur name="no"&gt;61&lt;/Valeur&gt;&lt;Valeur name="ecriturebanque"&gt;57&lt;/Valeur&gt;&lt;Valeur name="datevaleur"&gt;2019/02/21&lt;/Valeur&gt;&lt;Valeur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63" spans="1:38" x14ac:dyDescent="0.25">
      <c r="A63">
        <v>58</v>
      </c>
      <c r="B63">
        <f>IF(A63&lt;&gt;"",VLOOKUP(A63,Banque!B:D,3,FALSE),1)</f>
        <v>1</v>
      </c>
      <c r="C63" s="1">
        <v>43517</v>
      </c>
      <c r="D63" t="s">
        <v>257</v>
      </c>
      <c r="E63" t="s">
        <v>31</v>
      </c>
      <c r="G63" s="10">
        <v>0.21</v>
      </c>
      <c r="I63" s="11">
        <f t="shared" ref="I63:I124" si="15">IF(G63&gt;0,G63-(G63/TVA),-(H63-(H63/TVA)))</f>
        <v>3.5000000000000003E-2</v>
      </c>
      <c r="K63">
        <v>62</v>
      </c>
      <c r="L63">
        <v>58</v>
      </c>
      <c r="M63" s="16" t="s">
        <v>954</v>
      </c>
      <c r="N63">
        <f>IFERROR(VLOOKUP(D63,tab!A:B,2,FALSE),1)</f>
        <v>18</v>
      </c>
      <c r="O63" t="str">
        <f t="shared" si="1"/>
        <v>FRAIS E-VIR SEPA VERS EEE</v>
      </c>
      <c r="P63" s="14">
        <f t="shared" si="2"/>
        <v>0.21</v>
      </c>
      <c r="Q63" s="14">
        <f t="shared" si="3"/>
        <v>1</v>
      </c>
      <c r="R63" s="14">
        <v>20</v>
      </c>
      <c r="S63" s="14">
        <f t="shared" si="4"/>
        <v>3.5000000000000003E-2</v>
      </c>
      <c r="Z63" t="str">
        <f t="shared" si="5"/>
        <v>&lt;Valeur name="no"&gt;62&lt;/Valeur&gt;</v>
      </c>
      <c r="AA63" t="str">
        <f t="shared" si="6"/>
        <v>&lt;Valeur name="ecriturebanque"&gt;58&lt;/Valeur&gt;</v>
      </c>
      <c r="AB63" t="str">
        <f t="shared" si="7"/>
        <v>&lt;Valeur name="datevaleur"&gt;2019/02/21&lt;/Valeur&gt;</v>
      </c>
      <c r="AC63" t="str">
        <f t="shared" si="8"/>
        <v>&lt;Valeur name="compte"&gt;18&lt;/Valeur&gt;</v>
      </c>
      <c r="AD63" t="str">
        <f t="shared" si="9"/>
        <v>&lt;Valeur name="description"&gt;FRAIS E-VIR SEPA VERS EEE&lt;/Valeur&gt;</v>
      </c>
      <c r="AE63" t="str">
        <f t="shared" si="10"/>
        <v>&lt;Valeur name="valeur"&gt;0.21&lt;/Valeur&gt;</v>
      </c>
      <c r="AF63" t="str">
        <f t="shared" si="11"/>
        <v>&lt;Valeur name="compta"&gt;1&lt;/Valeur&gt;</v>
      </c>
      <c r="AG63" t="str">
        <f t="shared" si="12"/>
        <v>&lt;Valeur name="tvapct"&gt;20&lt;/Valeur&gt;</v>
      </c>
      <c r="AH63" t="str">
        <f t="shared" si="13"/>
        <v>&lt;Valeur name="tva"&gt;0.035&lt;/Valeur&gt;</v>
      </c>
      <c r="AL63" t="str">
        <f t="shared" si="14"/>
        <v>&lt;Insert&gt;&lt;Valeur name="no"&gt;62&lt;/Valeur&gt;&lt;Valeur name="ecriturebanque"&gt;58&lt;/Valeur&gt;&lt;Valeur name="datevaleur"&gt;2019/02/21&lt;/Valeur&gt;&lt;Valeur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64" spans="1:38" x14ac:dyDescent="0.25">
      <c r="A64">
        <v>59</v>
      </c>
      <c r="B64">
        <f>IF(A64&lt;&gt;"",VLOOKUP(A64,Banque!B:D,3,FALSE),1)</f>
        <v>1</v>
      </c>
      <c r="C64" s="1">
        <v>43517</v>
      </c>
      <c r="D64" t="s">
        <v>257</v>
      </c>
      <c r="E64" t="s">
        <v>31</v>
      </c>
      <c r="G64" s="10">
        <v>0.21</v>
      </c>
      <c r="I64" s="11">
        <f t="shared" si="15"/>
        <v>3.5000000000000003E-2</v>
      </c>
      <c r="K64">
        <v>63</v>
      </c>
      <c r="L64">
        <v>59</v>
      </c>
      <c r="M64" s="16" t="s">
        <v>954</v>
      </c>
      <c r="N64">
        <f>IFERROR(VLOOKUP(D64,tab!A:B,2,FALSE),1)</f>
        <v>18</v>
      </c>
      <c r="O64" t="str">
        <f t="shared" si="1"/>
        <v>FRAIS E-VIR SEPA VERS EEE</v>
      </c>
      <c r="P64" s="14">
        <f t="shared" si="2"/>
        <v>0.21</v>
      </c>
      <c r="Q64" s="14">
        <f t="shared" si="3"/>
        <v>1</v>
      </c>
      <c r="R64" s="14">
        <v>20</v>
      </c>
      <c r="S64" s="14">
        <f t="shared" si="4"/>
        <v>3.5000000000000003E-2</v>
      </c>
      <c r="Z64" t="str">
        <f t="shared" si="5"/>
        <v>&lt;Valeur name="no"&gt;63&lt;/Valeur&gt;</v>
      </c>
      <c r="AA64" t="str">
        <f t="shared" si="6"/>
        <v>&lt;Valeur name="ecriturebanque"&gt;59&lt;/Valeur&gt;</v>
      </c>
      <c r="AB64" t="str">
        <f t="shared" si="7"/>
        <v>&lt;Valeur name="datevaleur"&gt;2019/02/21&lt;/Valeur&gt;</v>
      </c>
      <c r="AC64" t="str">
        <f t="shared" si="8"/>
        <v>&lt;Valeur name="compte"&gt;18&lt;/Valeur&gt;</v>
      </c>
      <c r="AD64" t="str">
        <f t="shared" si="9"/>
        <v>&lt;Valeur name="description"&gt;FRAIS E-VIR SEPA VERS EEE&lt;/Valeur&gt;</v>
      </c>
      <c r="AE64" t="str">
        <f t="shared" si="10"/>
        <v>&lt;Valeur name="valeur"&gt;0.21&lt;/Valeur&gt;</v>
      </c>
      <c r="AF64" t="str">
        <f t="shared" si="11"/>
        <v>&lt;Valeur name="compta"&gt;1&lt;/Valeur&gt;</v>
      </c>
      <c r="AG64" t="str">
        <f t="shared" si="12"/>
        <v>&lt;Valeur name="tvapct"&gt;20&lt;/Valeur&gt;</v>
      </c>
      <c r="AH64" t="str">
        <f t="shared" si="13"/>
        <v>&lt;Valeur name="tva"&gt;0.035&lt;/Valeur&gt;</v>
      </c>
      <c r="AL64" t="str">
        <f t="shared" si="14"/>
        <v>&lt;Insert&gt;&lt;Valeur name="no"&gt;63&lt;/Valeur&gt;&lt;Valeur name="ecriturebanque"&gt;59&lt;/Valeur&gt;&lt;Valeur name="datevaleur"&gt;2019/02/21&lt;/Valeur&gt;&lt;Valeur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65" spans="1:38" x14ac:dyDescent="0.25">
      <c r="A65">
        <v>60</v>
      </c>
      <c r="B65">
        <f>IF(A65&lt;&gt;"",VLOOKUP(A65,Banque!B:D,3,FALSE),1)</f>
        <v>1</v>
      </c>
      <c r="C65" s="1">
        <v>43517</v>
      </c>
      <c r="D65" t="s">
        <v>257</v>
      </c>
      <c r="E65" t="s">
        <v>31</v>
      </c>
      <c r="G65" s="10">
        <v>0.21</v>
      </c>
      <c r="I65" s="11">
        <f t="shared" si="15"/>
        <v>3.5000000000000003E-2</v>
      </c>
      <c r="K65">
        <v>64</v>
      </c>
      <c r="L65">
        <v>60</v>
      </c>
      <c r="M65" s="16" t="s">
        <v>954</v>
      </c>
      <c r="N65">
        <f>IFERROR(VLOOKUP(D65,tab!A:B,2,FALSE),1)</f>
        <v>18</v>
      </c>
      <c r="O65" t="str">
        <f t="shared" si="1"/>
        <v>FRAIS E-VIR SEPA VERS EEE</v>
      </c>
      <c r="P65" s="14">
        <f t="shared" si="2"/>
        <v>0.21</v>
      </c>
      <c r="Q65" s="14">
        <f t="shared" si="3"/>
        <v>1</v>
      </c>
      <c r="R65" s="14">
        <v>20</v>
      </c>
      <c r="S65" s="14">
        <f t="shared" si="4"/>
        <v>3.5000000000000003E-2</v>
      </c>
      <c r="Z65" t="str">
        <f t="shared" si="5"/>
        <v>&lt;Valeur name="no"&gt;64&lt;/Valeur&gt;</v>
      </c>
      <c r="AA65" t="str">
        <f t="shared" si="6"/>
        <v>&lt;Valeur name="ecriturebanque"&gt;60&lt;/Valeur&gt;</v>
      </c>
      <c r="AB65" t="str">
        <f t="shared" si="7"/>
        <v>&lt;Valeur name="datevaleur"&gt;2019/02/21&lt;/Valeur&gt;</v>
      </c>
      <c r="AC65" t="str">
        <f t="shared" si="8"/>
        <v>&lt;Valeur name="compte"&gt;18&lt;/Valeur&gt;</v>
      </c>
      <c r="AD65" t="str">
        <f t="shared" si="9"/>
        <v>&lt;Valeur name="description"&gt;FRAIS E-VIR SEPA VERS EEE&lt;/Valeur&gt;</v>
      </c>
      <c r="AE65" t="str">
        <f t="shared" si="10"/>
        <v>&lt;Valeur name="valeur"&gt;0.21&lt;/Valeur&gt;</v>
      </c>
      <c r="AF65" t="str">
        <f t="shared" si="11"/>
        <v>&lt;Valeur name="compta"&gt;1&lt;/Valeur&gt;</v>
      </c>
      <c r="AG65" t="str">
        <f t="shared" si="12"/>
        <v>&lt;Valeur name="tvapct"&gt;20&lt;/Valeur&gt;</v>
      </c>
      <c r="AH65" t="str">
        <f t="shared" si="13"/>
        <v>&lt;Valeur name="tva"&gt;0.035&lt;/Valeur&gt;</v>
      </c>
      <c r="AL65" t="str">
        <f t="shared" si="14"/>
        <v>&lt;Insert&gt;&lt;Valeur name="no"&gt;64&lt;/Valeur&gt;&lt;Valeur name="ecriturebanque"&gt;60&lt;/Valeur&gt;&lt;Valeur name="datevaleur"&gt;2019/02/21&lt;/Valeur&gt;&lt;Valeur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66" spans="1:38" x14ac:dyDescent="0.25">
      <c r="A66">
        <v>61</v>
      </c>
      <c r="B66">
        <f>IF(A66&lt;&gt;"",VLOOKUP(A66,Banque!B:D,3,FALSE),1)</f>
        <v>1</v>
      </c>
      <c r="C66" s="1">
        <v>43517</v>
      </c>
      <c r="D66" t="s">
        <v>257</v>
      </c>
      <c r="E66" t="s">
        <v>31</v>
      </c>
      <c r="G66" s="10">
        <v>0.21</v>
      </c>
      <c r="I66" s="11">
        <f t="shared" si="15"/>
        <v>3.5000000000000003E-2</v>
      </c>
      <c r="K66">
        <v>65</v>
      </c>
      <c r="L66">
        <v>61</v>
      </c>
      <c r="M66" s="16" t="s">
        <v>954</v>
      </c>
      <c r="N66">
        <f>IFERROR(VLOOKUP(D66,tab!A:B,2,FALSE),1)</f>
        <v>18</v>
      </c>
      <c r="O66" t="str">
        <f t="shared" ref="O66:O129" si="16">E66&amp;IF(ISBLANK(F66),""," / "&amp;F66)</f>
        <v>FRAIS E-VIR SEPA VERS EEE</v>
      </c>
      <c r="P66" s="14">
        <f t="shared" ref="P66:P129" si="17">SUM(G66:H66)</f>
        <v>0.21</v>
      </c>
      <c r="Q66" s="14">
        <f t="shared" ref="Q66:Q129" si="18">B66</f>
        <v>1</v>
      </c>
      <c r="R66" s="14">
        <v>20</v>
      </c>
      <c r="S66" s="14">
        <f t="shared" ref="S66:S129" si="19">I66</f>
        <v>3.5000000000000003E-2</v>
      </c>
      <c r="Z66" t="str">
        <f t="shared" ref="Z66:Z129" si="20">IF(ISBLANK($K66),"",K$1&amp;K66&amp;"&lt;/Valeur&gt;")</f>
        <v>&lt;Valeur name="no"&gt;65&lt;/Valeur&gt;</v>
      </c>
      <c r="AA66" t="str">
        <f t="shared" ref="AA66:AA129" si="21">IF(ISBLANK($K66),"",L$1&amp;L66&amp;"&lt;/Valeur&gt;")</f>
        <v>&lt;Valeur name="ecriturebanque"&gt;61&lt;/Valeur&gt;</v>
      </c>
      <c r="AB66" t="str">
        <f t="shared" ref="AB66:AB129" si="22">IF(ISBLANK($K66),"",M$1&amp;M66&amp;"&lt;/Valeur&gt;")</f>
        <v>&lt;Valeur name="datevaleur"&gt;2019/02/21&lt;/Valeur&gt;</v>
      </c>
      <c r="AC66" t="str">
        <f t="shared" ref="AC66:AC129" si="23">IF(ISBLANK($K66),"",N$1&amp;N66&amp;"&lt;/Valeur&gt;")</f>
        <v>&lt;Valeur name="compte"&gt;18&lt;/Valeur&gt;</v>
      </c>
      <c r="AD66" t="str">
        <f t="shared" ref="AD66:AD129" si="24">IF(ISBLANK($K66),"",O$1&amp;O66&amp;"&lt;/Valeur&gt;")</f>
        <v>&lt;Valeur name="description"&gt;FRAIS E-VIR SEPA VERS EEE&lt;/Valeur&gt;</v>
      </c>
      <c r="AE66" t="str">
        <f t="shared" ref="AE66:AE129" si="25">IF(ISBLANK($K66),"",P$1&amp;P66&amp;"&lt;/Valeur&gt;")</f>
        <v>&lt;Valeur name="valeur"&gt;0.21&lt;/Valeur&gt;</v>
      </c>
      <c r="AF66" t="str">
        <f t="shared" ref="AF66:AF129" si="26">IF(ISBLANK($K66),"",Q$1&amp;Q66&amp;"&lt;/Valeur&gt;")</f>
        <v>&lt;Valeur name="compta"&gt;1&lt;/Valeur&gt;</v>
      </c>
      <c r="AG66" t="str">
        <f t="shared" ref="AG66:AG129" si="27">IF(ISBLANK($K66),"",R$1&amp;R66&amp;"&lt;/Valeur&gt;")</f>
        <v>&lt;Valeur name="tvapct"&gt;20&lt;/Valeur&gt;</v>
      </c>
      <c r="AH66" t="str">
        <f t="shared" ref="AH66:AH129" si="28">IF(ISBLANK($K66),"",S$1&amp;S66&amp;"&lt;/Valeur&gt;")</f>
        <v>&lt;Valeur name="tva"&gt;0.035&lt;/Valeur&gt;</v>
      </c>
      <c r="AL66" t="str">
        <f t="shared" si="14"/>
        <v>&lt;Insert&gt;&lt;Valeur name="no"&gt;65&lt;/Valeur&gt;&lt;Valeur name="ecriturebanque"&gt;61&lt;/Valeur&gt;&lt;Valeur name="datevaleur"&gt;2019/02/21&lt;/Valeur&gt;&lt;Valeur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67" spans="1:38" x14ac:dyDescent="0.25">
      <c r="A67">
        <v>62</v>
      </c>
      <c r="B67">
        <f>IF(A67&lt;&gt;"",VLOOKUP(A67,Banque!B:D,3,FALSE),1)</f>
        <v>1</v>
      </c>
      <c r="C67" s="1">
        <v>43518</v>
      </c>
      <c r="D67" t="s">
        <v>256</v>
      </c>
      <c r="E67" t="s">
        <v>189</v>
      </c>
      <c r="G67" s="10">
        <v>1536.73</v>
      </c>
      <c r="I67" s="11">
        <f t="shared" si="15"/>
        <v>256.12166666666667</v>
      </c>
      <c r="K67">
        <v>66</v>
      </c>
      <c r="L67">
        <v>62</v>
      </c>
      <c r="M67" s="16" t="s">
        <v>955</v>
      </c>
      <c r="N67">
        <f>IFERROR(VLOOKUP(D67,tab!A:B,2,FALSE),1)</f>
        <v>28</v>
      </c>
      <c r="O67" t="str">
        <f t="shared" si="16"/>
        <v>E-VIR SEPA Salaire Janvier Etien</v>
      </c>
      <c r="P67" s="14">
        <f t="shared" si="17"/>
        <v>1536.73</v>
      </c>
      <c r="Q67" s="14">
        <f t="shared" si="18"/>
        <v>1</v>
      </c>
      <c r="R67" s="14">
        <v>20</v>
      </c>
      <c r="S67" s="14">
        <f t="shared" si="19"/>
        <v>256.12166666666667</v>
      </c>
      <c r="Z67" t="str">
        <f t="shared" si="20"/>
        <v>&lt;Valeur name="no"&gt;66&lt;/Valeur&gt;</v>
      </c>
      <c r="AA67" t="str">
        <f t="shared" si="21"/>
        <v>&lt;Valeur name="ecriturebanque"&gt;62&lt;/Valeur&gt;</v>
      </c>
      <c r="AB67" t="str">
        <f t="shared" si="22"/>
        <v>&lt;Valeur name="datevaleur"&gt;2019/02/22&lt;/Valeur&gt;</v>
      </c>
      <c r="AC67" t="str">
        <f t="shared" si="23"/>
        <v>&lt;Valeur name="compte"&gt;28&lt;/Valeur&gt;</v>
      </c>
      <c r="AD67" t="str">
        <f t="shared" si="24"/>
        <v>&lt;Valeur name="description"&gt;E-VIR SEPA Salaire Janvier Etien&lt;/Valeur&gt;</v>
      </c>
      <c r="AE67" t="str">
        <f t="shared" si="25"/>
        <v>&lt;Valeur name="valeur"&gt;1536.73&lt;/Valeur&gt;</v>
      </c>
      <c r="AF67" t="str">
        <f t="shared" si="26"/>
        <v>&lt;Valeur name="compta"&gt;1&lt;/Valeur&gt;</v>
      </c>
      <c r="AG67" t="str">
        <f t="shared" si="27"/>
        <v>&lt;Valeur name="tvapct"&gt;20&lt;/Valeur&gt;</v>
      </c>
      <c r="AH67" t="str">
        <f t="shared" si="28"/>
        <v>&lt;Valeur name="tva"&gt;256.121666666667&lt;/Valeur&gt;</v>
      </c>
      <c r="AL67" t="str">
        <f t="shared" ref="AL67:AL130" si="29">IF(ISBLANK(M67),"",CONCATENATE("&lt;Insert&gt;",Z67,AA67,AB67,AC67,AD67,AE67,AF67,AG67,AH67,"&lt;/Insert&gt;"))</f>
        <v>&lt;Insert&gt;&lt;Valeur name="no"&gt;66&lt;/Valeur&gt;&lt;Valeur name="ecriturebanque"&gt;62&lt;/Valeur&gt;&lt;Valeur name="datevaleur"&gt;2019/02/22&lt;/Valeur&gt;&lt;Valeur name="compte"&gt;28&lt;/Valeur&gt;&lt;Valeur name="description"&gt;E-VIR SEPA Salaire Janvier Etien&lt;/Valeur&gt;&lt;Valeur name="valeur"&gt;1536.73&lt;/Valeur&gt;&lt;Valeur name="compta"&gt;1&lt;/Valeur&gt;&lt;Valeur name="tvapct"&gt;20&lt;/Valeur&gt;&lt;Valeur name="tva"&gt;256.121666666667&lt;/Valeur&gt;&lt;/Insert&gt;</v>
      </c>
    </row>
    <row r="68" spans="1:38" x14ac:dyDescent="0.25">
      <c r="A68">
        <v>63</v>
      </c>
      <c r="B68">
        <f>IF(A68&lt;&gt;"",VLOOKUP(A68,Banque!B:D,3,FALSE),1)</f>
        <v>0</v>
      </c>
      <c r="C68" s="1">
        <v>43521</v>
      </c>
      <c r="D68" t="s">
        <v>277</v>
      </c>
      <c r="E68" t="s">
        <v>187</v>
      </c>
      <c r="G68" s="10">
        <v>303.60000000000002</v>
      </c>
      <c r="I68" s="11">
        <f t="shared" si="15"/>
        <v>50.599999999999994</v>
      </c>
      <c r="K68">
        <v>67</v>
      </c>
      <c r="L68">
        <v>63</v>
      </c>
      <c r="M68" s="16" t="s">
        <v>906</v>
      </c>
      <c r="N68">
        <f>IFERROR(VLOOKUP(D68,tab!A:B,2,FALSE),1)</f>
        <v>62</v>
      </c>
      <c r="O68" t="str">
        <f t="shared" si="16"/>
        <v>RELEVE LCR DU  180219  CONFORME</v>
      </c>
      <c r="P68" s="14">
        <f t="shared" si="17"/>
        <v>303.60000000000002</v>
      </c>
      <c r="Q68" s="14">
        <f t="shared" si="18"/>
        <v>0</v>
      </c>
      <c r="R68" s="14">
        <v>20</v>
      </c>
      <c r="S68" s="14">
        <f t="shared" si="19"/>
        <v>50.599999999999994</v>
      </c>
      <c r="Z68" t="str">
        <f t="shared" si="20"/>
        <v>&lt;Valeur name="no"&gt;67&lt;/Valeur&gt;</v>
      </c>
      <c r="AA68" t="str">
        <f t="shared" si="21"/>
        <v>&lt;Valeur name="ecriturebanque"&gt;63&lt;/Valeur&gt;</v>
      </c>
      <c r="AB68" t="str">
        <f t="shared" si="22"/>
        <v>&lt;Valeur name="datevaleur"&gt;2019/02/25&lt;/Valeur&gt;</v>
      </c>
      <c r="AC68" t="str">
        <f t="shared" si="23"/>
        <v>&lt;Valeur name="compte"&gt;62&lt;/Valeur&gt;</v>
      </c>
      <c r="AD68" t="str">
        <f t="shared" si="24"/>
        <v>&lt;Valeur name="description"&gt;RELEVE LCR DU  180219  CONFORME&lt;/Valeur&gt;</v>
      </c>
      <c r="AE68" t="str">
        <f t="shared" si="25"/>
        <v>&lt;Valeur name="valeur"&gt;303.6&lt;/Valeur&gt;</v>
      </c>
      <c r="AF68" t="str">
        <f t="shared" si="26"/>
        <v>&lt;Valeur name="compta"&gt;0&lt;/Valeur&gt;</v>
      </c>
      <c r="AG68" t="str">
        <f t="shared" si="27"/>
        <v>&lt;Valeur name="tvapct"&gt;20&lt;/Valeur&gt;</v>
      </c>
      <c r="AH68" t="str">
        <f t="shared" si="28"/>
        <v>&lt;Valeur name="tva"&gt;50.6&lt;/Valeur&gt;</v>
      </c>
      <c r="AL68" t="str">
        <f t="shared" si="29"/>
        <v>&lt;Insert&gt;&lt;Valeur name="no"&gt;67&lt;/Valeur&gt;&lt;Valeur name="ecriturebanque"&gt;63&lt;/Valeur&gt;&lt;Valeur name="datevaleur"&gt;2019/02/25&lt;/Valeur&gt;&lt;Valeur name="compte"&gt;62&lt;/Valeur&gt;&lt;Valeur name="description"&gt;RELEVE LCR DU  180219  CONFORME&lt;/Valeur&gt;&lt;Valeur name="valeur"&gt;303.6&lt;/Valeur&gt;&lt;Valeur name="compta"&gt;0&lt;/Valeur&gt;&lt;Valeur name="tvapct"&gt;20&lt;/Valeur&gt;&lt;Valeur name="tva"&gt;50.6&lt;/Valeur&gt;&lt;/Insert&gt;</v>
      </c>
    </row>
    <row r="69" spans="1:38" x14ac:dyDescent="0.25">
      <c r="A69">
        <v>64</v>
      </c>
      <c r="B69">
        <f>IF(A69&lt;&gt;"",VLOOKUP(A69,Banque!B:D,3,FALSE),1)</f>
        <v>1</v>
      </c>
      <c r="C69" s="1">
        <v>43521</v>
      </c>
      <c r="D69" t="s">
        <v>253</v>
      </c>
      <c r="E69" t="s">
        <v>149</v>
      </c>
      <c r="G69" s="10">
        <v>75.56</v>
      </c>
      <c r="I69" s="11">
        <f t="shared" si="15"/>
        <v>12.593333333333334</v>
      </c>
      <c r="K69">
        <v>68</v>
      </c>
      <c r="L69">
        <v>64</v>
      </c>
      <c r="M69" s="16" t="s">
        <v>906</v>
      </c>
      <c r="N69">
        <f>IFERROR(VLOOKUP(D69,tab!A:B,2,FALSE),1)</f>
        <v>13</v>
      </c>
      <c r="O69" t="str">
        <f t="shared" si="16"/>
        <v>CB 548222 CARREFOUR D 59AULNOY L</v>
      </c>
      <c r="P69" s="14">
        <f t="shared" si="17"/>
        <v>75.56</v>
      </c>
      <c r="Q69" s="14">
        <f t="shared" si="18"/>
        <v>1</v>
      </c>
      <c r="R69" s="14">
        <v>20</v>
      </c>
      <c r="S69" s="14">
        <f t="shared" si="19"/>
        <v>12.593333333333334</v>
      </c>
      <c r="Z69" t="str">
        <f t="shared" si="20"/>
        <v>&lt;Valeur name="no"&gt;68&lt;/Valeur&gt;</v>
      </c>
      <c r="AA69" t="str">
        <f t="shared" si="21"/>
        <v>&lt;Valeur name="ecriturebanque"&gt;64&lt;/Valeur&gt;</v>
      </c>
      <c r="AB69" t="str">
        <f t="shared" si="22"/>
        <v>&lt;Valeur name="datevaleur"&gt;2019/02/25&lt;/Valeur&gt;</v>
      </c>
      <c r="AC69" t="str">
        <f t="shared" si="23"/>
        <v>&lt;Valeur name="compte"&gt;13&lt;/Valeur&gt;</v>
      </c>
      <c r="AD69" t="str">
        <f t="shared" si="24"/>
        <v>&lt;Valeur name="description"&gt;CB 548222 CARREFOUR D 59AULNOY L&lt;/Valeur&gt;</v>
      </c>
      <c r="AE69" t="str">
        <f t="shared" si="25"/>
        <v>&lt;Valeur name="valeur"&gt;75.56&lt;/Valeur&gt;</v>
      </c>
      <c r="AF69" t="str">
        <f t="shared" si="26"/>
        <v>&lt;Valeur name="compta"&gt;1&lt;/Valeur&gt;</v>
      </c>
      <c r="AG69" t="str">
        <f t="shared" si="27"/>
        <v>&lt;Valeur name="tvapct"&gt;20&lt;/Valeur&gt;</v>
      </c>
      <c r="AH69" t="str">
        <f t="shared" si="28"/>
        <v>&lt;Valeur name="tva"&gt;12.5933333333333&lt;/Valeur&gt;</v>
      </c>
      <c r="AL69" t="str">
        <f t="shared" si="29"/>
        <v>&lt;Insert&gt;&lt;Valeur name="no"&gt;68&lt;/Valeur&gt;&lt;Valeur name="ecriturebanque"&gt;64&lt;/Valeur&gt;&lt;Valeur name="datevaleur"&gt;2019/02/25&lt;/Valeur&gt;&lt;Valeur name="compte"&gt;13&lt;/Valeur&gt;&lt;Valeur name="description"&gt;CB 548222 CARREFOUR D 59AULNOY L&lt;/Valeur&gt;&lt;Valeur name="valeur"&gt;75.56&lt;/Valeur&gt;&lt;Valeur name="compta"&gt;1&lt;/Valeur&gt;&lt;Valeur name="tvapct"&gt;20&lt;/Valeur&gt;&lt;Valeur name="tva"&gt;12.5933333333333&lt;/Valeur&gt;&lt;/Insert&gt;</v>
      </c>
    </row>
    <row r="70" spans="1:38" x14ac:dyDescent="0.25">
      <c r="A70">
        <v>65</v>
      </c>
      <c r="B70">
        <f>IF(A70&lt;&gt;"",VLOOKUP(A70,Banque!B:D,3,FALSE),1)</f>
        <v>1</v>
      </c>
      <c r="C70" s="1">
        <v>43521</v>
      </c>
      <c r="D70" t="s">
        <v>254</v>
      </c>
      <c r="E70" t="s">
        <v>182</v>
      </c>
      <c r="G70" s="10">
        <v>11.95</v>
      </c>
      <c r="I70" s="11">
        <f t="shared" si="15"/>
        <v>1.9916666666666654</v>
      </c>
      <c r="K70">
        <v>69</v>
      </c>
      <c r="L70">
        <v>65</v>
      </c>
      <c r="M70" s="16" t="s">
        <v>906</v>
      </c>
      <c r="N70">
        <f>IFERROR(VLOOKUP(D70,tab!A:B,2,FALSE),1)</f>
        <v>27</v>
      </c>
      <c r="O70" t="str">
        <f t="shared" si="16"/>
        <v>CB 454106 BOULANGERIE 59BOIS GRE</v>
      </c>
      <c r="P70" s="14">
        <f t="shared" si="17"/>
        <v>11.95</v>
      </c>
      <c r="Q70" s="14">
        <f t="shared" si="18"/>
        <v>1</v>
      </c>
      <c r="R70" s="14">
        <v>20</v>
      </c>
      <c r="S70" s="14">
        <f t="shared" si="19"/>
        <v>1.9916666666666654</v>
      </c>
      <c r="Z70" t="str">
        <f t="shared" si="20"/>
        <v>&lt;Valeur name="no"&gt;69&lt;/Valeur&gt;</v>
      </c>
      <c r="AA70" t="str">
        <f t="shared" si="21"/>
        <v>&lt;Valeur name="ecriturebanque"&gt;65&lt;/Valeur&gt;</v>
      </c>
      <c r="AB70" t="str">
        <f t="shared" si="22"/>
        <v>&lt;Valeur name="datevaleur"&gt;2019/02/25&lt;/Valeur&gt;</v>
      </c>
      <c r="AC70" t="str">
        <f t="shared" si="23"/>
        <v>&lt;Valeur name="compte"&gt;27&lt;/Valeur&gt;</v>
      </c>
      <c r="AD70" t="str">
        <f t="shared" si="24"/>
        <v>&lt;Valeur name="description"&gt;CB 454106 BOULANGERIE 59BOIS GRE&lt;/Valeur&gt;</v>
      </c>
      <c r="AE70" t="str">
        <f t="shared" si="25"/>
        <v>&lt;Valeur name="valeur"&gt;11.95&lt;/Valeur&gt;</v>
      </c>
      <c r="AF70" t="str">
        <f t="shared" si="26"/>
        <v>&lt;Valeur name="compta"&gt;1&lt;/Valeur&gt;</v>
      </c>
      <c r="AG70" t="str">
        <f t="shared" si="27"/>
        <v>&lt;Valeur name="tvapct"&gt;20&lt;/Valeur&gt;</v>
      </c>
      <c r="AH70" t="str">
        <f t="shared" si="28"/>
        <v>&lt;Valeur name="tva"&gt;1.99166666666667&lt;/Valeur&gt;</v>
      </c>
      <c r="AL70" t="str">
        <f t="shared" si="29"/>
        <v>&lt;Insert&gt;&lt;Valeur name="no"&gt;69&lt;/Valeur&gt;&lt;Valeur name="ecriturebanque"&gt;65&lt;/Valeur&gt;&lt;Valeur name="datevaleur"&gt;2019/02/25&lt;/Valeur&gt;&lt;Valeur name="compte"&gt;27&lt;/Valeur&gt;&lt;Valeur name="description"&gt;CB 454106 BOULANGERIE 59BOIS GRE&lt;/Valeur&gt;&lt;Valeur name="valeur"&gt;11.95&lt;/Valeur&gt;&lt;Valeur name="compta"&gt;1&lt;/Valeur&gt;&lt;Valeur name="tvapct"&gt;20&lt;/Valeur&gt;&lt;Valeur name="tva"&gt;1.99166666666667&lt;/Valeur&gt;&lt;/Insert&gt;</v>
      </c>
    </row>
    <row r="71" spans="1:38" x14ac:dyDescent="0.25">
      <c r="A71">
        <v>66</v>
      </c>
      <c r="B71">
        <f>IF(A71&lt;&gt;"",VLOOKUP(A71,Banque!B:D,3,FALSE),1)</f>
        <v>0</v>
      </c>
      <c r="C71" s="1">
        <v>43521</v>
      </c>
      <c r="D71" t="s">
        <v>285</v>
      </c>
      <c r="E71" t="s">
        <v>185</v>
      </c>
      <c r="F71" t="s">
        <v>433</v>
      </c>
      <c r="G71" s="10">
        <v>1252.92</v>
      </c>
      <c r="I71" s="11">
        <f t="shared" si="15"/>
        <v>208.81999999999994</v>
      </c>
      <c r="K71">
        <v>70</v>
      </c>
      <c r="L71">
        <v>66</v>
      </c>
      <c r="M71" s="16" t="s">
        <v>906</v>
      </c>
      <c r="N71">
        <f>IFERROR(VLOOKUP(D71,tab!A:B,2,FALSE),1)</f>
        <v>122</v>
      </c>
      <c r="O71" t="str">
        <f t="shared" si="16"/>
        <v>CHEQUE  N 1000064 / Porte noms Arras</v>
      </c>
      <c r="P71" s="14">
        <f t="shared" si="17"/>
        <v>1252.92</v>
      </c>
      <c r="Q71" s="14">
        <f t="shared" si="18"/>
        <v>0</v>
      </c>
      <c r="R71" s="14">
        <v>20</v>
      </c>
      <c r="S71" s="14">
        <f t="shared" si="19"/>
        <v>208.81999999999994</v>
      </c>
      <c r="Z71" t="str">
        <f t="shared" si="20"/>
        <v>&lt;Valeur name="no"&gt;70&lt;/Valeur&gt;</v>
      </c>
      <c r="AA71" t="str">
        <f t="shared" si="21"/>
        <v>&lt;Valeur name="ecriturebanque"&gt;66&lt;/Valeur&gt;</v>
      </c>
      <c r="AB71" t="str">
        <f t="shared" si="22"/>
        <v>&lt;Valeur name="datevaleur"&gt;2019/02/25&lt;/Valeur&gt;</v>
      </c>
      <c r="AC71" t="str">
        <f t="shared" si="23"/>
        <v>&lt;Valeur name="compte"&gt;122&lt;/Valeur&gt;</v>
      </c>
      <c r="AD71" t="str">
        <f t="shared" si="24"/>
        <v>&lt;Valeur name="description"&gt;CHEQUE  N 1000064 / Porte noms Arras&lt;/Valeur&gt;</v>
      </c>
      <c r="AE71" t="str">
        <f t="shared" si="25"/>
        <v>&lt;Valeur name="valeur"&gt;1252.92&lt;/Valeur&gt;</v>
      </c>
      <c r="AF71" t="str">
        <f t="shared" si="26"/>
        <v>&lt;Valeur name="compta"&gt;0&lt;/Valeur&gt;</v>
      </c>
      <c r="AG71" t="str">
        <f t="shared" si="27"/>
        <v>&lt;Valeur name="tvapct"&gt;20&lt;/Valeur&gt;</v>
      </c>
      <c r="AH71" t="str">
        <f t="shared" si="28"/>
        <v>&lt;Valeur name="tva"&gt;208.82&lt;/Valeur&gt;</v>
      </c>
      <c r="AL71" t="str">
        <f t="shared" si="29"/>
        <v>&lt;Insert&gt;&lt;Valeur name="no"&gt;70&lt;/Valeur&gt;&lt;Valeur name="ecriturebanque"&gt;66&lt;/Valeur&gt;&lt;Valeur name="datevaleur"&gt;2019/02/25&lt;/Valeur&gt;&lt;Valeur name="compte"&gt;122&lt;/Valeur&gt;&lt;Valeur name="description"&gt;CHEQUE  N 1000064 / Porte noms Arras&lt;/Valeur&gt;&lt;Valeur name="valeur"&gt;1252.92&lt;/Valeur&gt;&lt;Valeur name="compta"&gt;0&lt;/Valeur&gt;&lt;Valeur name="tvapct"&gt;20&lt;/Valeur&gt;&lt;Valeur name="tva"&gt;208.82&lt;/Valeur&gt;&lt;/Insert&gt;</v>
      </c>
    </row>
    <row r="72" spans="1:38" x14ac:dyDescent="0.25">
      <c r="A72">
        <v>67</v>
      </c>
      <c r="B72">
        <f>IF(A72&lt;&gt;"",VLOOKUP(A72,Banque!B:D,3,FALSE),1)</f>
        <v>1</v>
      </c>
      <c r="C72" s="1">
        <v>43521</v>
      </c>
      <c r="D72" t="s">
        <v>257</v>
      </c>
      <c r="E72" t="s">
        <v>31</v>
      </c>
      <c r="G72" s="10">
        <v>0.21</v>
      </c>
      <c r="I72" s="11">
        <f t="shared" si="15"/>
        <v>3.5000000000000003E-2</v>
      </c>
      <c r="K72">
        <v>71</v>
      </c>
      <c r="L72">
        <v>67</v>
      </c>
      <c r="M72" s="16" t="s">
        <v>906</v>
      </c>
      <c r="N72">
        <f>IFERROR(VLOOKUP(D72,tab!A:B,2,FALSE),1)</f>
        <v>18</v>
      </c>
      <c r="O72" t="str">
        <f t="shared" si="16"/>
        <v>FRAIS E-VIR SEPA VERS EEE</v>
      </c>
      <c r="P72" s="14">
        <f t="shared" si="17"/>
        <v>0.21</v>
      </c>
      <c r="Q72" s="14">
        <f t="shared" si="18"/>
        <v>1</v>
      </c>
      <c r="R72" s="14">
        <v>20</v>
      </c>
      <c r="S72" s="14">
        <f t="shared" si="19"/>
        <v>3.5000000000000003E-2</v>
      </c>
      <c r="Z72" t="str">
        <f t="shared" si="20"/>
        <v>&lt;Valeur name="no"&gt;71&lt;/Valeur&gt;</v>
      </c>
      <c r="AA72" t="str">
        <f t="shared" si="21"/>
        <v>&lt;Valeur name="ecriturebanque"&gt;67&lt;/Valeur&gt;</v>
      </c>
      <c r="AB72" t="str">
        <f t="shared" si="22"/>
        <v>&lt;Valeur name="datevaleur"&gt;2019/02/25&lt;/Valeur&gt;</v>
      </c>
      <c r="AC72" t="str">
        <f t="shared" si="23"/>
        <v>&lt;Valeur name="compte"&gt;18&lt;/Valeur&gt;</v>
      </c>
      <c r="AD72" t="str">
        <f t="shared" si="24"/>
        <v>&lt;Valeur name="description"&gt;FRAIS E-VIR SEPA VERS EEE&lt;/Valeur&gt;</v>
      </c>
      <c r="AE72" t="str">
        <f t="shared" si="25"/>
        <v>&lt;Valeur name="valeur"&gt;0.21&lt;/Valeur&gt;</v>
      </c>
      <c r="AF72" t="str">
        <f t="shared" si="26"/>
        <v>&lt;Valeur name="compta"&gt;1&lt;/Valeur&gt;</v>
      </c>
      <c r="AG72" t="str">
        <f t="shared" si="27"/>
        <v>&lt;Valeur name="tvapct"&gt;20&lt;/Valeur&gt;</v>
      </c>
      <c r="AH72" t="str">
        <f t="shared" si="28"/>
        <v>&lt;Valeur name="tva"&gt;0.035&lt;/Valeur&gt;</v>
      </c>
      <c r="AL72" t="str">
        <f t="shared" si="29"/>
        <v>&lt;Insert&gt;&lt;Valeur name="no"&gt;71&lt;/Valeur&gt;&lt;Valeur name="ecriturebanque"&gt;67&lt;/Valeur&gt;&lt;Valeur name="datevaleur"&gt;2019/02/25&lt;/Valeur&gt;&lt;Valeur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73" spans="1:38" x14ac:dyDescent="0.25">
      <c r="A73">
        <v>68</v>
      </c>
      <c r="B73">
        <f>IF(A73&lt;&gt;"",VLOOKUP(A73,Banque!B:D,3,FALSE),1)</f>
        <v>1</v>
      </c>
      <c r="C73" s="1">
        <v>43522</v>
      </c>
      <c r="D73" t="s">
        <v>373</v>
      </c>
      <c r="E73" t="s">
        <v>132</v>
      </c>
      <c r="G73" s="10">
        <v>34.35</v>
      </c>
      <c r="I73" s="11">
        <f t="shared" si="15"/>
        <v>5.7249999999999979</v>
      </c>
      <c r="K73">
        <v>72</v>
      </c>
      <c r="L73">
        <v>68</v>
      </c>
      <c r="M73" s="16" t="s">
        <v>956</v>
      </c>
      <c r="N73">
        <f>IFERROR(VLOOKUP(D73,tab!A:B,2,FALSE),1)</f>
        <v>38</v>
      </c>
      <c r="O73" t="str">
        <f t="shared" si="16"/>
        <v>CB 548222 BRICO DEPOT 59AULNOY L</v>
      </c>
      <c r="P73" s="14">
        <f t="shared" si="17"/>
        <v>34.35</v>
      </c>
      <c r="Q73" s="14">
        <f t="shared" si="18"/>
        <v>1</v>
      </c>
      <c r="R73" s="14">
        <v>20</v>
      </c>
      <c r="S73" s="14">
        <f t="shared" si="19"/>
        <v>5.7249999999999979</v>
      </c>
      <c r="Z73" t="str">
        <f t="shared" si="20"/>
        <v>&lt;Valeur name="no"&gt;72&lt;/Valeur&gt;</v>
      </c>
      <c r="AA73" t="str">
        <f t="shared" si="21"/>
        <v>&lt;Valeur name="ecriturebanque"&gt;68&lt;/Valeur&gt;</v>
      </c>
      <c r="AB73" t="str">
        <f t="shared" si="22"/>
        <v>&lt;Valeur name="datevaleur"&gt;2019/02/26&lt;/Valeur&gt;</v>
      </c>
      <c r="AC73" t="str">
        <f t="shared" si="23"/>
        <v>&lt;Valeur name="compte"&gt;38&lt;/Valeur&gt;</v>
      </c>
      <c r="AD73" t="str">
        <f t="shared" si="24"/>
        <v>&lt;Valeur name="description"&gt;CB 548222 BRICO DEPOT 59AULNOY L&lt;/Valeur&gt;</v>
      </c>
      <c r="AE73" t="str">
        <f t="shared" si="25"/>
        <v>&lt;Valeur name="valeur"&gt;34.35&lt;/Valeur&gt;</v>
      </c>
      <c r="AF73" t="str">
        <f t="shared" si="26"/>
        <v>&lt;Valeur name="compta"&gt;1&lt;/Valeur&gt;</v>
      </c>
      <c r="AG73" t="str">
        <f t="shared" si="27"/>
        <v>&lt;Valeur name="tvapct"&gt;20&lt;/Valeur&gt;</v>
      </c>
      <c r="AH73" t="str">
        <f t="shared" si="28"/>
        <v>&lt;Valeur name="tva"&gt;5.725&lt;/Valeur&gt;</v>
      </c>
      <c r="AL73" t="str">
        <f t="shared" si="29"/>
        <v>&lt;Insert&gt;&lt;Valeur name="no"&gt;72&lt;/Valeur&gt;&lt;Valeur name="ecriturebanque"&gt;68&lt;/Valeur&gt;&lt;Valeur name="datevaleur"&gt;2019/02/26&lt;/Valeur&gt;&lt;Valeur name="compte"&gt;38&lt;/Valeur&gt;&lt;Valeur name="description"&gt;CB 548222 BRICO DEPOT 59AULNOY L&lt;/Valeur&gt;&lt;Valeur name="valeur"&gt;34.35&lt;/Valeur&gt;&lt;Valeur name="compta"&gt;1&lt;/Valeur&gt;&lt;Valeur name="tvapct"&gt;20&lt;/Valeur&gt;&lt;Valeur name="tva"&gt;5.725&lt;/Valeur&gt;&lt;/Insert&gt;</v>
      </c>
    </row>
    <row r="74" spans="1:38" x14ac:dyDescent="0.25">
      <c r="A74">
        <v>69</v>
      </c>
      <c r="B74">
        <f>IF(A74&lt;&gt;"",VLOOKUP(A74,Banque!B:D,3,FALSE),1)</f>
        <v>1</v>
      </c>
      <c r="C74" s="1">
        <v>43522</v>
      </c>
      <c r="D74" t="s">
        <v>253</v>
      </c>
      <c r="E74" t="s">
        <v>179</v>
      </c>
      <c r="G74" s="10">
        <v>82.12</v>
      </c>
      <c r="I74" s="11">
        <f t="shared" si="15"/>
        <v>13.686666666666667</v>
      </c>
      <c r="K74">
        <v>73</v>
      </c>
      <c r="L74">
        <v>69</v>
      </c>
      <c r="M74" s="16" t="s">
        <v>956</v>
      </c>
      <c r="N74">
        <f>IFERROR(VLOOKUP(D74,tab!A:B,2,FALSE),1)</f>
        <v>13</v>
      </c>
      <c r="O74" t="str">
        <f t="shared" si="16"/>
        <v>CB 454106 STATION TOT 59TEMPLEUV</v>
      </c>
      <c r="P74" s="14">
        <f t="shared" si="17"/>
        <v>82.12</v>
      </c>
      <c r="Q74" s="14">
        <f t="shared" si="18"/>
        <v>1</v>
      </c>
      <c r="R74" s="14">
        <v>20</v>
      </c>
      <c r="S74" s="14">
        <f t="shared" si="19"/>
        <v>13.686666666666667</v>
      </c>
      <c r="Z74" t="str">
        <f t="shared" si="20"/>
        <v>&lt;Valeur name="no"&gt;73&lt;/Valeur&gt;</v>
      </c>
      <c r="AA74" t="str">
        <f t="shared" si="21"/>
        <v>&lt;Valeur name="ecriturebanque"&gt;69&lt;/Valeur&gt;</v>
      </c>
      <c r="AB74" t="str">
        <f t="shared" si="22"/>
        <v>&lt;Valeur name="datevaleur"&gt;2019/02/26&lt;/Valeur&gt;</v>
      </c>
      <c r="AC74" t="str">
        <f t="shared" si="23"/>
        <v>&lt;Valeur name="compte"&gt;13&lt;/Valeur&gt;</v>
      </c>
      <c r="AD74" t="str">
        <f t="shared" si="24"/>
        <v>&lt;Valeur name="description"&gt;CB 454106 STATION TOT 59TEMPLEUV&lt;/Valeur&gt;</v>
      </c>
      <c r="AE74" t="str">
        <f t="shared" si="25"/>
        <v>&lt;Valeur name="valeur"&gt;82.12&lt;/Valeur&gt;</v>
      </c>
      <c r="AF74" t="str">
        <f t="shared" si="26"/>
        <v>&lt;Valeur name="compta"&gt;1&lt;/Valeur&gt;</v>
      </c>
      <c r="AG74" t="str">
        <f t="shared" si="27"/>
        <v>&lt;Valeur name="tvapct"&gt;20&lt;/Valeur&gt;</v>
      </c>
      <c r="AH74" t="str">
        <f t="shared" si="28"/>
        <v>&lt;Valeur name="tva"&gt;13.6866666666667&lt;/Valeur&gt;</v>
      </c>
      <c r="AL74" t="str">
        <f t="shared" si="29"/>
        <v>&lt;Insert&gt;&lt;Valeur name="no"&gt;73&lt;/Valeur&gt;&lt;Valeur name="ecriturebanque"&gt;69&lt;/Valeur&gt;&lt;Valeur name="datevaleur"&gt;2019/02/26&lt;/Valeur&gt;&lt;Valeur name="compte"&gt;13&lt;/Valeur&gt;&lt;Valeur name="description"&gt;CB 454106 STATION TOT 59TEMPLEUV&lt;/Valeur&gt;&lt;Valeur name="valeur"&gt;82.12&lt;/Valeur&gt;&lt;Valeur name="compta"&gt;1&lt;/Valeur&gt;&lt;Valeur name="tvapct"&gt;20&lt;/Valeur&gt;&lt;Valeur name="tva"&gt;13.6866666666667&lt;/Valeur&gt;&lt;/Insert&gt;</v>
      </c>
    </row>
    <row r="75" spans="1:38" x14ac:dyDescent="0.25">
      <c r="A75">
        <v>70</v>
      </c>
      <c r="B75">
        <f>IF(A75&lt;&gt;"",VLOOKUP(A75,Banque!B:D,3,FALSE),1)</f>
        <v>1</v>
      </c>
      <c r="C75" s="1">
        <v>43523</v>
      </c>
      <c r="D75" t="s">
        <v>256</v>
      </c>
      <c r="E75" t="s">
        <v>117</v>
      </c>
      <c r="G75" s="10">
        <v>900</v>
      </c>
      <c r="I75" s="11">
        <f t="shared" si="15"/>
        <v>150</v>
      </c>
      <c r="K75">
        <v>74</v>
      </c>
      <c r="L75">
        <v>70</v>
      </c>
      <c r="M75" s="16" t="s">
        <v>957</v>
      </c>
      <c r="N75">
        <f>IFERROR(VLOOKUP(D75,tab!A:B,2,FALSE),1)</f>
        <v>28</v>
      </c>
      <c r="O75" t="str">
        <f t="shared" si="16"/>
        <v>E-VIR SEPA Salaire Alex 01/2019</v>
      </c>
      <c r="P75" s="14">
        <f t="shared" si="17"/>
        <v>900</v>
      </c>
      <c r="Q75" s="14">
        <f t="shared" si="18"/>
        <v>1</v>
      </c>
      <c r="R75" s="14">
        <v>20</v>
      </c>
      <c r="S75" s="14">
        <f t="shared" si="19"/>
        <v>150</v>
      </c>
      <c r="Z75" t="str">
        <f t="shared" si="20"/>
        <v>&lt;Valeur name="no"&gt;74&lt;/Valeur&gt;</v>
      </c>
      <c r="AA75" t="str">
        <f t="shared" si="21"/>
        <v>&lt;Valeur name="ecriturebanque"&gt;70&lt;/Valeur&gt;</v>
      </c>
      <c r="AB75" t="str">
        <f t="shared" si="22"/>
        <v>&lt;Valeur name="datevaleur"&gt;2019/02/27&lt;/Valeur&gt;</v>
      </c>
      <c r="AC75" t="str">
        <f t="shared" si="23"/>
        <v>&lt;Valeur name="compte"&gt;28&lt;/Valeur&gt;</v>
      </c>
      <c r="AD75" t="str">
        <f t="shared" si="24"/>
        <v>&lt;Valeur name="description"&gt;E-VIR SEPA Salaire Alex 01/2019&lt;/Valeur&gt;</v>
      </c>
      <c r="AE75" t="str">
        <f t="shared" si="25"/>
        <v>&lt;Valeur name="valeur"&gt;900&lt;/Valeur&gt;</v>
      </c>
      <c r="AF75" t="str">
        <f t="shared" si="26"/>
        <v>&lt;Valeur name="compta"&gt;1&lt;/Valeur&gt;</v>
      </c>
      <c r="AG75" t="str">
        <f t="shared" si="27"/>
        <v>&lt;Valeur name="tvapct"&gt;20&lt;/Valeur&gt;</v>
      </c>
      <c r="AH75" t="str">
        <f t="shared" si="28"/>
        <v>&lt;Valeur name="tva"&gt;150&lt;/Valeur&gt;</v>
      </c>
      <c r="AL75" t="str">
        <f t="shared" si="29"/>
        <v>&lt;Insert&gt;&lt;Valeur name="no"&gt;74&lt;/Valeur&gt;&lt;Valeur name="ecriturebanque"&gt;70&lt;/Valeur&gt;&lt;Valeur name="datevaleur"&gt;2019/02/27&lt;/Valeur&gt;&lt;Valeur name="compte"&gt;28&lt;/Valeur&gt;&lt;Valeur name="description"&gt;E-VIR SEPA Salaire Alex 01/2019&lt;/Valeur&gt;&lt;Valeur name="valeur"&gt;900&lt;/Valeur&gt;&lt;Valeur name="compta"&gt;1&lt;/Valeur&gt;&lt;Valeur name="tvapct"&gt;20&lt;/Valeur&gt;&lt;Valeur name="tva"&gt;150&lt;/Valeur&gt;&lt;/Insert&gt;</v>
      </c>
    </row>
    <row r="76" spans="1:38" x14ac:dyDescent="0.25">
      <c r="A76">
        <v>71</v>
      </c>
      <c r="B76">
        <f>IF(A76&lt;&gt;"",VLOOKUP(A76,Banque!B:D,3,FALSE),1)</f>
        <v>1</v>
      </c>
      <c r="C76" s="1">
        <v>43523</v>
      </c>
      <c r="D76" t="s">
        <v>256</v>
      </c>
      <c r="E76" t="s">
        <v>171</v>
      </c>
      <c r="G76" s="10">
        <v>804.21</v>
      </c>
      <c r="I76" s="11">
        <f t="shared" si="15"/>
        <v>134.03499999999997</v>
      </c>
      <c r="K76">
        <v>75</v>
      </c>
      <c r="L76">
        <v>71</v>
      </c>
      <c r="M76" s="16" t="s">
        <v>957</v>
      </c>
      <c r="N76">
        <f>IFERROR(VLOOKUP(D76,tab!A:B,2,FALSE),1)</f>
        <v>28</v>
      </c>
      <c r="O76" t="str">
        <f t="shared" si="16"/>
        <v>E-VIR SEPA Salaire Gournay 02/20</v>
      </c>
      <c r="P76" s="14">
        <f t="shared" si="17"/>
        <v>804.21</v>
      </c>
      <c r="Q76" s="14">
        <f t="shared" si="18"/>
        <v>1</v>
      </c>
      <c r="R76" s="14">
        <v>20</v>
      </c>
      <c r="S76" s="14">
        <f t="shared" si="19"/>
        <v>134.03499999999997</v>
      </c>
      <c r="Z76" t="str">
        <f t="shared" si="20"/>
        <v>&lt;Valeur name="no"&gt;75&lt;/Valeur&gt;</v>
      </c>
      <c r="AA76" t="str">
        <f t="shared" si="21"/>
        <v>&lt;Valeur name="ecriturebanque"&gt;71&lt;/Valeur&gt;</v>
      </c>
      <c r="AB76" t="str">
        <f t="shared" si="22"/>
        <v>&lt;Valeur name="datevaleur"&gt;2019/02/27&lt;/Valeur&gt;</v>
      </c>
      <c r="AC76" t="str">
        <f t="shared" si="23"/>
        <v>&lt;Valeur name="compte"&gt;28&lt;/Valeur&gt;</v>
      </c>
      <c r="AD76" t="str">
        <f t="shared" si="24"/>
        <v>&lt;Valeur name="description"&gt;E-VIR SEPA Salaire Gournay 02/20&lt;/Valeur&gt;</v>
      </c>
      <c r="AE76" t="str">
        <f t="shared" si="25"/>
        <v>&lt;Valeur name="valeur"&gt;804.21&lt;/Valeur&gt;</v>
      </c>
      <c r="AF76" t="str">
        <f t="shared" si="26"/>
        <v>&lt;Valeur name="compta"&gt;1&lt;/Valeur&gt;</v>
      </c>
      <c r="AG76" t="str">
        <f t="shared" si="27"/>
        <v>&lt;Valeur name="tvapct"&gt;20&lt;/Valeur&gt;</v>
      </c>
      <c r="AH76" t="str">
        <f t="shared" si="28"/>
        <v>&lt;Valeur name="tva"&gt;134.035&lt;/Valeur&gt;</v>
      </c>
      <c r="AL76" t="str">
        <f t="shared" si="29"/>
        <v>&lt;Insert&gt;&lt;Valeur name="no"&gt;75&lt;/Valeur&gt;&lt;Valeur name="ecriturebanque"&gt;71&lt;/Valeur&gt;&lt;Valeur name="datevaleur"&gt;2019/02/27&lt;/Valeur&gt;&lt;Valeur name="compte"&gt;28&lt;/Valeur&gt;&lt;Valeur name="description"&gt;E-VIR SEPA Salaire Gournay 02/20&lt;/Valeur&gt;&lt;Valeur name="valeur"&gt;804.21&lt;/Valeur&gt;&lt;Valeur name="compta"&gt;1&lt;/Valeur&gt;&lt;Valeur name="tvapct"&gt;20&lt;/Valeur&gt;&lt;Valeur name="tva"&gt;134.035&lt;/Valeur&gt;&lt;/Insert&gt;</v>
      </c>
    </row>
    <row r="77" spans="1:38" x14ac:dyDescent="0.25">
      <c r="A77">
        <v>72</v>
      </c>
      <c r="B77">
        <f>IF(A77&lt;&gt;"",VLOOKUP(A77,Banque!B:D,3,FALSE),1)</f>
        <v>1</v>
      </c>
      <c r="C77" s="1">
        <v>43523</v>
      </c>
      <c r="D77" t="s">
        <v>256</v>
      </c>
      <c r="E77" t="s">
        <v>174</v>
      </c>
      <c r="G77" s="10">
        <v>1416.64</v>
      </c>
      <c r="I77" s="11">
        <f t="shared" si="15"/>
        <v>236.10666666666657</v>
      </c>
      <c r="K77">
        <v>76</v>
      </c>
      <c r="L77">
        <v>72</v>
      </c>
      <c r="M77" s="16" t="s">
        <v>957</v>
      </c>
      <c r="N77">
        <f>IFERROR(VLOOKUP(D77,tab!A:B,2,FALSE),1)</f>
        <v>28</v>
      </c>
      <c r="O77" t="str">
        <f t="shared" si="16"/>
        <v>E-VIR SEPA Salaire Lefort 02/201</v>
      </c>
      <c r="P77" s="14">
        <f t="shared" si="17"/>
        <v>1416.64</v>
      </c>
      <c r="Q77" s="14">
        <f t="shared" si="18"/>
        <v>1</v>
      </c>
      <c r="R77" s="14">
        <v>20</v>
      </c>
      <c r="S77" s="14">
        <f t="shared" si="19"/>
        <v>236.10666666666657</v>
      </c>
      <c r="Z77" t="str">
        <f t="shared" si="20"/>
        <v>&lt;Valeur name="no"&gt;76&lt;/Valeur&gt;</v>
      </c>
      <c r="AA77" t="str">
        <f t="shared" si="21"/>
        <v>&lt;Valeur name="ecriturebanque"&gt;72&lt;/Valeur&gt;</v>
      </c>
      <c r="AB77" t="str">
        <f t="shared" si="22"/>
        <v>&lt;Valeur name="datevaleur"&gt;2019/02/27&lt;/Valeur&gt;</v>
      </c>
      <c r="AC77" t="str">
        <f t="shared" si="23"/>
        <v>&lt;Valeur name="compte"&gt;28&lt;/Valeur&gt;</v>
      </c>
      <c r="AD77" t="str">
        <f t="shared" si="24"/>
        <v>&lt;Valeur name="description"&gt;E-VIR SEPA Salaire Lefort 02/201&lt;/Valeur&gt;</v>
      </c>
      <c r="AE77" t="str">
        <f t="shared" si="25"/>
        <v>&lt;Valeur name="valeur"&gt;1416.64&lt;/Valeur&gt;</v>
      </c>
      <c r="AF77" t="str">
        <f t="shared" si="26"/>
        <v>&lt;Valeur name="compta"&gt;1&lt;/Valeur&gt;</v>
      </c>
      <c r="AG77" t="str">
        <f t="shared" si="27"/>
        <v>&lt;Valeur name="tvapct"&gt;20&lt;/Valeur&gt;</v>
      </c>
      <c r="AH77" t="str">
        <f t="shared" si="28"/>
        <v>&lt;Valeur name="tva"&gt;236.106666666667&lt;/Valeur&gt;</v>
      </c>
      <c r="AL77" t="str">
        <f t="shared" si="29"/>
        <v>&lt;Insert&gt;&lt;Valeur name="no"&gt;76&lt;/Valeur&gt;&lt;Valeur name="ecriturebanque"&gt;72&lt;/Valeur&gt;&lt;Valeur name="datevaleur"&gt;2019/02/27&lt;/Valeur&gt;&lt;Valeur name="compte"&gt;28&lt;/Valeur&gt;&lt;Valeur name="description"&gt;E-VIR SEPA Salaire Lefort 02/201&lt;/Valeur&gt;&lt;Valeur name="valeur"&gt;1416.64&lt;/Valeur&gt;&lt;Valeur name="compta"&gt;1&lt;/Valeur&gt;&lt;Valeur name="tvapct"&gt;20&lt;/Valeur&gt;&lt;Valeur name="tva"&gt;236.106666666667&lt;/Valeur&gt;&lt;/Insert&gt;</v>
      </c>
    </row>
    <row r="78" spans="1:38" x14ac:dyDescent="0.25">
      <c r="A78">
        <v>73</v>
      </c>
      <c r="B78">
        <f>IF(A78&lt;&gt;"",VLOOKUP(A78,Banque!B:D,3,FALSE),1)</f>
        <v>1</v>
      </c>
      <c r="C78" s="1">
        <v>43523</v>
      </c>
      <c r="D78" t="s">
        <v>256</v>
      </c>
      <c r="E78" t="s">
        <v>176</v>
      </c>
      <c r="G78" s="10">
        <v>1860.16</v>
      </c>
      <c r="I78" s="11">
        <f t="shared" si="15"/>
        <v>310.02666666666664</v>
      </c>
      <c r="K78">
        <v>77</v>
      </c>
      <c r="L78">
        <v>73</v>
      </c>
      <c r="M78" s="16" t="s">
        <v>957</v>
      </c>
      <c r="N78">
        <f>IFERROR(VLOOKUP(D78,tab!A:B,2,FALSE),1)</f>
        <v>28</v>
      </c>
      <c r="O78" t="str">
        <f t="shared" si="16"/>
        <v>E-VIR SEPA Salaire Hutin 02/2018</v>
      </c>
      <c r="P78" s="14">
        <f t="shared" si="17"/>
        <v>1860.16</v>
      </c>
      <c r="Q78" s="14">
        <f t="shared" si="18"/>
        <v>1</v>
      </c>
      <c r="R78" s="14">
        <v>20</v>
      </c>
      <c r="S78" s="14">
        <f t="shared" si="19"/>
        <v>310.02666666666664</v>
      </c>
      <c r="Z78" t="str">
        <f t="shared" si="20"/>
        <v>&lt;Valeur name="no"&gt;77&lt;/Valeur&gt;</v>
      </c>
      <c r="AA78" t="str">
        <f t="shared" si="21"/>
        <v>&lt;Valeur name="ecriturebanque"&gt;73&lt;/Valeur&gt;</v>
      </c>
      <c r="AB78" t="str">
        <f t="shared" si="22"/>
        <v>&lt;Valeur name="datevaleur"&gt;2019/02/27&lt;/Valeur&gt;</v>
      </c>
      <c r="AC78" t="str">
        <f t="shared" si="23"/>
        <v>&lt;Valeur name="compte"&gt;28&lt;/Valeur&gt;</v>
      </c>
      <c r="AD78" t="str">
        <f t="shared" si="24"/>
        <v>&lt;Valeur name="description"&gt;E-VIR SEPA Salaire Hutin 02/2018&lt;/Valeur&gt;</v>
      </c>
      <c r="AE78" t="str">
        <f t="shared" si="25"/>
        <v>&lt;Valeur name="valeur"&gt;1860.16&lt;/Valeur&gt;</v>
      </c>
      <c r="AF78" t="str">
        <f t="shared" si="26"/>
        <v>&lt;Valeur name="compta"&gt;1&lt;/Valeur&gt;</v>
      </c>
      <c r="AG78" t="str">
        <f t="shared" si="27"/>
        <v>&lt;Valeur name="tvapct"&gt;20&lt;/Valeur&gt;</v>
      </c>
      <c r="AH78" t="str">
        <f t="shared" si="28"/>
        <v>&lt;Valeur name="tva"&gt;310.026666666667&lt;/Valeur&gt;</v>
      </c>
      <c r="AL78" t="str">
        <f t="shared" si="29"/>
        <v>&lt;Insert&gt;&lt;Valeur name="no"&gt;77&lt;/Valeur&gt;&lt;Valeur name="ecriturebanque"&gt;73&lt;/Valeur&gt;&lt;Valeur name="datevaleur"&gt;2019/02/27&lt;/Valeur&gt;&lt;Valeur name="compte"&gt;28&lt;/Valeur&gt;&lt;Valeur name="description"&gt;E-VIR SEPA Salaire Hutin 02/2018&lt;/Valeur&gt;&lt;Valeur name="valeur"&gt;1860.16&lt;/Valeur&gt;&lt;Valeur name="compta"&gt;1&lt;/Valeur&gt;&lt;Valeur name="tvapct"&gt;20&lt;/Valeur&gt;&lt;Valeur name="tva"&gt;310.026666666667&lt;/Valeur&gt;&lt;/Insert&gt;</v>
      </c>
    </row>
    <row r="79" spans="1:38" x14ac:dyDescent="0.25">
      <c r="B79">
        <f>IF(A79&lt;&gt;"",VLOOKUP(A79,Banque!B:D,3,FALSE),1)</f>
        <v>1</v>
      </c>
      <c r="C79" s="1">
        <v>43524</v>
      </c>
      <c r="D79" t="s">
        <v>276</v>
      </c>
      <c r="G79" s="10">
        <v>429.54</v>
      </c>
      <c r="I79" s="11">
        <f t="shared" si="15"/>
        <v>71.589999999999975</v>
      </c>
      <c r="K79">
        <v>78</v>
      </c>
      <c r="L79">
        <v>74</v>
      </c>
      <c r="M79" s="16" t="s">
        <v>889</v>
      </c>
      <c r="N79">
        <f>IFERROR(VLOOKUP(D79,tab!A:B,2,FALSE),1)</f>
        <v>114</v>
      </c>
      <c r="O79" t="str">
        <f t="shared" si="16"/>
        <v/>
      </c>
      <c r="P79" s="14">
        <f t="shared" si="17"/>
        <v>429.54</v>
      </c>
      <c r="Q79" s="14">
        <f t="shared" si="18"/>
        <v>1</v>
      </c>
      <c r="R79" s="14">
        <v>20</v>
      </c>
      <c r="S79" s="14">
        <f t="shared" si="19"/>
        <v>71.589999999999975</v>
      </c>
      <c r="Z79" t="str">
        <f t="shared" si="20"/>
        <v>&lt;Valeur name="no"&gt;78&lt;/Valeur&gt;</v>
      </c>
      <c r="AA79" t="str">
        <f t="shared" si="21"/>
        <v>&lt;Valeur name="ecriturebanque"&gt;74&lt;/Valeur&gt;</v>
      </c>
      <c r="AB79" t="str">
        <f t="shared" si="22"/>
        <v>&lt;Valeur name="datevaleur"&gt;2019/02/28&lt;/Valeur&gt;</v>
      </c>
      <c r="AC79" t="str">
        <f t="shared" si="23"/>
        <v>&lt;Valeur name="compte"&gt;114&lt;/Valeur&gt;</v>
      </c>
      <c r="AD79" t="str">
        <f t="shared" si="24"/>
        <v>&lt;Valeur name="description"&gt;&lt;/Valeur&gt;</v>
      </c>
      <c r="AE79" t="str">
        <f t="shared" si="25"/>
        <v>&lt;Valeur name="valeur"&gt;429.54&lt;/Valeur&gt;</v>
      </c>
      <c r="AF79" t="str">
        <f t="shared" si="26"/>
        <v>&lt;Valeur name="compta"&gt;1&lt;/Valeur&gt;</v>
      </c>
      <c r="AG79" t="str">
        <f t="shared" si="27"/>
        <v>&lt;Valeur name="tvapct"&gt;20&lt;/Valeur&gt;</v>
      </c>
      <c r="AH79" t="str">
        <f t="shared" si="28"/>
        <v>&lt;Valeur name="tva"&gt;71.59&lt;/Valeur&gt;</v>
      </c>
      <c r="AL79" t="str">
        <f t="shared" si="29"/>
        <v>&lt;Insert&gt;&lt;Valeur name="no"&gt;78&lt;/Valeur&gt;&lt;Valeur name="ecriturebanque"&gt;74&lt;/Valeur&gt;&lt;Valeur name="datevaleur"&gt;2019/02/28&lt;/Valeur&gt;&lt;Valeur name="compte"&gt;114&lt;/Valeur&gt;&lt;Valeur name="description"&gt;&lt;/Valeur&gt;&lt;Valeur name="valeur"&gt;429.54&lt;/Valeur&gt;&lt;Valeur name="compta"&gt;1&lt;/Valeur&gt;&lt;Valeur name="tvapct"&gt;20&lt;/Valeur&gt;&lt;Valeur name="tva"&gt;71.59&lt;/Valeur&gt;&lt;/Insert&gt;</v>
      </c>
    </row>
    <row r="80" spans="1:38" x14ac:dyDescent="0.25">
      <c r="B80">
        <f>IF(A80&lt;&gt;"",VLOOKUP(A80,Banque!B:D,3,FALSE),1)</f>
        <v>1</v>
      </c>
      <c r="C80" s="1">
        <v>43524</v>
      </c>
      <c r="D80" t="s">
        <v>286</v>
      </c>
      <c r="G80" s="10">
        <v>444</v>
      </c>
      <c r="I80" s="11">
        <f t="shared" si="15"/>
        <v>74</v>
      </c>
      <c r="K80">
        <v>79</v>
      </c>
      <c r="L80">
        <v>74</v>
      </c>
      <c r="M80" s="16" t="s">
        <v>889</v>
      </c>
      <c r="N80">
        <f>IFERROR(VLOOKUP(D80,tab!A:B,2,FALSE),1)</f>
        <v>33</v>
      </c>
      <c r="O80" t="str">
        <f t="shared" si="16"/>
        <v/>
      </c>
      <c r="P80" s="14">
        <f t="shared" si="17"/>
        <v>444</v>
      </c>
      <c r="Q80" s="14">
        <f t="shared" si="18"/>
        <v>1</v>
      </c>
      <c r="R80" s="14">
        <v>20</v>
      </c>
      <c r="S80" s="14">
        <f t="shared" si="19"/>
        <v>74</v>
      </c>
      <c r="Z80" t="str">
        <f t="shared" si="20"/>
        <v>&lt;Valeur name="no"&gt;79&lt;/Valeur&gt;</v>
      </c>
      <c r="AA80" t="str">
        <f t="shared" si="21"/>
        <v>&lt;Valeur name="ecriturebanque"&gt;74&lt;/Valeur&gt;</v>
      </c>
      <c r="AB80" t="str">
        <f t="shared" si="22"/>
        <v>&lt;Valeur name="datevaleur"&gt;2019/02/28&lt;/Valeur&gt;</v>
      </c>
      <c r="AC80" t="str">
        <f t="shared" si="23"/>
        <v>&lt;Valeur name="compte"&gt;33&lt;/Valeur&gt;</v>
      </c>
      <c r="AD80" t="str">
        <f t="shared" si="24"/>
        <v>&lt;Valeur name="description"&gt;&lt;/Valeur&gt;</v>
      </c>
      <c r="AE80" t="str">
        <f t="shared" si="25"/>
        <v>&lt;Valeur name="valeur"&gt;444&lt;/Valeur&gt;</v>
      </c>
      <c r="AF80" t="str">
        <f t="shared" si="26"/>
        <v>&lt;Valeur name="compta"&gt;1&lt;/Valeur&gt;</v>
      </c>
      <c r="AG80" t="str">
        <f t="shared" si="27"/>
        <v>&lt;Valeur name="tvapct"&gt;20&lt;/Valeur&gt;</v>
      </c>
      <c r="AH80" t="str">
        <f t="shared" si="28"/>
        <v>&lt;Valeur name="tva"&gt;74&lt;/Valeur&gt;</v>
      </c>
      <c r="AL80" t="str">
        <f t="shared" si="29"/>
        <v>&lt;Insert&gt;&lt;Valeur name="no"&gt;79&lt;/Valeur&gt;&lt;Valeur name="ecriturebanque"&gt;74&lt;/Valeur&gt;&lt;Valeur name="datevaleur"&gt;2019/02/28&lt;/Valeur&gt;&lt;Valeur name="compte"&gt;33&lt;/Valeur&gt;&lt;Valeur name="description"&gt;&lt;/Valeur&gt;&lt;Valeur name="valeur"&gt;444&lt;/Valeur&gt;&lt;Valeur name="compta"&gt;1&lt;/Valeur&gt;&lt;Valeur name="tvapct"&gt;20&lt;/Valeur&gt;&lt;Valeur name="tva"&gt;74&lt;/Valeur&gt;&lt;/Insert&gt;</v>
      </c>
    </row>
    <row r="81" spans="1:38" x14ac:dyDescent="0.25">
      <c r="B81">
        <f>IF(A81&lt;&gt;"",VLOOKUP(A81,Banque!B:D,3,FALSE),1)</f>
        <v>1</v>
      </c>
      <c r="C81" s="1">
        <v>43524</v>
      </c>
      <c r="D81" t="s">
        <v>274</v>
      </c>
      <c r="G81" s="10">
        <v>455.24</v>
      </c>
      <c r="I81" s="11">
        <f t="shared" si="15"/>
        <v>75.873333333333335</v>
      </c>
      <c r="K81">
        <v>80</v>
      </c>
      <c r="L81">
        <v>74</v>
      </c>
      <c r="M81" s="16" t="s">
        <v>889</v>
      </c>
      <c r="N81">
        <f>IFERROR(VLOOKUP(D81,tab!A:B,2,FALSE),1)</f>
        <v>63</v>
      </c>
      <c r="O81" t="str">
        <f t="shared" si="16"/>
        <v/>
      </c>
      <c r="P81" s="14">
        <f t="shared" si="17"/>
        <v>455.24</v>
      </c>
      <c r="Q81" s="14">
        <f t="shared" si="18"/>
        <v>1</v>
      </c>
      <c r="R81" s="14">
        <v>20</v>
      </c>
      <c r="S81" s="14">
        <f t="shared" si="19"/>
        <v>75.873333333333335</v>
      </c>
      <c r="Z81" t="str">
        <f t="shared" si="20"/>
        <v>&lt;Valeur name="no"&gt;80&lt;/Valeur&gt;</v>
      </c>
      <c r="AA81" t="str">
        <f t="shared" si="21"/>
        <v>&lt;Valeur name="ecriturebanque"&gt;74&lt;/Valeur&gt;</v>
      </c>
      <c r="AB81" t="str">
        <f t="shared" si="22"/>
        <v>&lt;Valeur name="datevaleur"&gt;2019/02/28&lt;/Valeur&gt;</v>
      </c>
      <c r="AC81" t="str">
        <f t="shared" si="23"/>
        <v>&lt;Valeur name="compte"&gt;63&lt;/Valeur&gt;</v>
      </c>
      <c r="AD81" t="str">
        <f t="shared" si="24"/>
        <v>&lt;Valeur name="description"&gt;&lt;/Valeur&gt;</v>
      </c>
      <c r="AE81" t="str">
        <f t="shared" si="25"/>
        <v>&lt;Valeur name="valeur"&gt;455.24&lt;/Valeur&gt;</v>
      </c>
      <c r="AF81" t="str">
        <f t="shared" si="26"/>
        <v>&lt;Valeur name="compta"&gt;1&lt;/Valeur&gt;</v>
      </c>
      <c r="AG81" t="str">
        <f t="shared" si="27"/>
        <v>&lt;Valeur name="tvapct"&gt;20&lt;/Valeur&gt;</v>
      </c>
      <c r="AH81" t="str">
        <f t="shared" si="28"/>
        <v>&lt;Valeur name="tva"&gt;75.8733333333333&lt;/Valeur&gt;</v>
      </c>
      <c r="AL81" t="str">
        <f t="shared" si="29"/>
        <v>&lt;Insert&gt;&lt;Valeur name="no"&gt;80&lt;/Valeur&gt;&lt;Valeur name="ecriturebanque"&gt;74&lt;/Valeur&gt;&lt;Valeur name="datevaleur"&gt;2019/02/28&lt;/Valeur&gt;&lt;Valeur name="compte"&gt;63&lt;/Valeur&gt;&lt;Valeur name="description"&gt;&lt;/Valeur&gt;&lt;Valeur name="valeur"&gt;455.24&lt;/Valeur&gt;&lt;Valeur name="compta"&gt;1&lt;/Valeur&gt;&lt;Valeur name="tvapct"&gt;20&lt;/Valeur&gt;&lt;Valeur name="tva"&gt;75.8733333333333&lt;/Valeur&gt;&lt;/Insert&gt;</v>
      </c>
    </row>
    <row r="82" spans="1:38" x14ac:dyDescent="0.25">
      <c r="B82">
        <f>IF(A82&lt;&gt;"",VLOOKUP(A82,Banque!B:D,3,FALSE),1)</f>
        <v>1</v>
      </c>
      <c r="C82" s="1">
        <v>43524</v>
      </c>
      <c r="D82" t="s">
        <v>259</v>
      </c>
      <c r="G82" s="10">
        <v>1936.09</v>
      </c>
      <c r="I82" s="11">
        <f t="shared" si="15"/>
        <v>322.68166666666662</v>
      </c>
      <c r="K82">
        <v>81</v>
      </c>
      <c r="L82">
        <v>74</v>
      </c>
      <c r="M82" s="16" t="s">
        <v>889</v>
      </c>
      <c r="N82">
        <f>IFERROR(VLOOKUP(D82,tab!A:B,2,FALSE),1)</f>
        <v>72</v>
      </c>
      <c r="O82" t="str">
        <f t="shared" si="16"/>
        <v/>
      </c>
      <c r="P82" s="14">
        <f t="shared" si="17"/>
        <v>1936.09</v>
      </c>
      <c r="Q82" s="14">
        <f t="shared" si="18"/>
        <v>1</v>
      </c>
      <c r="R82" s="14">
        <v>20</v>
      </c>
      <c r="S82" s="14">
        <f t="shared" si="19"/>
        <v>322.68166666666662</v>
      </c>
      <c r="Z82" t="str">
        <f t="shared" si="20"/>
        <v>&lt;Valeur name="no"&gt;81&lt;/Valeur&gt;</v>
      </c>
      <c r="AA82" t="str">
        <f t="shared" si="21"/>
        <v>&lt;Valeur name="ecriturebanque"&gt;74&lt;/Valeur&gt;</v>
      </c>
      <c r="AB82" t="str">
        <f t="shared" si="22"/>
        <v>&lt;Valeur name="datevaleur"&gt;2019/02/28&lt;/Valeur&gt;</v>
      </c>
      <c r="AC82" t="str">
        <f t="shared" si="23"/>
        <v>&lt;Valeur name="compte"&gt;72&lt;/Valeur&gt;</v>
      </c>
      <c r="AD82" t="str">
        <f t="shared" si="24"/>
        <v>&lt;Valeur name="description"&gt;&lt;/Valeur&gt;</v>
      </c>
      <c r="AE82" t="str">
        <f t="shared" si="25"/>
        <v>&lt;Valeur name="valeur"&gt;1936.09&lt;/Valeur&gt;</v>
      </c>
      <c r="AF82" t="str">
        <f t="shared" si="26"/>
        <v>&lt;Valeur name="compta"&gt;1&lt;/Valeur&gt;</v>
      </c>
      <c r="AG82" t="str">
        <f t="shared" si="27"/>
        <v>&lt;Valeur name="tvapct"&gt;20&lt;/Valeur&gt;</v>
      </c>
      <c r="AH82" t="str">
        <f t="shared" si="28"/>
        <v>&lt;Valeur name="tva"&gt;322.681666666667&lt;/Valeur&gt;</v>
      </c>
      <c r="AL82" t="str">
        <f t="shared" si="29"/>
        <v>&lt;Insert&gt;&lt;Valeur name="no"&gt;81&lt;/Valeur&gt;&lt;Valeur name="ecriturebanque"&gt;74&lt;/Valeur&gt;&lt;Valeur name="datevaleur"&gt;2019/02/28&lt;/Valeur&gt;&lt;Valeur name="compte"&gt;72&lt;/Valeur&gt;&lt;Valeur name="description"&gt;&lt;/Valeur&gt;&lt;Valeur name="valeur"&gt;1936.09&lt;/Valeur&gt;&lt;Valeur name="compta"&gt;1&lt;/Valeur&gt;&lt;Valeur name="tvapct"&gt;20&lt;/Valeur&gt;&lt;Valeur name="tva"&gt;322.681666666667&lt;/Valeur&gt;&lt;/Insert&gt;</v>
      </c>
    </row>
    <row r="83" spans="1:38" x14ac:dyDescent="0.25">
      <c r="A83">
        <v>75</v>
      </c>
      <c r="B83">
        <f>IF(A83&lt;&gt;"",VLOOKUP(A83,Banque!B:D,3,FALSE),1)</f>
        <v>1</v>
      </c>
      <c r="C83" s="1">
        <v>43524</v>
      </c>
      <c r="D83" t="s">
        <v>254</v>
      </c>
      <c r="E83" t="s">
        <v>167</v>
      </c>
      <c r="G83" s="10">
        <v>14.85</v>
      </c>
      <c r="I83" s="11">
        <f t="shared" si="15"/>
        <v>2.4749999999999996</v>
      </c>
      <c r="K83">
        <v>82</v>
      </c>
      <c r="L83">
        <v>75</v>
      </c>
      <c r="M83" s="16" t="s">
        <v>889</v>
      </c>
      <c r="N83">
        <f>IFERROR(VLOOKUP(D83,tab!A:B,2,FALSE),1)</f>
        <v>27</v>
      </c>
      <c r="O83" t="str">
        <f t="shared" si="16"/>
        <v>CB 454106 COTE BOULAN 59TOURCOIN</v>
      </c>
      <c r="P83" s="14">
        <f t="shared" si="17"/>
        <v>14.85</v>
      </c>
      <c r="Q83" s="14">
        <f t="shared" si="18"/>
        <v>1</v>
      </c>
      <c r="R83" s="14">
        <v>20</v>
      </c>
      <c r="S83" s="14">
        <f t="shared" si="19"/>
        <v>2.4749999999999996</v>
      </c>
      <c r="Z83" t="str">
        <f t="shared" si="20"/>
        <v>&lt;Valeur name="no"&gt;82&lt;/Valeur&gt;</v>
      </c>
      <c r="AA83" t="str">
        <f t="shared" si="21"/>
        <v>&lt;Valeur name="ecriturebanque"&gt;75&lt;/Valeur&gt;</v>
      </c>
      <c r="AB83" t="str">
        <f t="shared" si="22"/>
        <v>&lt;Valeur name="datevaleur"&gt;2019/02/28&lt;/Valeur&gt;</v>
      </c>
      <c r="AC83" t="str">
        <f t="shared" si="23"/>
        <v>&lt;Valeur name="compte"&gt;27&lt;/Valeur&gt;</v>
      </c>
      <c r="AD83" t="str">
        <f t="shared" si="24"/>
        <v>&lt;Valeur name="description"&gt;CB 454106 COTE BOULAN 59TOURCOIN&lt;/Valeur&gt;</v>
      </c>
      <c r="AE83" t="str">
        <f t="shared" si="25"/>
        <v>&lt;Valeur name="valeur"&gt;14.85&lt;/Valeur&gt;</v>
      </c>
      <c r="AF83" t="str">
        <f t="shared" si="26"/>
        <v>&lt;Valeur name="compta"&gt;1&lt;/Valeur&gt;</v>
      </c>
      <c r="AG83" t="str">
        <f t="shared" si="27"/>
        <v>&lt;Valeur name="tvapct"&gt;20&lt;/Valeur&gt;</v>
      </c>
      <c r="AH83" t="str">
        <f t="shared" si="28"/>
        <v>&lt;Valeur name="tva"&gt;2.475&lt;/Valeur&gt;</v>
      </c>
      <c r="AL83" t="str">
        <f t="shared" si="29"/>
        <v>&lt;Insert&gt;&lt;Valeur name="no"&gt;82&lt;/Valeur&gt;&lt;Valeur name="ecriturebanque"&gt;75&lt;/Valeur&gt;&lt;Valeur name="datevaleur"&gt;2019/02/28&lt;/Valeur&gt;&lt;Valeur name="compte"&gt;27&lt;/Valeur&gt;&lt;Valeur name="description"&gt;CB 454106 COTE BOULAN 59TOURCOIN&lt;/Valeur&gt;&lt;Valeur name="valeur"&gt;14.85&lt;/Valeur&gt;&lt;Valeur name="compta"&gt;1&lt;/Valeur&gt;&lt;Valeur name="tvapct"&gt;20&lt;/Valeur&gt;&lt;Valeur name="tva"&gt;2.475&lt;/Valeur&gt;&lt;/Insert&gt;</v>
      </c>
    </row>
    <row r="84" spans="1:38" x14ac:dyDescent="0.25">
      <c r="A84">
        <v>76</v>
      </c>
      <c r="B84">
        <f>IF(A84&lt;&gt;"",VLOOKUP(A84,Banque!B:D,3,FALSE),1)</f>
        <v>1</v>
      </c>
      <c r="C84" s="1">
        <v>43524</v>
      </c>
      <c r="D84" t="s">
        <v>372</v>
      </c>
      <c r="E84" t="s">
        <v>165</v>
      </c>
      <c r="G84" s="10">
        <v>3.1</v>
      </c>
      <c r="I84" s="11">
        <f t="shared" si="15"/>
        <v>0.51666666666666661</v>
      </c>
      <c r="K84">
        <v>83</v>
      </c>
      <c r="L84">
        <v>76</v>
      </c>
      <c r="M84" s="16" t="s">
        <v>889</v>
      </c>
      <c r="N84">
        <f>IFERROR(VLOOKUP(D84,tab!A:B,2,FALSE),1)</f>
        <v>21</v>
      </c>
      <c r="O84" t="str">
        <f t="shared" si="16"/>
        <v>CB 454106 SANEF 1902- 60SENLIS</v>
      </c>
      <c r="P84" s="14">
        <f t="shared" si="17"/>
        <v>3.1</v>
      </c>
      <c r="Q84" s="14">
        <f t="shared" si="18"/>
        <v>1</v>
      </c>
      <c r="R84" s="14">
        <v>20</v>
      </c>
      <c r="S84" s="14">
        <f t="shared" si="19"/>
        <v>0.51666666666666661</v>
      </c>
      <c r="Z84" t="str">
        <f t="shared" si="20"/>
        <v>&lt;Valeur name="no"&gt;83&lt;/Valeur&gt;</v>
      </c>
      <c r="AA84" t="str">
        <f t="shared" si="21"/>
        <v>&lt;Valeur name="ecriturebanque"&gt;76&lt;/Valeur&gt;</v>
      </c>
      <c r="AB84" t="str">
        <f t="shared" si="22"/>
        <v>&lt;Valeur name="datevaleur"&gt;2019/02/28&lt;/Valeur&gt;</v>
      </c>
      <c r="AC84" t="str">
        <f t="shared" si="23"/>
        <v>&lt;Valeur name="compte"&gt;21&lt;/Valeur&gt;</v>
      </c>
      <c r="AD84" t="str">
        <f t="shared" si="24"/>
        <v>&lt;Valeur name="description"&gt;CB 454106 SANEF 1902- 60SENLIS&lt;/Valeur&gt;</v>
      </c>
      <c r="AE84" t="str">
        <f t="shared" si="25"/>
        <v>&lt;Valeur name="valeur"&gt;3.1&lt;/Valeur&gt;</v>
      </c>
      <c r="AF84" t="str">
        <f t="shared" si="26"/>
        <v>&lt;Valeur name="compta"&gt;1&lt;/Valeur&gt;</v>
      </c>
      <c r="AG84" t="str">
        <f t="shared" si="27"/>
        <v>&lt;Valeur name="tvapct"&gt;20&lt;/Valeur&gt;</v>
      </c>
      <c r="AH84" t="str">
        <f t="shared" si="28"/>
        <v>&lt;Valeur name="tva"&gt;0.516666666666667&lt;/Valeur&gt;</v>
      </c>
      <c r="AL84" t="str">
        <f t="shared" si="29"/>
        <v>&lt;Insert&gt;&lt;Valeur name="no"&gt;83&lt;/Valeur&gt;&lt;Valeur name="ecriturebanque"&gt;76&lt;/Valeur&gt;&lt;Valeur name="datevaleur"&gt;2019/02/28&lt;/Valeur&gt;&lt;Valeur name="compte"&gt;21&lt;/Valeur&gt;&lt;Valeur name="description"&gt;CB 454106 SANEF 1902- 60SENLIS&lt;/Valeur&gt;&lt;Valeur name="valeur"&gt;3.1&lt;/Valeur&gt;&lt;Valeur name="compta"&gt;1&lt;/Valeur&gt;&lt;Valeur name="tvapct"&gt;20&lt;/Valeur&gt;&lt;Valeur name="tva"&gt;0.516666666666667&lt;/Valeur&gt;&lt;/Insert&gt;</v>
      </c>
    </row>
    <row r="85" spans="1:38" x14ac:dyDescent="0.25">
      <c r="A85">
        <v>77</v>
      </c>
      <c r="B85">
        <f>IF(A85&lt;&gt;"",VLOOKUP(A85,Banque!B:D,3,FALSE),1)</f>
        <v>1</v>
      </c>
      <c r="C85" s="1">
        <v>43525</v>
      </c>
      <c r="D85" t="s">
        <v>257</v>
      </c>
      <c r="E85" t="s">
        <v>163</v>
      </c>
      <c r="G85" s="10">
        <v>132</v>
      </c>
      <c r="I85" s="11">
        <f t="shared" si="15"/>
        <v>22</v>
      </c>
      <c r="K85">
        <v>84</v>
      </c>
      <c r="L85">
        <v>77</v>
      </c>
      <c r="M85" s="16" t="s">
        <v>891</v>
      </c>
      <c r="N85">
        <f>IFERROR(VLOOKUP(D85,tab!A:B,2,FALSE),1)</f>
        <v>18</v>
      </c>
      <c r="O85" t="str">
        <f t="shared" si="16"/>
        <v>COTIS.CONVENTION ALLIANCE</v>
      </c>
      <c r="P85" s="14">
        <f t="shared" si="17"/>
        <v>132</v>
      </c>
      <c r="Q85" s="14">
        <f t="shared" si="18"/>
        <v>1</v>
      </c>
      <c r="R85" s="14">
        <v>20</v>
      </c>
      <c r="S85" s="14">
        <f t="shared" si="19"/>
        <v>22</v>
      </c>
      <c r="Z85" t="str">
        <f t="shared" si="20"/>
        <v>&lt;Valeur name="no"&gt;84&lt;/Valeur&gt;</v>
      </c>
      <c r="AA85" t="str">
        <f t="shared" si="21"/>
        <v>&lt;Valeur name="ecriturebanque"&gt;77&lt;/Valeur&gt;</v>
      </c>
      <c r="AB85" t="str">
        <f t="shared" si="22"/>
        <v>&lt;Valeur name="datevaleur"&gt;2019/03/01&lt;/Valeur&gt;</v>
      </c>
      <c r="AC85" t="str">
        <f t="shared" si="23"/>
        <v>&lt;Valeur name="compte"&gt;18&lt;/Valeur&gt;</v>
      </c>
      <c r="AD85" t="str">
        <f t="shared" si="24"/>
        <v>&lt;Valeur name="description"&gt;COTIS.CONVENTION ALLIANCE&lt;/Valeur&gt;</v>
      </c>
      <c r="AE85" t="str">
        <f t="shared" si="25"/>
        <v>&lt;Valeur name="valeur"&gt;132&lt;/Valeur&gt;</v>
      </c>
      <c r="AF85" t="str">
        <f t="shared" si="26"/>
        <v>&lt;Valeur name="compta"&gt;1&lt;/Valeur&gt;</v>
      </c>
      <c r="AG85" t="str">
        <f t="shared" si="27"/>
        <v>&lt;Valeur name="tvapct"&gt;20&lt;/Valeur&gt;</v>
      </c>
      <c r="AH85" t="str">
        <f t="shared" si="28"/>
        <v>&lt;Valeur name="tva"&gt;22&lt;/Valeur&gt;</v>
      </c>
      <c r="AL85" t="str">
        <f t="shared" si="29"/>
        <v>&lt;Insert&gt;&lt;Valeur name="no"&gt;84&lt;/Valeur&gt;&lt;Valeur name="ecriturebanque"&gt;77&lt;/Valeur&gt;&lt;Valeur name="datevaleur"&gt;2019/03/01&lt;/Valeur&gt;&lt;Valeur name="compte"&gt;18&lt;/Valeur&gt;&lt;Valeur name="description"&gt;COTIS.CONVENTION ALLIANCE&lt;/Valeur&gt;&lt;Valeur name="valeur"&gt;132&lt;/Valeur&gt;&lt;Valeur name="compta"&gt;1&lt;/Valeur&gt;&lt;Valeur name="tvapct"&gt;20&lt;/Valeur&gt;&lt;Valeur name="tva"&gt;22&lt;/Valeur&gt;&lt;/Insert&gt;</v>
      </c>
    </row>
    <row r="86" spans="1:38" x14ac:dyDescent="0.25">
      <c r="A86">
        <v>78</v>
      </c>
      <c r="B86">
        <f>IF(A86&lt;&gt;"",VLOOKUP(A86,Banque!B:D,3,FALSE),1)</f>
        <v>1</v>
      </c>
      <c r="C86" s="1">
        <v>43525</v>
      </c>
      <c r="D86" t="s">
        <v>254</v>
      </c>
      <c r="E86" t="s">
        <v>33</v>
      </c>
      <c r="G86" s="10">
        <v>16</v>
      </c>
      <c r="I86" s="11">
        <f t="shared" si="15"/>
        <v>2.6666666666666661</v>
      </c>
      <c r="K86">
        <v>85</v>
      </c>
      <c r="L86">
        <v>78</v>
      </c>
      <c r="M86" s="16" t="s">
        <v>891</v>
      </c>
      <c r="N86">
        <f>IFERROR(VLOOKUP(D86,tab!A:B,2,FALSE),1)</f>
        <v>27</v>
      </c>
      <c r="O86" t="str">
        <f t="shared" si="16"/>
        <v>CB 454106 PIZZA NONNA 59VILLENEU</v>
      </c>
      <c r="P86" s="14">
        <f t="shared" si="17"/>
        <v>16</v>
      </c>
      <c r="Q86" s="14">
        <f t="shared" si="18"/>
        <v>1</v>
      </c>
      <c r="R86" s="14">
        <v>20</v>
      </c>
      <c r="S86" s="14">
        <f t="shared" si="19"/>
        <v>2.6666666666666661</v>
      </c>
      <c r="Z86" t="str">
        <f t="shared" si="20"/>
        <v>&lt;Valeur name="no"&gt;85&lt;/Valeur&gt;</v>
      </c>
      <c r="AA86" t="str">
        <f t="shared" si="21"/>
        <v>&lt;Valeur name="ecriturebanque"&gt;78&lt;/Valeur&gt;</v>
      </c>
      <c r="AB86" t="str">
        <f t="shared" si="22"/>
        <v>&lt;Valeur name="datevaleur"&gt;2019/03/01&lt;/Valeur&gt;</v>
      </c>
      <c r="AC86" t="str">
        <f t="shared" si="23"/>
        <v>&lt;Valeur name="compte"&gt;27&lt;/Valeur&gt;</v>
      </c>
      <c r="AD86" t="str">
        <f t="shared" si="24"/>
        <v>&lt;Valeur name="description"&gt;CB 454106 PIZZA NONNA 59VILLENEU&lt;/Valeur&gt;</v>
      </c>
      <c r="AE86" t="str">
        <f t="shared" si="25"/>
        <v>&lt;Valeur name="valeur"&gt;16&lt;/Valeur&gt;</v>
      </c>
      <c r="AF86" t="str">
        <f t="shared" si="26"/>
        <v>&lt;Valeur name="compta"&gt;1&lt;/Valeur&gt;</v>
      </c>
      <c r="AG86" t="str">
        <f t="shared" si="27"/>
        <v>&lt;Valeur name="tvapct"&gt;20&lt;/Valeur&gt;</v>
      </c>
      <c r="AH86" t="str">
        <f t="shared" si="28"/>
        <v>&lt;Valeur name="tva"&gt;2.66666666666667&lt;/Valeur&gt;</v>
      </c>
      <c r="AL86" t="str">
        <f t="shared" si="29"/>
        <v>&lt;Insert&gt;&lt;Valeur name="no"&gt;85&lt;/Valeur&gt;&lt;Valeur name="ecriturebanque"&gt;78&lt;/Valeur&gt;&lt;Valeur name="datevaleur"&gt;2019/03/01&lt;/Valeur&gt;&lt;Valeur name="compte"&gt;27&lt;/Valeur&gt;&lt;Valeur name="description"&gt;CB 454106 PIZZA NONNA 59VILLENEU&lt;/Valeur&gt;&lt;Valeur name="valeur"&gt;16&lt;/Valeur&gt;&lt;Valeur name="compta"&gt;1&lt;/Valeur&gt;&lt;Valeur name="tvapct"&gt;20&lt;/Valeur&gt;&lt;Valeur name="tva"&gt;2.66666666666667&lt;/Valeur&gt;&lt;/Insert&gt;</v>
      </c>
    </row>
    <row r="87" spans="1:38" x14ac:dyDescent="0.25">
      <c r="A87">
        <v>79</v>
      </c>
      <c r="B87">
        <f>IF(A87&lt;&gt;"",VLOOKUP(A87,Banque!B:D,3,FALSE),1)</f>
        <v>1</v>
      </c>
      <c r="C87" s="1">
        <v>43525</v>
      </c>
      <c r="D87" t="s">
        <v>257</v>
      </c>
      <c r="E87" t="s">
        <v>31</v>
      </c>
      <c r="G87" s="10">
        <v>0.21</v>
      </c>
      <c r="I87" s="11">
        <f t="shared" si="15"/>
        <v>3.5000000000000003E-2</v>
      </c>
      <c r="K87">
        <v>86</v>
      </c>
      <c r="L87">
        <v>79</v>
      </c>
      <c r="M87" s="16" t="s">
        <v>891</v>
      </c>
      <c r="N87">
        <f>IFERROR(VLOOKUP(D87,tab!A:B,2,FALSE),1)</f>
        <v>18</v>
      </c>
      <c r="O87" t="str">
        <f t="shared" si="16"/>
        <v>FRAIS E-VIR SEPA VERS EEE</v>
      </c>
      <c r="P87" s="14">
        <f t="shared" si="17"/>
        <v>0.21</v>
      </c>
      <c r="Q87" s="14">
        <f t="shared" si="18"/>
        <v>1</v>
      </c>
      <c r="R87" s="14">
        <v>20</v>
      </c>
      <c r="S87" s="14">
        <f t="shared" si="19"/>
        <v>3.5000000000000003E-2</v>
      </c>
      <c r="Z87" t="str">
        <f t="shared" si="20"/>
        <v>&lt;Valeur name="no"&gt;86&lt;/Valeur&gt;</v>
      </c>
      <c r="AA87" t="str">
        <f t="shared" si="21"/>
        <v>&lt;Valeur name="ecriturebanque"&gt;79&lt;/Valeur&gt;</v>
      </c>
      <c r="AB87" t="str">
        <f t="shared" si="22"/>
        <v>&lt;Valeur name="datevaleur"&gt;2019/03/01&lt;/Valeur&gt;</v>
      </c>
      <c r="AC87" t="str">
        <f t="shared" si="23"/>
        <v>&lt;Valeur name="compte"&gt;18&lt;/Valeur&gt;</v>
      </c>
      <c r="AD87" t="str">
        <f t="shared" si="24"/>
        <v>&lt;Valeur name="description"&gt;FRAIS E-VIR SEPA VERS EEE&lt;/Valeur&gt;</v>
      </c>
      <c r="AE87" t="str">
        <f t="shared" si="25"/>
        <v>&lt;Valeur name="valeur"&gt;0.21&lt;/Valeur&gt;</v>
      </c>
      <c r="AF87" t="str">
        <f t="shared" si="26"/>
        <v>&lt;Valeur name="compta"&gt;1&lt;/Valeur&gt;</v>
      </c>
      <c r="AG87" t="str">
        <f t="shared" si="27"/>
        <v>&lt;Valeur name="tvapct"&gt;20&lt;/Valeur&gt;</v>
      </c>
      <c r="AH87" t="str">
        <f t="shared" si="28"/>
        <v>&lt;Valeur name="tva"&gt;0.035&lt;/Valeur&gt;</v>
      </c>
      <c r="AL87" t="str">
        <f t="shared" si="29"/>
        <v>&lt;Insert&gt;&lt;Valeur name="no"&gt;86&lt;/Valeur&gt;&lt;Valeur name="ecriturebanque"&gt;79&lt;/Valeur&gt;&lt;Valeur name="datevaleur"&gt;2019/03/01&lt;/Valeur&gt;&lt;Valeur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88" spans="1:38" x14ac:dyDescent="0.25">
      <c r="A88">
        <v>80</v>
      </c>
      <c r="B88">
        <f>IF(A88&lt;&gt;"",VLOOKUP(A88,Banque!B:D,3,FALSE),1)</f>
        <v>1</v>
      </c>
      <c r="C88" s="1">
        <v>43525</v>
      </c>
      <c r="D88" t="s">
        <v>257</v>
      </c>
      <c r="E88" t="s">
        <v>31</v>
      </c>
      <c r="G88" s="10">
        <v>0.21</v>
      </c>
      <c r="I88" s="11">
        <f t="shared" si="15"/>
        <v>3.5000000000000003E-2</v>
      </c>
      <c r="K88">
        <v>87</v>
      </c>
      <c r="L88">
        <v>80</v>
      </c>
      <c r="M88" s="16" t="s">
        <v>891</v>
      </c>
      <c r="N88">
        <f>IFERROR(VLOOKUP(D88,tab!A:B,2,FALSE),1)</f>
        <v>18</v>
      </c>
      <c r="O88" t="str">
        <f t="shared" si="16"/>
        <v>FRAIS E-VIR SEPA VERS EEE</v>
      </c>
      <c r="P88" s="14">
        <f t="shared" si="17"/>
        <v>0.21</v>
      </c>
      <c r="Q88" s="14">
        <f t="shared" si="18"/>
        <v>1</v>
      </c>
      <c r="R88" s="14">
        <v>20</v>
      </c>
      <c r="S88" s="14">
        <f t="shared" si="19"/>
        <v>3.5000000000000003E-2</v>
      </c>
      <c r="Z88" t="str">
        <f t="shared" si="20"/>
        <v>&lt;Valeur name="no"&gt;87&lt;/Valeur&gt;</v>
      </c>
      <c r="AA88" t="str">
        <f t="shared" si="21"/>
        <v>&lt;Valeur name="ecriturebanque"&gt;80&lt;/Valeur&gt;</v>
      </c>
      <c r="AB88" t="str">
        <f t="shared" si="22"/>
        <v>&lt;Valeur name="datevaleur"&gt;2019/03/01&lt;/Valeur&gt;</v>
      </c>
      <c r="AC88" t="str">
        <f t="shared" si="23"/>
        <v>&lt;Valeur name="compte"&gt;18&lt;/Valeur&gt;</v>
      </c>
      <c r="AD88" t="str">
        <f t="shared" si="24"/>
        <v>&lt;Valeur name="description"&gt;FRAIS E-VIR SEPA VERS EEE&lt;/Valeur&gt;</v>
      </c>
      <c r="AE88" t="str">
        <f t="shared" si="25"/>
        <v>&lt;Valeur name="valeur"&gt;0.21&lt;/Valeur&gt;</v>
      </c>
      <c r="AF88" t="str">
        <f t="shared" si="26"/>
        <v>&lt;Valeur name="compta"&gt;1&lt;/Valeur&gt;</v>
      </c>
      <c r="AG88" t="str">
        <f t="shared" si="27"/>
        <v>&lt;Valeur name="tvapct"&gt;20&lt;/Valeur&gt;</v>
      </c>
      <c r="AH88" t="str">
        <f t="shared" si="28"/>
        <v>&lt;Valeur name="tva"&gt;0.035&lt;/Valeur&gt;</v>
      </c>
      <c r="AL88" t="str">
        <f t="shared" si="29"/>
        <v>&lt;Insert&gt;&lt;Valeur name="no"&gt;87&lt;/Valeur&gt;&lt;Valeur name="ecriturebanque"&gt;80&lt;/Valeur&gt;&lt;Valeur name="datevaleur"&gt;2019/03/01&lt;/Valeur&gt;&lt;Valeur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89" spans="1:38" x14ac:dyDescent="0.25">
      <c r="A89">
        <v>81</v>
      </c>
      <c r="B89">
        <f>IF(A89&lt;&gt;"",VLOOKUP(A89,Banque!B:D,3,FALSE),1)</f>
        <v>1</v>
      </c>
      <c r="C89" s="1">
        <v>43525</v>
      </c>
      <c r="D89" t="s">
        <v>257</v>
      </c>
      <c r="E89" t="s">
        <v>31</v>
      </c>
      <c r="G89" s="10">
        <v>0.21</v>
      </c>
      <c r="I89" s="11">
        <f t="shared" si="15"/>
        <v>3.5000000000000003E-2</v>
      </c>
      <c r="K89">
        <v>88</v>
      </c>
      <c r="L89">
        <v>81</v>
      </c>
      <c r="M89" s="16" t="s">
        <v>891</v>
      </c>
      <c r="N89">
        <f>IFERROR(VLOOKUP(D89,tab!A:B,2,FALSE),1)</f>
        <v>18</v>
      </c>
      <c r="O89" t="str">
        <f t="shared" si="16"/>
        <v>FRAIS E-VIR SEPA VERS EEE</v>
      </c>
      <c r="P89" s="14">
        <f t="shared" si="17"/>
        <v>0.21</v>
      </c>
      <c r="Q89" s="14">
        <f t="shared" si="18"/>
        <v>1</v>
      </c>
      <c r="R89" s="14">
        <v>20</v>
      </c>
      <c r="S89" s="14">
        <f t="shared" si="19"/>
        <v>3.5000000000000003E-2</v>
      </c>
      <c r="Z89" t="str">
        <f t="shared" si="20"/>
        <v>&lt;Valeur name="no"&gt;88&lt;/Valeur&gt;</v>
      </c>
      <c r="AA89" t="str">
        <f t="shared" si="21"/>
        <v>&lt;Valeur name="ecriturebanque"&gt;81&lt;/Valeur&gt;</v>
      </c>
      <c r="AB89" t="str">
        <f t="shared" si="22"/>
        <v>&lt;Valeur name="datevaleur"&gt;2019/03/01&lt;/Valeur&gt;</v>
      </c>
      <c r="AC89" t="str">
        <f t="shared" si="23"/>
        <v>&lt;Valeur name="compte"&gt;18&lt;/Valeur&gt;</v>
      </c>
      <c r="AD89" t="str">
        <f t="shared" si="24"/>
        <v>&lt;Valeur name="description"&gt;FRAIS E-VIR SEPA VERS EEE&lt;/Valeur&gt;</v>
      </c>
      <c r="AE89" t="str">
        <f t="shared" si="25"/>
        <v>&lt;Valeur name="valeur"&gt;0.21&lt;/Valeur&gt;</v>
      </c>
      <c r="AF89" t="str">
        <f t="shared" si="26"/>
        <v>&lt;Valeur name="compta"&gt;1&lt;/Valeur&gt;</v>
      </c>
      <c r="AG89" t="str">
        <f t="shared" si="27"/>
        <v>&lt;Valeur name="tvapct"&gt;20&lt;/Valeur&gt;</v>
      </c>
      <c r="AH89" t="str">
        <f t="shared" si="28"/>
        <v>&lt;Valeur name="tva"&gt;0.035&lt;/Valeur&gt;</v>
      </c>
      <c r="AL89" t="str">
        <f t="shared" si="29"/>
        <v>&lt;Insert&gt;&lt;Valeur name="no"&gt;88&lt;/Valeur&gt;&lt;Valeur name="ecriturebanque"&gt;81&lt;/Valeur&gt;&lt;Valeur name="datevaleur"&gt;2019/03/01&lt;/Valeur&gt;&lt;Valeur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90" spans="1:38" x14ac:dyDescent="0.25">
      <c r="A90">
        <v>82</v>
      </c>
      <c r="B90">
        <f>IF(A90&lt;&gt;"",VLOOKUP(A90,Banque!B:D,3,FALSE),1)</f>
        <v>1</v>
      </c>
      <c r="C90" s="1">
        <v>43525</v>
      </c>
      <c r="D90" t="s">
        <v>257</v>
      </c>
      <c r="E90" t="s">
        <v>31</v>
      </c>
      <c r="G90" s="10">
        <v>0.21</v>
      </c>
      <c r="I90" s="11">
        <f t="shared" si="15"/>
        <v>3.5000000000000003E-2</v>
      </c>
      <c r="K90">
        <v>89</v>
      </c>
      <c r="L90">
        <v>82</v>
      </c>
      <c r="M90" s="16" t="s">
        <v>891</v>
      </c>
      <c r="N90">
        <f>IFERROR(VLOOKUP(D90,tab!A:B,2,FALSE),1)</f>
        <v>18</v>
      </c>
      <c r="O90" t="str">
        <f t="shared" si="16"/>
        <v>FRAIS E-VIR SEPA VERS EEE</v>
      </c>
      <c r="P90" s="14">
        <f t="shared" si="17"/>
        <v>0.21</v>
      </c>
      <c r="Q90" s="14">
        <f t="shared" si="18"/>
        <v>1</v>
      </c>
      <c r="R90" s="14">
        <v>20</v>
      </c>
      <c r="S90" s="14">
        <f t="shared" si="19"/>
        <v>3.5000000000000003E-2</v>
      </c>
      <c r="Z90" t="str">
        <f t="shared" si="20"/>
        <v>&lt;Valeur name="no"&gt;89&lt;/Valeur&gt;</v>
      </c>
      <c r="AA90" t="str">
        <f t="shared" si="21"/>
        <v>&lt;Valeur name="ecriturebanque"&gt;82&lt;/Valeur&gt;</v>
      </c>
      <c r="AB90" t="str">
        <f t="shared" si="22"/>
        <v>&lt;Valeur name="datevaleur"&gt;2019/03/01&lt;/Valeur&gt;</v>
      </c>
      <c r="AC90" t="str">
        <f t="shared" si="23"/>
        <v>&lt;Valeur name="compte"&gt;18&lt;/Valeur&gt;</v>
      </c>
      <c r="AD90" t="str">
        <f t="shared" si="24"/>
        <v>&lt;Valeur name="description"&gt;FRAIS E-VIR SEPA VERS EEE&lt;/Valeur&gt;</v>
      </c>
      <c r="AE90" t="str">
        <f t="shared" si="25"/>
        <v>&lt;Valeur name="valeur"&gt;0.21&lt;/Valeur&gt;</v>
      </c>
      <c r="AF90" t="str">
        <f t="shared" si="26"/>
        <v>&lt;Valeur name="compta"&gt;1&lt;/Valeur&gt;</v>
      </c>
      <c r="AG90" t="str">
        <f t="shared" si="27"/>
        <v>&lt;Valeur name="tvapct"&gt;20&lt;/Valeur&gt;</v>
      </c>
      <c r="AH90" t="str">
        <f t="shared" si="28"/>
        <v>&lt;Valeur name="tva"&gt;0.035&lt;/Valeur&gt;</v>
      </c>
      <c r="AL90" t="str">
        <f t="shared" si="29"/>
        <v>&lt;Insert&gt;&lt;Valeur name="no"&gt;89&lt;/Valeur&gt;&lt;Valeur name="ecriturebanque"&gt;82&lt;/Valeur&gt;&lt;Valeur name="datevaleur"&gt;2019/03/01&lt;/Valeur&gt;&lt;Valeur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91" spans="1:38" x14ac:dyDescent="0.25">
      <c r="A91">
        <v>83</v>
      </c>
      <c r="B91">
        <f>IF(A91&lt;&gt;"",VLOOKUP(A91,Banque!B:D,3,FALSE),1)</f>
        <v>1</v>
      </c>
      <c r="C91" s="1">
        <v>43526</v>
      </c>
      <c r="D91" t="s">
        <v>257</v>
      </c>
      <c r="E91" t="s">
        <v>156</v>
      </c>
      <c r="H91" s="10">
        <v>0</v>
      </c>
      <c r="I91" s="11">
        <f t="shared" si="15"/>
        <v>0</v>
      </c>
      <c r="K91">
        <v>90</v>
      </c>
      <c r="L91">
        <v>83</v>
      </c>
      <c r="M91" s="16" t="s">
        <v>958</v>
      </c>
      <c r="N91">
        <f>IFERROR(VLOOKUP(D91,tab!A:B,2,FALSE),1)</f>
        <v>18</v>
      </c>
      <c r="O91" t="str">
        <f t="shared" si="16"/>
        <v>INTERNET PRO (GRATUIT AVEC C.ALL</v>
      </c>
      <c r="P91" s="14">
        <f t="shared" si="17"/>
        <v>0</v>
      </c>
      <c r="Q91" s="14">
        <f t="shared" si="18"/>
        <v>1</v>
      </c>
      <c r="R91" s="14">
        <v>20</v>
      </c>
      <c r="S91" s="14">
        <f t="shared" si="19"/>
        <v>0</v>
      </c>
      <c r="Z91" t="str">
        <f t="shared" si="20"/>
        <v>&lt;Valeur name="no"&gt;90&lt;/Valeur&gt;</v>
      </c>
      <c r="AA91" t="str">
        <f t="shared" si="21"/>
        <v>&lt;Valeur name="ecriturebanque"&gt;83&lt;/Valeur&gt;</v>
      </c>
      <c r="AB91" t="str">
        <f t="shared" si="22"/>
        <v>&lt;Valeur name="datevaleur"&gt;2019/03/02&lt;/Valeur&gt;</v>
      </c>
      <c r="AC91" t="str">
        <f t="shared" si="23"/>
        <v>&lt;Valeur name="compte"&gt;18&lt;/Valeur&gt;</v>
      </c>
      <c r="AD91" t="str">
        <f t="shared" si="24"/>
        <v>&lt;Valeur name="description"&gt;INTERNET PRO (GRATUIT AVEC C.ALL&lt;/Valeur&gt;</v>
      </c>
      <c r="AE91" t="str">
        <f t="shared" si="25"/>
        <v>&lt;Valeur name="valeur"&gt;0&lt;/Valeur&gt;</v>
      </c>
      <c r="AF91" t="str">
        <f t="shared" si="26"/>
        <v>&lt;Valeur name="compta"&gt;1&lt;/Valeur&gt;</v>
      </c>
      <c r="AG91" t="str">
        <f t="shared" si="27"/>
        <v>&lt;Valeur name="tvapct"&gt;20&lt;/Valeur&gt;</v>
      </c>
      <c r="AH91" t="str">
        <f t="shared" si="28"/>
        <v>&lt;Valeur name="tva"&gt;0&lt;/Valeur&gt;</v>
      </c>
      <c r="AL91" t="str">
        <f t="shared" si="29"/>
        <v>&lt;Insert&gt;&lt;Valeur name="no"&gt;90&lt;/Valeur&gt;&lt;Valeur name="ecriturebanque"&gt;83&lt;/Valeur&gt;&lt;Valeur name="datevaleur"&gt;2019/03/02&lt;/Valeur&gt;&lt;Valeur name="compte"&gt;18&lt;/Valeur&gt;&lt;Valeur name="description"&gt;INTERNET PRO (GRATUIT AVEC C.ALL&lt;/Valeur&gt;&lt;Valeur name="valeur"&gt;0&lt;/Valeur&gt;&lt;Valeur name="compta"&gt;1&lt;/Valeur&gt;&lt;Valeur name="tvapct"&gt;20&lt;/Valeur&gt;&lt;Valeur name="tva"&gt;0&lt;/Valeur&gt;&lt;/Insert&gt;</v>
      </c>
    </row>
    <row r="92" spans="1:38" x14ac:dyDescent="0.25">
      <c r="A92">
        <v>84</v>
      </c>
      <c r="B92">
        <f>IF(A92&lt;&gt;"",VLOOKUP(A92,Banque!B:D,3,FALSE),1)</f>
        <v>1</v>
      </c>
      <c r="C92" s="1">
        <v>43528</v>
      </c>
      <c r="D92" t="s">
        <v>273</v>
      </c>
      <c r="E92" t="s">
        <v>151</v>
      </c>
      <c r="G92" s="10">
        <v>311.74</v>
      </c>
      <c r="I92" s="11">
        <f t="shared" si="15"/>
        <v>51.956666666666649</v>
      </c>
      <c r="K92">
        <v>91</v>
      </c>
      <c r="L92">
        <v>84</v>
      </c>
      <c r="M92" s="16" t="s">
        <v>959</v>
      </c>
      <c r="N92">
        <f>IFERROR(VLOOKUP(D92,tab!A:B,2,FALSE),1)</f>
        <v>32</v>
      </c>
      <c r="O92" t="str">
        <f t="shared" si="16"/>
        <v>RELEVE LCR DU  250219  CONFORME</v>
      </c>
      <c r="P92" s="14">
        <f t="shared" si="17"/>
        <v>311.74</v>
      </c>
      <c r="Q92" s="14">
        <f t="shared" si="18"/>
        <v>1</v>
      </c>
      <c r="R92" s="14">
        <v>20</v>
      </c>
      <c r="S92" s="14">
        <f t="shared" si="19"/>
        <v>51.956666666666649</v>
      </c>
      <c r="Z92" t="str">
        <f t="shared" si="20"/>
        <v>&lt;Valeur name="no"&gt;91&lt;/Valeur&gt;</v>
      </c>
      <c r="AA92" t="str">
        <f t="shared" si="21"/>
        <v>&lt;Valeur name="ecriturebanque"&gt;84&lt;/Valeur&gt;</v>
      </c>
      <c r="AB92" t="str">
        <f t="shared" si="22"/>
        <v>&lt;Valeur name="datevaleur"&gt;2019/03/04&lt;/Valeur&gt;</v>
      </c>
      <c r="AC92" t="str">
        <f t="shared" si="23"/>
        <v>&lt;Valeur name="compte"&gt;32&lt;/Valeur&gt;</v>
      </c>
      <c r="AD92" t="str">
        <f t="shared" si="24"/>
        <v>&lt;Valeur name="description"&gt;RELEVE LCR DU  250219  CONFORME&lt;/Valeur&gt;</v>
      </c>
      <c r="AE92" t="str">
        <f t="shared" si="25"/>
        <v>&lt;Valeur name="valeur"&gt;311.74&lt;/Valeur&gt;</v>
      </c>
      <c r="AF92" t="str">
        <f t="shared" si="26"/>
        <v>&lt;Valeur name="compta"&gt;1&lt;/Valeur&gt;</v>
      </c>
      <c r="AG92" t="str">
        <f t="shared" si="27"/>
        <v>&lt;Valeur name="tvapct"&gt;20&lt;/Valeur&gt;</v>
      </c>
      <c r="AH92" t="str">
        <f t="shared" si="28"/>
        <v>&lt;Valeur name="tva"&gt;51.9566666666666&lt;/Valeur&gt;</v>
      </c>
      <c r="AL92" t="str">
        <f t="shared" si="29"/>
        <v>&lt;Insert&gt;&lt;Valeur name="no"&gt;91&lt;/Valeur&gt;&lt;Valeur name="ecriturebanque"&gt;84&lt;/Valeur&gt;&lt;Valeur name="datevaleur"&gt;2019/03/04&lt;/Valeur&gt;&lt;Valeur name="compte"&gt;32&lt;/Valeur&gt;&lt;Valeur name="description"&gt;RELEVE LCR DU  250219  CONFORME&lt;/Valeur&gt;&lt;Valeur name="valeur"&gt;311.74&lt;/Valeur&gt;&lt;Valeur name="compta"&gt;1&lt;/Valeur&gt;&lt;Valeur name="tvapct"&gt;20&lt;/Valeur&gt;&lt;Valeur name="tva"&gt;51.9566666666666&lt;/Valeur&gt;&lt;/Insert&gt;</v>
      </c>
    </row>
    <row r="93" spans="1:38" x14ac:dyDescent="0.25">
      <c r="A93">
        <v>85</v>
      </c>
      <c r="B93">
        <f>IF(A93&lt;&gt;"",VLOOKUP(A93,Banque!B:D,3,FALSE),1)</f>
        <v>1</v>
      </c>
      <c r="C93" s="1">
        <v>43528</v>
      </c>
      <c r="D93" t="s">
        <v>253</v>
      </c>
      <c r="E93" t="s">
        <v>149</v>
      </c>
      <c r="G93" s="10">
        <v>72.239999999999995</v>
      </c>
      <c r="I93" s="11">
        <f t="shared" si="15"/>
        <v>12.04</v>
      </c>
      <c r="K93">
        <v>92</v>
      </c>
      <c r="L93">
        <v>85</v>
      </c>
      <c r="M93" s="16" t="s">
        <v>959</v>
      </c>
      <c r="N93">
        <f>IFERROR(VLOOKUP(D93,tab!A:B,2,FALSE),1)</f>
        <v>13</v>
      </c>
      <c r="O93" t="str">
        <f t="shared" si="16"/>
        <v>CB 548222 CARREFOUR D 59AULNOY L</v>
      </c>
      <c r="P93" s="14">
        <f t="shared" si="17"/>
        <v>72.239999999999995</v>
      </c>
      <c r="Q93" s="14">
        <f t="shared" si="18"/>
        <v>1</v>
      </c>
      <c r="R93" s="14">
        <v>20</v>
      </c>
      <c r="S93" s="14">
        <f t="shared" si="19"/>
        <v>12.04</v>
      </c>
      <c r="Z93" t="str">
        <f t="shared" si="20"/>
        <v>&lt;Valeur name="no"&gt;92&lt;/Valeur&gt;</v>
      </c>
      <c r="AA93" t="str">
        <f t="shared" si="21"/>
        <v>&lt;Valeur name="ecriturebanque"&gt;85&lt;/Valeur&gt;</v>
      </c>
      <c r="AB93" t="str">
        <f t="shared" si="22"/>
        <v>&lt;Valeur name="datevaleur"&gt;2019/03/04&lt;/Valeur&gt;</v>
      </c>
      <c r="AC93" t="str">
        <f t="shared" si="23"/>
        <v>&lt;Valeur name="compte"&gt;13&lt;/Valeur&gt;</v>
      </c>
      <c r="AD93" t="str">
        <f t="shared" si="24"/>
        <v>&lt;Valeur name="description"&gt;CB 548222 CARREFOUR D 59AULNOY L&lt;/Valeur&gt;</v>
      </c>
      <c r="AE93" t="str">
        <f t="shared" si="25"/>
        <v>&lt;Valeur name="valeur"&gt;72.24&lt;/Valeur&gt;</v>
      </c>
      <c r="AF93" t="str">
        <f t="shared" si="26"/>
        <v>&lt;Valeur name="compta"&gt;1&lt;/Valeur&gt;</v>
      </c>
      <c r="AG93" t="str">
        <f t="shared" si="27"/>
        <v>&lt;Valeur name="tvapct"&gt;20&lt;/Valeur&gt;</v>
      </c>
      <c r="AH93" t="str">
        <f t="shared" si="28"/>
        <v>&lt;Valeur name="tva"&gt;12.04&lt;/Valeur&gt;</v>
      </c>
      <c r="AL93" t="str">
        <f t="shared" si="29"/>
        <v>&lt;Insert&gt;&lt;Valeur name="no"&gt;92&lt;/Valeur&gt;&lt;Valeur name="ecriturebanque"&gt;85&lt;/Valeur&gt;&lt;Valeur name="datevaleur"&gt;2019/03/04&lt;/Valeur&gt;&lt;Valeur name="compte"&gt;13&lt;/Valeur&gt;&lt;Valeur name="description"&gt;CB 548222 CARREFOUR D 59AULNOY L&lt;/Valeur&gt;&lt;Valeur name="valeur"&gt;72.24&lt;/Valeur&gt;&lt;Valeur name="compta"&gt;1&lt;/Valeur&gt;&lt;Valeur name="tvapct"&gt;20&lt;/Valeur&gt;&lt;Valeur name="tva"&gt;12.04&lt;/Valeur&gt;&lt;/Insert&gt;</v>
      </c>
    </row>
    <row r="94" spans="1:38" x14ac:dyDescent="0.25">
      <c r="A94">
        <v>86</v>
      </c>
      <c r="B94">
        <f>IF(A94&lt;&gt;"",VLOOKUP(A94,Banque!B:D,3,FALSE),1)</f>
        <v>1</v>
      </c>
      <c r="C94" s="1">
        <v>43528</v>
      </c>
      <c r="D94" t="s">
        <v>254</v>
      </c>
      <c r="E94" t="s">
        <v>33</v>
      </c>
      <c r="G94" s="10">
        <v>21</v>
      </c>
      <c r="I94" s="11">
        <f t="shared" si="15"/>
        <v>3.5</v>
      </c>
      <c r="K94">
        <v>93</v>
      </c>
      <c r="L94">
        <v>86</v>
      </c>
      <c r="M94" s="16" t="s">
        <v>959</v>
      </c>
      <c r="N94">
        <f>IFERROR(VLOOKUP(D94,tab!A:B,2,FALSE),1)</f>
        <v>27</v>
      </c>
      <c r="O94" t="str">
        <f t="shared" si="16"/>
        <v>CB 454106 PIZZA NONNA 59VILLENEU</v>
      </c>
      <c r="P94" s="14">
        <f t="shared" si="17"/>
        <v>21</v>
      </c>
      <c r="Q94" s="14">
        <f t="shared" si="18"/>
        <v>1</v>
      </c>
      <c r="R94" s="14">
        <v>20</v>
      </c>
      <c r="S94" s="14">
        <f t="shared" si="19"/>
        <v>3.5</v>
      </c>
      <c r="Z94" t="str">
        <f t="shared" si="20"/>
        <v>&lt;Valeur name="no"&gt;93&lt;/Valeur&gt;</v>
      </c>
      <c r="AA94" t="str">
        <f t="shared" si="21"/>
        <v>&lt;Valeur name="ecriturebanque"&gt;86&lt;/Valeur&gt;</v>
      </c>
      <c r="AB94" t="str">
        <f t="shared" si="22"/>
        <v>&lt;Valeur name="datevaleur"&gt;2019/03/04&lt;/Valeur&gt;</v>
      </c>
      <c r="AC94" t="str">
        <f t="shared" si="23"/>
        <v>&lt;Valeur name="compte"&gt;27&lt;/Valeur&gt;</v>
      </c>
      <c r="AD94" t="str">
        <f t="shared" si="24"/>
        <v>&lt;Valeur name="description"&gt;CB 454106 PIZZA NONNA 59VILLENEU&lt;/Valeur&gt;</v>
      </c>
      <c r="AE94" t="str">
        <f t="shared" si="25"/>
        <v>&lt;Valeur name="valeur"&gt;21&lt;/Valeur&gt;</v>
      </c>
      <c r="AF94" t="str">
        <f t="shared" si="26"/>
        <v>&lt;Valeur name="compta"&gt;1&lt;/Valeur&gt;</v>
      </c>
      <c r="AG94" t="str">
        <f t="shared" si="27"/>
        <v>&lt;Valeur name="tvapct"&gt;20&lt;/Valeur&gt;</v>
      </c>
      <c r="AH94" t="str">
        <f t="shared" si="28"/>
        <v>&lt;Valeur name="tva"&gt;3.5&lt;/Valeur&gt;</v>
      </c>
      <c r="AL94" t="str">
        <f t="shared" si="29"/>
        <v>&lt;Insert&gt;&lt;Valeur name="no"&gt;93&lt;/Valeur&gt;&lt;Valeur name="ecriturebanque"&gt;86&lt;/Valeur&gt;&lt;Valeur name="datevaleur"&gt;2019/03/04&lt;/Valeur&gt;&lt;Valeur name="compte"&gt;27&lt;/Valeur&gt;&lt;Valeur name="description"&gt;CB 454106 PIZZA NONNA 59VILLENEU&lt;/Valeur&gt;&lt;Valeur name="valeur"&gt;21&lt;/Valeur&gt;&lt;Valeur name="compta"&gt;1&lt;/Valeur&gt;&lt;Valeur name="tvapct"&gt;20&lt;/Valeur&gt;&lt;Valeur name="tva"&gt;3.5&lt;/Valeur&gt;&lt;/Insert&gt;</v>
      </c>
    </row>
    <row r="95" spans="1:38" x14ac:dyDescent="0.25">
      <c r="A95">
        <v>87</v>
      </c>
      <c r="B95">
        <f>IF(A95&lt;&gt;"",VLOOKUP(A95,Banque!B:D,3,FALSE),1)</f>
        <v>1</v>
      </c>
      <c r="C95" s="1">
        <v>43528</v>
      </c>
      <c r="D95" t="s">
        <v>287</v>
      </c>
      <c r="E95" t="s">
        <v>153</v>
      </c>
      <c r="F95" t="s">
        <v>154</v>
      </c>
      <c r="H95" s="10">
        <v>1063.33</v>
      </c>
      <c r="I95" s="11">
        <f t="shared" si="15"/>
        <v>-177.22166666666658</v>
      </c>
      <c r="K95">
        <v>94</v>
      </c>
      <c r="L95">
        <v>87</v>
      </c>
      <c r="M95" s="16" t="s">
        <v>959</v>
      </c>
      <c r="N95">
        <f>IFERROR(VLOOKUP(D95,tab!A:B,2,FALSE),1)</f>
        <v>132</v>
      </c>
      <c r="O95" t="str">
        <f t="shared" si="16"/>
        <v>VIR DRFIP ILE DE FRANCE ET D / 087013713 TPEJ TPE-JA04068122740</v>
      </c>
      <c r="P95" s="14">
        <f t="shared" si="17"/>
        <v>1063.33</v>
      </c>
      <c r="Q95" s="14">
        <f t="shared" si="18"/>
        <v>1</v>
      </c>
      <c r="R95" s="14">
        <v>20</v>
      </c>
      <c r="S95" s="14">
        <f t="shared" si="19"/>
        <v>-177.22166666666658</v>
      </c>
      <c r="Z95" t="str">
        <f t="shared" si="20"/>
        <v>&lt;Valeur name="no"&gt;94&lt;/Valeur&gt;</v>
      </c>
      <c r="AA95" t="str">
        <f t="shared" si="21"/>
        <v>&lt;Valeur name="ecriturebanque"&gt;87&lt;/Valeur&gt;</v>
      </c>
      <c r="AB95" t="str">
        <f t="shared" si="22"/>
        <v>&lt;Valeur name="datevaleur"&gt;2019/03/04&lt;/Valeur&gt;</v>
      </c>
      <c r="AC95" t="str">
        <f t="shared" si="23"/>
        <v>&lt;Valeur name="compte"&gt;132&lt;/Valeur&gt;</v>
      </c>
      <c r="AD95" t="str">
        <f t="shared" si="24"/>
        <v>&lt;Valeur name="description"&gt;VIR DRFIP ILE DE FRANCE ET D / 087013713 TPEJ TPE-JA04068122740&lt;/Valeur&gt;</v>
      </c>
      <c r="AE95" t="str">
        <f t="shared" si="25"/>
        <v>&lt;Valeur name="valeur"&gt;1063.33&lt;/Valeur&gt;</v>
      </c>
      <c r="AF95" t="str">
        <f t="shared" si="26"/>
        <v>&lt;Valeur name="compta"&gt;1&lt;/Valeur&gt;</v>
      </c>
      <c r="AG95" t="str">
        <f t="shared" si="27"/>
        <v>&lt;Valeur name="tvapct"&gt;20&lt;/Valeur&gt;</v>
      </c>
      <c r="AH95" t="str">
        <f t="shared" si="28"/>
        <v>&lt;Valeur name="tva"&gt;-177.221666666667&lt;/Valeur&gt;</v>
      </c>
      <c r="AL95" t="str">
        <f t="shared" si="29"/>
        <v>&lt;Insert&gt;&lt;Valeur name="no"&gt;94&lt;/Valeur&gt;&lt;Valeur name="ecriturebanque"&gt;87&lt;/Valeur&gt;&lt;Valeur name="datevaleur"&gt;2019/03/04&lt;/Valeur&gt;&lt;Valeur name="compte"&gt;132&lt;/Valeur&gt;&lt;Valeur name="description"&gt;VIR DRFIP ILE DE FRANCE ET D / 087013713 TPEJ TPE-JA04068122740&lt;/Valeur&gt;&lt;Valeur name="valeur"&gt;1063.33&lt;/Valeur&gt;&lt;Valeur name="compta"&gt;1&lt;/Valeur&gt;&lt;Valeur name="tvapct"&gt;20&lt;/Valeur&gt;&lt;Valeur name="tva"&gt;-177.221666666667&lt;/Valeur&gt;&lt;/Insert&gt;</v>
      </c>
    </row>
    <row r="96" spans="1:38" x14ac:dyDescent="0.25">
      <c r="A96">
        <v>88</v>
      </c>
      <c r="B96">
        <f>IF(A96&lt;&gt;"",VLOOKUP(A96,Banque!B:D,3,FALSE),1)</f>
        <v>1</v>
      </c>
      <c r="C96" s="1">
        <v>43528</v>
      </c>
      <c r="D96" t="s">
        <v>257</v>
      </c>
      <c r="E96" t="s">
        <v>146</v>
      </c>
      <c r="G96" s="10">
        <v>174.6</v>
      </c>
      <c r="I96" s="11">
        <f t="shared" si="15"/>
        <v>29.099999999999994</v>
      </c>
      <c r="K96">
        <v>95</v>
      </c>
      <c r="L96">
        <v>88</v>
      </c>
      <c r="M96" s="16" t="s">
        <v>959</v>
      </c>
      <c r="N96">
        <f>IFERROR(VLOOKUP(D96,tab!A:B,2,FALSE),1)</f>
        <v>18</v>
      </c>
      <c r="O96" t="str">
        <f t="shared" si="16"/>
        <v>COMMISSION D'INTERVENTION</v>
      </c>
      <c r="P96" s="14">
        <f t="shared" si="17"/>
        <v>174.6</v>
      </c>
      <c r="Q96" s="14">
        <f t="shared" si="18"/>
        <v>1</v>
      </c>
      <c r="R96" s="14">
        <v>20</v>
      </c>
      <c r="S96" s="14">
        <f t="shared" si="19"/>
        <v>29.099999999999994</v>
      </c>
      <c r="Z96" t="str">
        <f t="shared" si="20"/>
        <v>&lt;Valeur name="no"&gt;95&lt;/Valeur&gt;</v>
      </c>
      <c r="AA96" t="str">
        <f t="shared" si="21"/>
        <v>&lt;Valeur name="ecriturebanque"&gt;88&lt;/Valeur&gt;</v>
      </c>
      <c r="AB96" t="str">
        <f t="shared" si="22"/>
        <v>&lt;Valeur name="datevaleur"&gt;2019/03/04&lt;/Valeur&gt;</v>
      </c>
      <c r="AC96" t="str">
        <f t="shared" si="23"/>
        <v>&lt;Valeur name="compte"&gt;18&lt;/Valeur&gt;</v>
      </c>
      <c r="AD96" t="str">
        <f t="shared" si="24"/>
        <v>&lt;Valeur name="description"&gt;COMMISSION D'INTERVENTION&lt;/Valeur&gt;</v>
      </c>
      <c r="AE96" t="str">
        <f t="shared" si="25"/>
        <v>&lt;Valeur name="valeur"&gt;174.6&lt;/Valeur&gt;</v>
      </c>
      <c r="AF96" t="str">
        <f t="shared" si="26"/>
        <v>&lt;Valeur name="compta"&gt;1&lt;/Valeur&gt;</v>
      </c>
      <c r="AG96" t="str">
        <f t="shared" si="27"/>
        <v>&lt;Valeur name="tvapct"&gt;20&lt;/Valeur&gt;</v>
      </c>
      <c r="AH96" t="str">
        <f t="shared" si="28"/>
        <v>&lt;Valeur name="tva"&gt;29.1&lt;/Valeur&gt;</v>
      </c>
      <c r="AL96" t="str">
        <f t="shared" si="29"/>
        <v>&lt;Insert&gt;&lt;Valeur name="no"&gt;95&lt;/Valeur&gt;&lt;Valeur name="ecriturebanque"&gt;88&lt;/Valeur&gt;&lt;Valeur name="datevaleur"&gt;2019/03/04&lt;/Valeur&gt;&lt;Valeur name="compte"&gt;18&lt;/Valeur&gt;&lt;Valeur name="description"&gt;COMMISSION D'INTERVENTION&lt;/Valeur&gt;&lt;Valeur name="valeur"&gt;174.6&lt;/Valeur&gt;&lt;Valeur name="compta"&gt;1&lt;/Valeur&gt;&lt;Valeur name="tvapct"&gt;20&lt;/Valeur&gt;&lt;Valeur name="tva"&gt;29.1&lt;/Valeur&gt;&lt;/Insert&gt;</v>
      </c>
    </row>
    <row r="97" spans="1:38" x14ac:dyDescent="0.25">
      <c r="A97">
        <v>89</v>
      </c>
      <c r="B97">
        <f>IF(A97&lt;&gt;"",VLOOKUP(A97,Banque!B:D,3,FALSE),1)</f>
        <v>1</v>
      </c>
      <c r="C97" s="1">
        <v>43529</v>
      </c>
      <c r="D97" t="s">
        <v>253</v>
      </c>
      <c r="E97" t="s">
        <v>142</v>
      </c>
      <c r="G97" s="10">
        <v>74.150000000000006</v>
      </c>
      <c r="I97" s="11">
        <f t="shared" si="15"/>
        <v>12.358333333333334</v>
      </c>
      <c r="K97">
        <v>96</v>
      </c>
      <c r="L97">
        <v>89</v>
      </c>
      <c r="M97" s="16" t="s">
        <v>890</v>
      </c>
      <c r="N97">
        <f>IFERROR(VLOOKUP(D97,tab!A:B,2,FALSE),1)</f>
        <v>13</v>
      </c>
      <c r="O97" t="str">
        <f t="shared" si="16"/>
        <v>CB 454106 DAC SM MATC 59BAVAY</v>
      </c>
      <c r="P97" s="14">
        <f t="shared" si="17"/>
        <v>74.150000000000006</v>
      </c>
      <c r="Q97" s="14">
        <f t="shared" si="18"/>
        <v>1</v>
      </c>
      <c r="R97" s="14">
        <v>20</v>
      </c>
      <c r="S97" s="14">
        <f t="shared" si="19"/>
        <v>12.358333333333334</v>
      </c>
      <c r="Z97" t="str">
        <f t="shared" si="20"/>
        <v>&lt;Valeur name="no"&gt;96&lt;/Valeur&gt;</v>
      </c>
      <c r="AA97" t="str">
        <f t="shared" si="21"/>
        <v>&lt;Valeur name="ecriturebanque"&gt;89&lt;/Valeur&gt;</v>
      </c>
      <c r="AB97" t="str">
        <f t="shared" si="22"/>
        <v>&lt;Valeur name="datevaleur"&gt;2019/03/05&lt;/Valeur&gt;</v>
      </c>
      <c r="AC97" t="str">
        <f t="shared" si="23"/>
        <v>&lt;Valeur name="compte"&gt;13&lt;/Valeur&gt;</v>
      </c>
      <c r="AD97" t="str">
        <f t="shared" si="24"/>
        <v>&lt;Valeur name="description"&gt;CB 454106 DAC SM MATC 59BAVAY&lt;/Valeur&gt;</v>
      </c>
      <c r="AE97" t="str">
        <f t="shared" si="25"/>
        <v>&lt;Valeur name="valeur"&gt;74.15&lt;/Valeur&gt;</v>
      </c>
      <c r="AF97" t="str">
        <f t="shared" si="26"/>
        <v>&lt;Valeur name="compta"&gt;1&lt;/Valeur&gt;</v>
      </c>
      <c r="AG97" t="str">
        <f t="shared" si="27"/>
        <v>&lt;Valeur name="tvapct"&gt;20&lt;/Valeur&gt;</v>
      </c>
      <c r="AH97" t="str">
        <f t="shared" si="28"/>
        <v>&lt;Valeur name="tva"&gt;12.3583333333333&lt;/Valeur&gt;</v>
      </c>
      <c r="AL97" t="str">
        <f t="shared" si="29"/>
        <v>&lt;Insert&gt;&lt;Valeur name="no"&gt;96&lt;/Valeur&gt;&lt;Valeur name="ecriturebanque"&gt;89&lt;/Valeur&gt;&lt;Valeur name="datevaleur"&gt;2019/03/05&lt;/Valeur&gt;&lt;Valeur name="compte"&gt;13&lt;/Valeur&gt;&lt;Valeur name="description"&gt;CB 454106 DAC SM MATC 59BAVAY&lt;/Valeur&gt;&lt;Valeur name="valeur"&gt;74.15&lt;/Valeur&gt;&lt;Valeur name="compta"&gt;1&lt;/Valeur&gt;&lt;Valeur name="tvapct"&gt;20&lt;/Valeur&gt;&lt;Valeur name="tva"&gt;12.3583333333333&lt;/Valeur&gt;&lt;/Insert&gt;</v>
      </c>
    </row>
    <row r="98" spans="1:38" x14ac:dyDescent="0.25">
      <c r="A98">
        <v>90</v>
      </c>
      <c r="B98">
        <f>IF(A98&lt;&gt;"",VLOOKUP(A98,Banque!B:D,3,FALSE),1)</f>
        <v>0</v>
      </c>
      <c r="C98" s="1">
        <v>43529</v>
      </c>
      <c r="D98" t="s">
        <v>427</v>
      </c>
      <c r="E98" t="s">
        <v>144</v>
      </c>
      <c r="H98" s="10">
        <v>720</v>
      </c>
      <c r="I98" s="11">
        <f t="shared" si="15"/>
        <v>-120</v>
      </c>
      <c r="K98">
        <v>97</v>
      </c>
      <c r="L98">
        <v>90</v>
      </c>
      <c r="M98" s="16" t="s">
        <v>890</v>
      </c>
      <c r="N98">
        <f>IFERROR(VLOOKUP(D98,tab!A:B,2,FALSE),1)</f>
        <v>2</v>
      </c>
      <c r="O98" t="str">
        <f t="shared" si="16"/>
        <v>REMISE CHEQUES</v>
      </c>
      <c r="P98" s="14">
        <f t="shared" si="17"/>
        <v>720</v>
      </c>
      <c r="Q98" s="14">
        <f t="shared" si="18"/>
        <v>0</v>
      </c>
      <c r="R98" s="14">
        <v>20</v>
      </c>
      <c r="S98" s="14">
        <f t="shared" si="19"/>
        <v>-120</v>
      </c>
      <c r="Z98" t="str">
        <f t="shared" si="20"/>
        <v>&lt;Valeur name="no"&gt;97&lt;/Valeur&gt;</v>
      </c>
      <c r="AA98" t="str">
        <f t="shared" si="21"/>
        <v>&lt;Valeur name="ecriturebanque"&gt;90&lt;/Valeur&gt;</v>
      </c>
      <c r="AB98" t="str">
        <f t="shared" si="22"/>
        <v>&lt;Valeur name="datevaleur"&gt;2019/03/05&lt;/Valeur&gt;</v>
      </c>
      <c r="AC98" t="str">
        <f t="shared" si="23"/>
        <v>&lt;Valeur name="compte"&gt;2&lt;/Valeur&gt;</v>
      </c>
      <c r="AD98" t="str">
        <f t="shared" si="24"/>
        <v>&lt;Valeur name="description"&gt;REMISE CHEQUES&lt;/Valeur&gt;</v>
      </c>
      <c r="AE98" t="str">
        <f t="shared" si="25"/>
        <v>&lt;Valeur name="valeur"&gt;720&lt;/Valeur&gt;</v>
      </c>
      <c r="AF98" t="str">
        <f t="shared" si="26"/>
        <v>&lt;Valeur name="compta"&gt;0&lt;/Valeur&gt;</v>
      </c>
      <c r="AG98" t="str">
        <f t="shared" si="27"/>
        <v>&lt;Valeur name="tvapct"&gt;20&lt;/Valeur&gt;</v>
      </c>
      <c r="AH98" t="str">
        <f t="shared" si="28"/>
        <v>&lt;Valeur name="tva"&gt;-120&lt;/Valeur&gt;</v>
      </c>
      <c r="AL98" t="str">
        <f t="shared" si="29"/>
        <v>&lt;Insert&gt;&lt;Valeur name="no"&gt;97&lt;/Valeur&gt;&lt;Valeur name="ecriturebanque"&gt;90&lt;/Valeur&gt;&lt;Valeur name="datevaleur"&gt;2019/03/05&lt;/Valeur&gt;&lt;Valeur name="compte"&gt;2&lt;/Valeur&gt;&lt;Valeur name="description"&gt;REMISE CHEQUES&lt;/Valeur&gt;&lt;Valeur name="valeur"&gt;720&lt;/Valeur&gt;&lt;Valeur name="compta"&gt;0&lt;/Valeur&gt;&lt;Valeur name="tvapct"&gt;20&lt;/Valeur&gt;&lt;Valeur name="tva"&gt;-120&lt;/Valeur&gt;&lt;/Insert&gt;</v>
      </c>
    </row>
    <row r="99" spans="1:38" x14ac:dyDescent="0.25">
      <c r="A99">
        <v>91</v>
      </c>
      <c r="B99">
        <f>IF(A99&lt;&gt;"",VLOOKUP(A99,Banque!B:D,3,FALSE),1)</f>
        <v>1</v>
      </c>
      <c r="C99" s="1">
        <v>43530</v>
      </c>
      <c r="D99" t="s">
        <v>254</v>
      </c>
      <c r="E99" t="s">
        <v>33</v>
      </c>
      <c r="G99" s="10">
        <v>23</v>
      </c>
      <c r="I99" s="11">
        <f t="shared" si="15"/>
        <v>3.8333333333333321</v>
      </c>
      <c r="K99">
        <v>98</v>
      </c>
      <c r="L99">
        <v>91</v>
      </c>
      <c r="M99" s="16" t="s">
        <v>960</v>
      </c>
      <c r="N99">
        <f>IFERROR(VLOOKUP(D99,tab!A:B,2,FALSE),1)</f>
        <v>27</v>
      </c>
      <c r="O99" t="str">
        <f t="shared" si="16"/>
        <v>CB 454106 PIZZA NONNA 59VILLENEU</v>
      </c>
      <c r="P99" s="14">
        <f t="shared" si="17"/>
        <v>23</v>
      </c>
      <c r="Q99" s="14">
        <f t="shared" si="18"/>
        <v>1</v>
      </c>
      <c r="R99" s="14">
        <v>20</v>
      </c>
      <c r="S99" s="14">
        <f t="shared" si="19"/>
        <v>3.8333333333333321</v>
      </c>
      <c r="Z99" t="str">
        <f t="shared" si="20"/>
        <v>&lt;Valeur name="no"&gt;98&lt;/Valeur&gt;</v>
      </c>
      <c r="AA99" t="str">
        <f t="shared" si="21"/>
        <v>&lt;Valeur name="ecriturebanque"&gt;91&lt;/Valeur&gt;</v>
      </c>
      <c r="AB99" t="str">
        <f t="shared" si="22"/>
        <v>&lt;Valeur name="datevaleur"&gt;2019/03/06&lt;/Valeur&gt;</v>
      </c>
      <c r="AC99" t="str">
        <f t="shared" si="23"/>
        <v>&lt;Valeur name="compte"&gt;27&lt;/Valeur&gt;</v>
      </c>
      <c r="AD99" t="str">
        <f t="shared" si="24"/>
        <v>&lt;Valeur name="description"&gt;CB 454106 PIZZA NONNA 59VILLENEU&lt;/Valeur&gt;</v>
      </c>
      <c r="AE99" t="str">
        <f t="shared" si="25"/>
        <v>&lt;Valeur name="valeur"&gt;23&lt;/Valeur&gt;</v>
      </c>
      <c r="AF99" t="str">
        <f t="shared" si="26"/>
        <v>&lt;Valeur name="compta"&gt;1&lt;/Valeur&gt;</v>
      </c>
      <c r="AG99" t="str">
        <f t="shared" si="27"/>
        <v>&lt;Valeur name="tvapct"&gt;20&lt;/Valeur&gt;</v>
      </c>
      <c r="AH99" t="str">
        <f t="shared" si="28"/>
        <v>&lt;Valeur name="tva"&gt;3.83333333333333&lt;/Valeur&gt;</v>
      </c>
      <c r="AL99" t="str">
        <f t="shared" si="29"/>
        <v>&lt;Insert&gt;&lt;Valeur name="no"&gt;98&lt;/Valeur&gt;&lt;Valeur name="ecriturebanque"&gt;91&lt;/Valeur&gt;&lt;Valeur name="datevaleur"&gt;2019/03/06&lt;/Valeur&gt;&lt;Valeur name="compte"&gt;27&lt;/Valeur&gt;&lt;Valeur name="description"&gt;CB 454106 PIZZA NONNA 59VILLENEU&lt;/Valeur&gt;&lt;Valeur name="valeur"&gt;23&lt;/Valeur&gt;&lt;Valeur name="compta"&gt;1&lt;/Valeur&gt;&lt;Valeur name="tvapct"&gt;20&lt;/Valeur&gt;&lt;Valeur name="tva"&gt;3.83333333333333&lt;/Valeur&gt;&lt;/Insert&gt;</v>
      </c>
    </row>
    <row r="100" spans="1:38" x14ac:dyDescent="0.25">
      <c r="A100">
        <v>92</v>
      </c>
      <c r="B100">
        <f>IF(A100&lt;&gt;"",VLOOKUP(A100,Banque!B:D,3,FALSE),1)</f>
        <v>1</v>
      </c>
      <c r="C100" s="1">
        <v>43530</v>
      </c>
      <c r="D100" t="s">
        <v>372</v>
      </c>
      <c r="E100" t="s">
        <v>136</v>
      </c>
      <c r="G100" s="10">
        <v>3.9</v>
      </c>
      <c r="I100" s="11">
        <f t="shared" si="15"/>
        <v>0.64999999999999991</v>
      </c>
      <c r="K100">
        <v>99</v>
      </c>
      <c r="L100">
        <v>92</v>
      </c>
      <c r="M100" s="16" t="s">
        <v>960</v>
      </c>
      <c r="N100">
        <f>IFERROR(VLOOKUP(D100,tab!A:B,2,FALSE),1)</f>
        <v>21</v>
      </c>
      <c r="O100" t="str">
        <f t="shared" si="16"/>
        <v>CB 454106 SANEF 2602- 60SENLIS</v>
      </c>
      <c r="P100" s="14">
        <f t="shared" si="17"/>
        <v>3.9</v>
      </c>
      <c r="Q100" s="14">
        <f t="shared" si="18"/>
        <v>1</v>
      </c>
      <c r="R100" s="14">
        <v>20</v>
      </c>
      <c r="S100" s="14">
        <f t="shared" si="19"/>
        <v>0.64999999999999991</v>
      </c>
      <c r="Z100" t="str">
        <f t="shared" si="20"/>
        <v>&lt;Valeur name="no"&gt;99&lt;/Valeur&gt;</v>
      </c>
      <c r="AA100" t="str">
        <f t="shared" si="21"/>
        <v>&lt;Valeur name="ecriturebanque"&gt;92&lt;/Valeur&gt;</v>
      </c>
      <c r="AB100" t="str">
        <f t="shared" si="22"/>
        <v>&lt;Valeur name="datevaleur"&gt;2019/03/06&lt;/Valeur&gt;</v>
      </c>
      <c r="AC100" t="str">
        <f t="shared" si="23"/>
        <v>&lt;Valeur name="compte"&gt;21&lt;/Valeur&gt;</v>
      </c>
      <c r="AD100" t="str">
        <f t="shared" si="24"/>
        <v>&lt;Valeur name="description"&gt;CB 454106 SANEF 2602- 60SENLIS&lt;/Valeur&gt;</v>
      </c>
      <c r="AE100" t="str">
        <f t="shared" si="25"/>
        <v>&lt;Valeur name="valeur"&gt;3.9&lt;/Valeur&gt;</v>
      </c>
      <c r="AF100" t="str">
        <f t="shared" si="26"/>
        <v>&lt;Valeur name="compta"&gt;1&lt;/Valeur&gt;</v>
      </c>
      <c r="AG100" t="str">
        <f t="shared" si="27"/>
        <v>&lt;Valeur name="tvapct"&gt;20&lt;/Valeur&gt;</v>
      </c>
      <c r="AH100" t="str">
        <f t="shared" si="28"/>
        <v>&lt;Valeur name="tva"&gt;0.65&lt;/Valeur&gt;</v>
      </c>
      <c r="AL100" t="str">
        <f t="shared" si="29"/>
        <v>&lt;Insert&gt;&lt;Valeur name="no"&gt;99&lt;/Valeur&gt;&lt;Valeur name="ecriturebanque"&gt;92&lt;/Valeur&gt;&lt;Valeur name="datevaleur"&gt;2019/03/06&lt;/Valeur&gt;&lt;Valeur name="compte"&gt;21&lt;/Valeur&gt;&lt;Valeur name="description"&gt;CB 454106 SANEF 2602- 60SENLIS&lt;/Valeur&gt;&lt;Valeur name="valeur"&gt;3.9&lt;/Valeur&gt;&lt;Valeur name="compta"&gt;1&lt;/Valeur&gt;&lt;Valeur name="tvapct"&gt;20&lt;/Valeur&gt;&lt;Valeur name="tva"&gt;0.65&lt;/Valeur&gt;&lt;/Insert&gt;</v>
      </c>
    </row>
    <row r="101" spans="1:38" x14ac:dyDescent="0.25">
      <c r="A101">
        <v>93</v>
      </c>
      <c r="B101">
        <f>IF(A101&lt;&gt;"",VLOOKUP(A101,Banque!B:D,3,FALSE),1)</f>
        <v>1</v>
      </c>
      <c r="C101" s="1">
        <v>43530</v>
      </c>
      <c r="D101" t="s">
        <v>376</v>
      </c>
      <c r="E101" t="s">
        <v>139</v>
      </c>
      <c r="F101" t="s">
        <v>140</v>
      </c>
      <c r="G101" s="10">
        <v>8</v>
      </c>
      <c r="I101" s="11">
        <f t="shared" si="15"/>
        <v>1.333333333333333</v>
      </c>
      <c r="K101">
        <v>100</v>
      </c>
      <c r="L101">
        <v>93</v>
      </c>
      <c r="M101" s="16" t="s">
        <v>960</v>
      </c>
      <c r="N101">
        <f>IFERROR(VLOOKUP(D101,tab!A:B,2,FALSE),1)</f>
        <v>69</v>
      </c>
      <c r="O101" t="str">
        <f t="shared" si="16"/>
        <v>PRLV SEPA Google Ireland Limited / APPS COMMERCE:le-metal.net:GG101</v>
      </c>
      <c r="P101" s="14">
        <f t="shared" si="17"/>
        <v>8</v>
      </c>
      <c r="Q101" s="14">
        <f t="shared" si="18"/>
        <v>1</v>
      </c>
      <c r="R101" s="14">
        <v>20</v>
      </c>
      <c r="S101" s="14">
        <f t="shared" si="19"/>
        <v>1.333333333333333</v>
      </c>
      <c r="Z101" t="str">
        <f t="shared" si="20"/>
        <v>&lt;Valeur name="no"&gt;100&lt;/Valeur&gt;</v>
      </c>
      <c r="AA101" t="str">
        <f t="shared" si="21"/>
        <v>&lt;Valeur name="ecriturebanque"&gt;93&lt;/Valeur&gt;</v>
      </c>
      <c r="AB101" t="str">
        <f t="shared" si="22"/>
        <v>&lt;Valeur name="datevaleur"&gt;2019/03/06&lt;/Valeur&gt;</v>
      </c>
      <c r="AC101" t="str">
        <f t="shared" si="23"/>
        <v>&lt;Valeur name="compte"&gt;69&lt;/Valeur&gt;</v>
      </c>
      <c r="AD101" t="str">
        <f t="shared" si="24"/>
        <v>&lt;Valeur name="description"&gt;PRLV SEPA Google Ireland Limited / APPS COMMERCE:le-metal.net:GG101&lt;/Valeur&gt;</v>
      </c>
      <c r="AE101" t="str">
        <f t="shared" si="25"/>
        <v>&lt;Valeur name="valeur"&gt;8&lt;/Valeur&gt;</v>
      </c>
      <c r="AF101" t="str">
        <f t="shared" si="26"/>
        <v>&lt;Valeur name="compta"&gt;1&lt;/Valeur&gt;</v>
      </c>
      <c r="AG101" t="str">
        <f t="shared" si="27"/>
        <v>&lt;Valeur name="tvapct"&gt;20&lt;/Valeur&gt;</v>
      </c>
      <c r="AH101" t="str">
        <f t="shared" si="28"/>
        <v>&lt;Valeur name="tva"&gt;1.33333333333333&lt;/Valeur&gt;</v>
      </c>
      <c r="AL101" t="str">
        <f t="shared" si="29"/>
        <v>&lt;Insert&gt;&lt;Valeur name="no"&gt;100&lt;/Valeur&gt;&lt;Valeur name="ecriturebanque"&gt;93&lt;/Valeur&gt;&lt;Valeur name="datevaleur"&gt;2019/03/06&lt;/Valeur&gt;&lt;Valeur name="compte"&gt;69&lt;/Valeur&gt;&lt;Valeur name="description"&gt;PRLV SEPA Google Ireland Limited / APPS COMMERCE:le-metal.net:GG101&lt;/Valeur&gt;&lt;Valeur name="valeur"&gt;8&lt;/Valeur&gt;&lt;Valeur name="compta"&gt;1&lt;/Valeur&gt;&lt;Valeur name="tvapct"&gt;20&lt;/Valeur&gt;&lt;Valeur name="tva"&gt;1.33333333333333&lt;/Valeur&gt;&lt;/Insert&gt;</v>
      </c>
    </row>
    <row r="102" spans="1:38" x14ac:dyDescent="0.25">
      <c r="A102">
        <v>94</v>
      </c>
      <c r="B102">
        <f>IF(A102&lt;&gt;"",VLOOKUP(A102,Banque!B:D,3,FALSE),1)</f>
        <v>1</v>
      </c>
      <c r="C102" s="1">
        <v>43531</v>
      </c>
      <c r="D102" t="s">
        <v>373</v>
      </c>
      <c r="E102" t="s">
        <v>132</v>
      </c>
      <c r="G102" s="10">
        <v>48.8</v>
      </c>
      <c r="I102" s="11">
        <f t="shared" si="15"/>
        <v>8.1333333333333329</v>
      </c>
      <c r="K102">
        <v>101</v>
      </c>
      <c r="L102">
        <v>94</v>
      </c>
      <c r="M102" s="16" t="s">
        <v>961</v>
      </c>
      <c r="N102">
        <f>IFERROR(VLOOKUP(D102,tab!A:B,2,FALSE),1)</f>
        <v>38</v>
      </c>
      <c r="O102" t="str">
        <f t="shared" si="16"/>
        <v>CB 548222 BRICO DEPOT 59AULNOY L</v>
      </c>
      <c r="P102" s="14">
        <f t="shared" si="17"/>
        <v>48.8</v>
      </c>
      <c r="Q102" s="14">
        <f t="shared" si="18"/>
        <v>1</v>
      </c>
      <c r="R102" s="14">
        <v>20</v>
      </c>
      <c r="S102" s="14">
        <f t="shared" si="19"/>
        <v>8.1333333333333329</v>
      </c>
      <c r="Z102" t="str">
        <f t="shared" si="20"/>
        <v>&lt;Valeur name="no"&gt;101&lt;/Valeur&gt;</v>
      </c>
      <c r="AA102" t="str">
        <f t="shared" si="21"/>
        <v>&lt;Valeur name="ecriturebanque"&gt;94&lt;/Valeur&gt;</v>
      </c>
      <c r="AB102" t="str">
        <f t="shared" si="22"/>
        <v>&lt;Valeur name="datevaleur"&gt;2019/03/07&lt;/Valeur&gt;</v>
      </c>
      <c r="AC102" t="str">
        <f t="shared" si="23"/>
        <v>&lt;Valeur name="compte"&gt;38&lt;/Valeur&gt;</v>
      </c>
      <c r="AD102" t="str">
        <f t="shared" si="24"/>
        <v>&lt;Valeur name="description"&gt;CB 548222 BRICO DEPOT 59AULNOY L&lt;/Valeur&gt;</v>
      </c>
      <c r="AE102" t="str">
        <f t="shared" si="25"/>
        <v>&lt;Valeur name="valeur"&gt;48.8&lt;/Valeur&gt;</v>
      </c>
      <c r="AF102" t="str">
        <f t="shared" si="26"/>
        <v>&lt;Valeur name="compta"&gt;1&lt;/Valeur&gt;</v>
      </c>
      <c r="AG102" t="str">
        <f t="shared" si="27"/>
        <v>&lt;Valeur name="tvapct"&gt;20&lt;/Valeur&gt;</v>
      </c>
      <c r="AH102" t="str">
        <f t="shared" si="28"/>
        <v>&lt;Valeur name="tva"&gt;8.13333333333333&lt;/Valeur&gt;</v>
      </c>
      <c r="AL102" t="str">
        <f t="shared" si="29"/>
        <v>&lt;Insert&gt;&lt;Valeur name="no"&gt;101&lt;/Valeur&gt;&lt;Valeur name="ecriturebanque"&gt;94&lt;/Valeur&gt;&lt;Valeur name="datevaleur"&gt;2019/03/07&lt;/Valeur&gt;&lt;Valeur name="compte"&gt;38&lt;/Valeur&gt;&lt;Valeur name="description"&gt;CB 548222 BRICO DEPOT 59AULNOY L&lt;/Valeur&gt;&lt;Valeur name="valeur"&gt;48.8&lt;/Valeur&gt;&lt;Valeur name="compta"&gt;1&lt;/Valeur&gt;&lt;Valeur name="tvapct"&gt;20&lt;/Valeur&gt;&lt;Valeur name="tva"&gt;8.13333333333333&lt;/Valeur&gt;&lt;/Insert&gt;</v>
      </c>
    </row>
    <row r="103" spans="1:38" x14ac:dyDescent="0.25">
      <c r="A103">
        <v>95</v>
      </c>
      <c r="B103">
        <f>IF(A103&lt;&gt;"",VLOOKUP(A103,Banque!B:D,3,FALSE),1)</f>
        <v>1</v>
      </c>
      <c r="C103" s="1">
        <v>43531</v>
      </c>
      <c r="D103" t="s">
        <v>377</v>
      </c>
      <c r="E103" t="s">
        <v>130</v>
      </c>
      <c r="G103" s="10">
        <v>12</v>
      </c>
      <c r="I103" s="11">
        <f t="shared" si="15"/>
        <v>2</v>
      </c>
      <c r="K103">
        <v>102</v>
      </c>
      <c r="L103">
        <v>95</v>
      </c>
      <c r="M103" s="16" t="s">
        <v>961</v>
      </c>
      <c r="N103">
        <f>IFERROR(VLOOKUP(D103,tab!A:B,2,FALSE),1)</f>
        <v>100</v>
      </c>
      <c r="O103" t="str">
        <f t="shared" si="16"/>
        <v>CB 548222 REPRO CENTE 59VALENCIE</v>
      </c>
      <c r="P103" s="14">
        <f t="shared" si="17"/>
        <v>12</v>
      </c>
      <c r="Q103" s="14">
        <f t="shared" si="18"/>
        <v>1</v>
      </c>
      <c r="R103" s="14">
        <v>20</v>
      </c>
      <c r="S103" s="14">
        <f t="shared" si="19"/>
        <v>2</v>
      </c>
      <c r="Z103" t="str">
        <f t="shared" si="20"/>
        <v>&lt;Valeur name="no"&gt;102&lt;/Valeur&gt;</v>
      </c>
      <c r="AA103" t="str">
        <f t="shared" si="21"/>
        <v>&lt;Valeur name="ecriturebanque"&gt;95&lt;/Valeur&gt;</v>
      </c>
      <c r="AB103" t="str">
        <f t="shared" si="22"/>
        <v>&lt;Valeur name="datevaleur"&gt;2019/03/07&lt;/Valeur&gt;</v>
      </c>
      <c r="AC103" t="str">
        <f t="shared" si="23"/>
        <v>&lt;Valeur name="compte"&gt;100&lt;/Valeur&gt;</v>
      </c>
      <c r="AD103" t="str">
        <f t="shared" si="24"/>
        <v>&lt;Valeur name="description"&gt;CB 548222 REPRO CENTE 59VALENCIE&lt;/Valeur&gt;</v>
      </c>
      <c r="AE103" t="str">
        <f t="shared" si="25"/>
        <v>&lt;Valeur name="valeur"&gt;12&lt;/Valeur&gt;</v>
      </c>
      <c r="AF103" t="str">
        <f t="shared" si="26"/>
        <v>&lt;Valeur name="compta"&gt;1&lt;/Valeur&gt;</v>
      </c>
      <c r="AG103" t="str">
        <f t="shared" si="27"/>
        <v>&lt;Valeur name="tvapct"&gt;20&lt;/Valeur&gt;</v>
      </c>
      <c r="AH103" t="str">
        <f t="shared" si="28"/>
        <v>&lt;Valeur name="tva"&gt;2&lt;/Valeur&gt;</v>
      </c>
      <c r="AL103" t="str">
        <f t="shared" si="29"/>
        <v>&lt;Insert&gt;&lt;Valeur name="no"&gt;102&lt;/Valeur&gt;&lt;Valeur name="ecriturebanque"&gt;95&lt;/Valeur&gt;&lt;Valeur name="datevaleur"&gt;2019/03/07&lt;/Valeur&gt;&lt;Valeur name="compte"&gt;100&lt;/Valeur&gt;&lt;Valeur name="description"&gt;CB 548222 REPRO CENTE 59VALENCIE&lt;/Valeur&gt;&lt;Valeur name="valeur"&gt;12&lt;/Valeur&gt;&lt;Valeur name="compta"&gt;1&lt;/Valeur&gt;&lt;Valeur name="tvapct"&gt;20&lt;/Valeur&gt;&lt;Valeur name="tva"&gt;2&lt;/Valeur&gt;&lt;/Insert&gt;</v>
      </c>
    </row>
    <row r="104" spans="1:38" x14ac:dyDescent="0.25">
      <c r="A104">
        <v>96</v>
      </c>
      <c r="B104">
        <f>IF(A104&lt;&gt;"",VLOOKUP(A104,Banque!B:D,3,FALSE),1)</f>
        <v>1</v>
      </c>
      <c r="C104" s="1">
        <v>43531</v>
      </c>
      <c r="D104" t="s">
        <v>254</v>
      </c>
      <c r="E104" t="s">
        <v>128</v>
      </c>
      <c r="G104" s="10">
        <v>11.2</v>
      </c>
      <c r="I104" s="11">
        <f t="shared" si="15"/>
        <v>1.8666666666666654</v>
      </c>
      <c r="K104">
        <v>103</v>
      </c>
      <c r="L104">
        <v>96</v>
      </c>
      <c r="M104" s="16" t="s">
        <v>961</v>
      </c>
      <c r="N104">
        <f>IFERROR(VLOOKUP(D104,tab!A:B,2,FALSE),1)</f>
        <v>27</v>
      </c>
      <c r="O104" t="str">
        <f t="shared" si="16"/>
        <v>CB 454106 L'AZIZA     59VILLENEU</v>
      </c>
      <c r="P104" s="14">
        <f t="shared" si="17"/>
        <v>11.2</v>
      </c>
      <c r="Q104" s="14">
        <f t="shared" si="18"/>
        <v>1</v>
      </c>
      <c r="R104" s="14">
        <v>20</v>
      </c>
      <c r="S104" s="14">
        <f t="shared" si="19"/>
        <v>1.8666666666666654</v>
      </c>
      <c r="Z104" t="str">
        <f t="shared" si="20"/>
        <v>&lt;Valeur name="no"&gt;103&lt;/Valeur&gt;</v>
      </c>
      <c r="AA104" t="str">
        <f t="shared" si="21"/>
        <v>&lt;Valeur name="ecriturebanque"&gt;96&lt;/Valeur&gt;</v>
      </c>
      <c r="AB104" t="str">
        <f t="shared" si="22"/>
        <v>&lt;Valeur name="datevaleur"&gt;2019/03/07&lt;/Valeur&gt;</v>
      </c>
      <c r="AC104" t="str">
        <f t="shared" si="23"/>
        <v>&lt;Valeur name="compte"&gt;27&lt;/Valeur&gt;</v>
      </c>
      <c r="AD104" t="str">
        <f t="shared" si="24"/>
        <v>&lt;Valeur name="description"&gt;CB 454106 L'AZIZA     59VILLENEU&lt;/Valeur&gt;</v>
      </c>
      <c r="AE104" t="str">
        <f t="shared" si="25"/>
        <v>&lt;Valeur name="valeur"&gt;11.2&lt;/Valeur&gt;</v>
      </c>
      <c r="AF104" t="str">
        <f t="shared" si="26"/>
        <v>&lt;Valeur name="compta"&gt;1&lt;/Valeur&gt;</v>
      </c>
      <c r="AG104" t="str">
        <f t="shared" si="27"/>
        <v>&lt;Valeur name="tvapct"&gt;20&lt;/Valeur&gt;</v>
      </c>
      <c r="AH104" t="str">
        <f t="shared" si="28"/>
        <v>&lt;Valeur name="tva"&gt;1.86666666666667&lt;/Valeur&gt;</v>
      </c>
      <c r="AL104" t="str">
        <f t="shared" si="29"/>
        <v>&lt;Insert&gt;&lt;Valeur name="no"&gt;103&lt;/Valeur&gt;&lt;Valeur name="ecriturebanque"&gt;96&lt;/Valeur&gt;&lt;Valeur name="datevaleur"&gt;2019/03/07&lt;/Valeur&gt;&lt;Valeur name="compte"&gt;27&lt;/Valeur&gt;&lt;Valeur name="description"&gt;CB 454106 L'AZIZA     59VILLENEU&lt;/Valeur&gt;&lt;Valeur name="valeur"&gt;11.2&lt;/Valeur&gt;&lt;Valeur name="compta"&gt;1&lt;/Valeur&gt;&lt;Valeur name="tvapct"&gt;20&lt;/Valeur&gt;&lt;Valeur name="tva"&gt;1.86666666666667&lt;/Valeur&gt;&lt;/Insert&gt;</v>
      </c>
    </row>
    <row r="105" spans="1:38" x14ac:dyDescent="0.25">
      <c r="A105">
        <v>97</v>
      </c>
      <c r="B105">
        <f>IF(A105&lt;&gt;"",VLOOKUP(A105,Banque!B:D,3,FALSE),1)</f>
        <v>1</v>
      </c>
      <c r="C105" s="1">
        <v>43531</v>
      </c>
      <c r="D105" t="s">
        <v>254</v>
      </c>
      <c r="E105" t="s">
        <v>126</v>
      </c>
      <c r="G105" s="10">
        <v>9.5</v>
      </c>
      <c r="I105" s="11">
        <f t="shared" si="15"/>
        <v>1.583333333333333</v>
      </c>
      <c r="K105">
        <v>104</v>
      </c>
      <c r="L105">
        <v>97</v>
      </c>
      <c r="M105" s="16" t="s">
        <v>961</v>
      </c>
      <c r="N105">
        <f>IFERROR(VLOOKUP(D105,tab!A:B,2,FALSE),1)</f>
        <v>27</v>
      </c>
      <c r="O105" t="str">
        <f t="shared" si="16"/>
        <v>CB 548222 DAVID JOACH 59BAVAY</v>
      </c>
      <c r="P105" s="14">
        <f t="shared" si="17"/>
        <v>9.5</v>
      </c>
      <c r="Q105" s="14">
        <f t="shared" si="18"/>
        <v>1</v>
      </c>
      <c r="R105" s="14">
        <v>20</v>
      </c>
      <c r="S105" s="14">
        <f t="shared" si="19"/>
        <v>1.583333333333333</v>
      </c>
      <c r="Z105" t="str">
        <f t="shared" si="20"/>
        <v>&lt;Valeur name="no"&gt;104&lt;/Valeur&gt;</v>
      </c>
      <c r="AA105" t="str">
        <f t="shared" si="21"/>
        <v>&lt;Valeur name="ecriturebanque"&gt;97&lt;/Valeur&gt;</v>
      </c>
      <c r="AB105" t="str">
        <f t="shared" si="22"/>
        <v>&lt;Valeur name="datevaleur"&gt;2019/03/07&lt;/Valeur&gt;</v>
      </c>
      <c r="AC105" t="str">
        <f t="shared" si="23"/>
        <v>&lt;Valeur name="compte"&gt;27&lt;/Valeur&gt;</v>
      </c>
      <c r="AD105" t="str">
        <f t="shared" si="24"/>
        <v>&lt;Valeur name="description"&gt;CB 548222 DAVID JOACH 59BAVAY&lt;/Valeur&gt;</v>
      </c>
      <c r="AE105" t="str">
        <f t="shared" si="25"/>
        <v>&lt;Valeur name="valeur"&gt;9.5&lt;/Valeur&gt;</v>
      </c>
      <c r="AF105" t="str">
        <f t="shared" si="26"/>
        <v>&lt;Valeur name="compta"&gt;1&lt;/Valeur&gt;</v>
      </c>
      <c r="AG105" t="str">
        <f t="shared" si="27"/>
        <v>&lt;Valeur name="tvapct"&gt;20&lt;/Valeur&gt;</v>
      </c>
      <c r="AH105" t="str">
        <f t="shared" si="28"/>
        <v>&lt;Valeur name="tva"&gt;1.58333333333333&lt;/Valeur&gt;</v>
      </c>
      <c r="AL105" t="str">
        <f t="shared" si="29"/>
        <v>&lt;Insert&gt;&lt;Valeur name="no"&gt;104&lt;/Valeur&gt;&lt;Valeur name="ecriturebanque"&gt;97&lt;/Valeur&gt;&lt;Valeur name="datevaleur"&gt;2019/03/07&lt;/Valeur&gt;&lt;Valeur name="compte"&gt;27&lt;/Valeur&gt;&lt;Valeur name="description"&gt;CB 548222 DAVID JOACH 59BAVAY&lt;/Valeur&gt;&lt;Valeur name="valeur"&gt;9.5&lt;/Valeur&gt;&lt;Valeur name="compta"&gt;1&lt;/Valeur&gt;&lt;Valeur name="tvapct"&gt;20&lt;/Valeur&gt;&lt;Valeur name="tva"&gt;1.58333333333333&lt;/Valeur&gt;&lt;/Insert&gt;</v>
      </c>
    </row>
    <row r="106" spans="1:38" x14ac:dyDescent="0.25">
      <c r="A106">
        <v>98</v>
      </c>
      <c r="B106">
        <f>IF(A106&lt;&gt;"",VLOOKUP(A106,Banque!B:D,3,FALSE),1)</f>
        <v>0</v>
      </c>
      <c r="C106" s="1">
        <v>43531</v>
      </c>
      <c r="D106" t="s">
        <v>379</v>
      </c>
      <c r="E106" t="s">
        <v>65</v>
      </c>
      <c r="F106" t="s">
        <v>134</v>
      </c>
      <c r="H106" s="10">
        <v>28744.53</v>
      </c>
      <c r="I106" s="11">
        <f t="shared" si="15"/>
        <v>-4790.7549999999974</v>
      </c>
      <c r="K106">
        <v>105</v>
      </c>
      <c r="L106">
        <v>98</v>
      </c>
      <c r="M106" s="16" t="s">
        <v>961</v>
      </c>
      <c r="N106">
        <f>IFERROR(VLOOKUP(D106,tab!A:B,2,FALSE),1)</f>
        <v>4</v>
      </c>
      <c r="O106" t="str">
        <f t="shared" si="16"/>
        <v>VIR TRESORERIE ARRAS MUNICIP / FAC. situation 6 DU 25/02/2019PO</v>
      </c>
      <c r="P106" s="14">
        <f t="shared" si="17"/>
        <v>28744.53</v>
      </c>
      <c r="Q106" s="14">
        <f t="shared" si="18"/>
        <v>0</v>
      </c>
      <c r="R106" s="14">
        <v>20</v>
      </c>
      <c r="S106" s="14">
        <f t="shared" si="19"/>
        <v>-4790.7549999999974</v>
      </c>
      <c r="Z106" t="str">
        <f t="shared" si="20"/>
        <v>&lt;Valeur name="no"&gt;105&lt;/Valeur&gt;</v>
      </c>
      <c r="AA106" t="str">
        <f t="shared" si="21"/>
        <v>&lt;Valeur name="ecriturebanque"&gt;98&lt;/Valeur&gt;</v>
      </c>
      <c r="AB106" t="str">
        <f t="shared" si="22"/>
        <v>&lt;Valeur name="datevaleur"&gt;2019/03/07&lt;/Valeur&gt;</v>
      </c>
      <c r="AC106" t="str">
        <f t="shared" si="23"/>
        <v>&lt;Valeur name="compte"&gt;4&lt;/Valeur&gt;</v>
      </c>
      <c r="AD106" t="str">
        <f t="shared" si="24"/>
        <v>&lt;Valeur name="description"&gt;VIR TRESORERIE ARRAS MUNICIP / FAC. situation 6 DU 25/02/2019PO&lt;/Valeur&gt;</v>
      </c>
      <c r="AE106" t="str">
        <f t="shared" si="25"/>
        <v>&lt;Valeur name="valeur"&gt;28744.53&lt;/Valeur&gt;</v>
      </c>
      <c r="AF106" t="str">
        <f t="shared" si="26"/>
        <v>&lt;Valeur name="compta"&gt;0&lt;/Valeur&gt;</v>
      </c>
      <c r="AG106" t="str">
        <f t="shared" si="27"/>
        <v>&lt;Valeur name="tvapct"&gt;20&lt;/Valeur&gt;</v>
      </c>
      <c r="AH106" t="str">
        <f t="shared" si="28"/>
        <v>&lt;Valeur name="tva"&gt;-4790.755&lt;/Valeur&gt;</v>
      </c>
      <c r="AL106" t="str">
        <f t="shared" si="29"/>
        <v>&lt;Insert&gt;&lt;Valeur name="no"&gt;105&lt;/Valeur&gt;&lt;Valeur name="ecriturebanque"&gt;98&lt;/Valeur&gt;&lt;Valeur name="datevaleur"&gt;2019/03/07&lt;/Valeur&gt;&lt;Valeur name="compte"&gt;4&lt;/Valeur&gt;&lt;Valeur name="description"&gt;VIR TRESORERIE ARRAS MUNICIP / FAC. situation 6 DU 25/02/2019PO&lt;/Valeur&gt;&lt;Valeur name="valeur"&gt;28744.53&lt;/Valeur&gt;&lt;Valeur name="compta"&gt;0&lt;/Valeur&gt;&lt;Valeur name="tvapct"&gt;20&lt;/Valeur&gt;&lt;Valeur name="tva"&gt;-4790.755&lt;/Valeur&gt;&lt;/Insert&gt;</v>
      </c>
    </row>
    <row r="107" spans="1:38" x14ac:dyDescent="0.25">
      <c r="A107">
        <v>99</v>
      </c>
      <c r="B107">
        <f>IF(A107&lt;&gt;"",VLOOKUP(A107,Banque!B:D,3,FALSE),1)</f>
        <v>1</v>
      </c>
      <c r="C107" s="1">
        <v>43532</v>
      </c>
      <c r="D107" t="s">
        <v>256</v>
      </c>
      <c r="E107" t="s">
        <v>117</v>
      </c>
      <c r="G107" s="10">
        <v>776.06</v>
      </c>
      <c r="I107" s="11">
        <f t="shared" si="15"/>
        <v>129.34333333333325</v>
      </c>
      <c r="K107">
        <v>106</v>
      </c>
      <c r="L107">
        <v>99</v>
      </c>
      <c r="M107" s="16" t="s">
        <v>962</v>
      </c>
      <c r="N107">
        <f>IFERROR(VLOOKUP(D107,tab!A:B,2,FALSE),1)</f>
        <v>28</v>
      </c>
      <c r="O107" t="str">
        <f t="shared" si="16"/>
        <v>E-VIR SEPA Salaire Alex 01/2019</v>
      </c>
      <c r="P107" s="14">
        <f t="shared" si="17"/>
        <v>776.06</v>
      </c>
      <c r="Q107" s="14">
        <f t="shared" si="18"/>
        <v>1</v>
      </c>
      <c r="R107" s="14">
        <v>20</v>
      </c>
      <c r="S107" s="14">
        <f t="shared" si="19"/>
        <v>129.34333333333325</v>
      </c>
      <c r="Z107" t="str">
        <f t="shared" si="20"/>
        <v>&lt;Valeur name="no"&gt;106&lt;/Valeur&gt;</v>
      </c>
      <c r="AA107" t="str">
        <f t="shared" si="21"/>
        <v>&lt;Valeur name="ecriturebanque"&gt;99&lt;/Valeur&gt;</v>
      </c>
      <c r="AB107" t="str">
        <f t="shared" si="22"/>
        <v>&lt;Valeur name="datevaleur"&gt;2019/03/08&lt;/Valeur&gt;</v>
      </c>
      <c r="AC107" t="str">
        <f t="shared" si="23"/>
        <v>&lt;Valeur name="compte"&gt;28&lt;/Valeur&gt;</v>
      </c>
      <c r="AD107" t="str">
        <f t="shared" si="24"/>
        <v>&lt;Valeur name="description"&gt;E-VIR SEPA Salaire Alex 01/2019&lt;/Valeur&gt;</v>
      </c>
      <c r="AE107" t="str">
        <f t="shared" si="25"/>
        <v>&lt;Valeur name="valeur"&gt;776.06&lt;/Valeur&gt;</v>
      </c>
      <c r="AF107" t="str">
        <f t="shared" si="26"/>
        <v>&lt;Valeur name="compta"&gt;1&lt;/Valeur&gt;</v>
      </c>
      <c r="AG107" t="str">
        <f t="shared" si="27"/>
        <v>&lt;Valeur name="tvapct"&gt;20&lt;/Valeur&gt;</v>
      </c>
      <c r="AH107" t="str">
        <f t="shared" si="28"/>
        <v>&lt;Valeur name="tva"&gt;129.343333333333&lt;/Valeur&gt;</v>
      </c>
      <c r="AL107" t="str">
        <f t="shared" si="29"/>
        <v>&lt;Insert&gt;&lt;Valeur name="no"&gt;106&lt;/Valeur&gt;&lt;Valeur name="ecriturebanque"&gt;99&lt;/Valeur&gt;&lt;Valeur name="datevaleur"&gt;2019/03/08&lt;/Valeur&gt;&lt;Valeur name="compte"&gt;28&lt;/Valeur&gt;&lt;Valeur name="description"&gt;E-VIR SEPA Salaire Alex 01/2019&lt;/Valeur&gt;&lt;Valeur name="valeur"&gt;776.06&lt;/Valeur&gt;&lt;Valeur name="compta"&gt;1&lt;/Valeur&gt;&lt;Valeur name="tvapct"&gt;20&lt;/Valeur&gt;&lt;Valeur name="tva"&gt;129.343333333333&lt;/Valeur&gt;&lt;/Insert&gt;</v>
      </c>
    </row>
    <row r="108" spans="1:38" x14ac:dyDescent="0.25">
      <c r="A108">
        <v>100</v>
      </c>
      <c r="B108">
        <f>IF(A108&lt;&gt;"",VLOOKUP(A108,Banque!B:D,3,FALSE),1)</f>
        <v>0</v>
      </c>
      <c r="C108" s="1">
        <v>43532</v>
      </c>
      <c r="D108" t="s">
        <v>277</v>
      </c>
      <c r="E108" t="s">
        <v>124</v>
      </c>
      <c r="G108" s="10">
        <v>19.82</v>
      </c>
      <c r="I108" s="11">
        <f t="shared" si="15"/>
        <v>3.303333333333331</v>
      </c>
      <c r="K108">
        <v>107</v>
      </c>
      <c r="L108">
        <v>100</v>
      </c>
      <c r="M108" s="16" t="s">
        <v>962</v>
      </c>
      <c r="N108">
        <f>IFERROR(VLOOKUP(D108,tab!A:B,2,FALSE),1)</f>
        <v>62</v>
      </c>
      <c r="O108" t="str">
        <f t="shared" si="16"/>
        <v>RELEVE LCR DU  010319  CONFORME</v>
      </c>
      <c r="P108" s="14">
        <f t="shared" si="17"/>
        <v>19.82</v>
      </c>
      <c r="Q108" s="14">
        <f t="shared" si="18"/>
        <v>0</v>
      </c>
      <c r="R108" s="14">
        <v>20</v>
      </c>
      <c r="S108" s="14">
        <f t="shared" si="19"/>
        <v>3.303333333333331</v>
      </c>
      <c r="Z108" t="str">
        <f t="shared" si="20"/>
        <v>&lt;Valeur name="no"&gt;107&lt;/Valeur&gt;</v>
      </c>
      <c r="AA108" t="str">
        <f t="shared" si="21"/>
        <v>&lt;Valeur name="ecriturebanque"&gt;100&lt;/Valeur&gt;</v>
      </c>
      <c r="AB108" t="str">
        <f t="shared" si="22"/>
        <v>&lt;Valeur name="datevaleur"&gt;2019/03/08&lt;/Valeur&gt;</v>
      </c>
      <c r="AC108" t="str">
        <f t="shared" si="23"/>
        <v>&lt;Valeur name="compte"&gt;62&lt;/Valeur&gt;</v>
      </c>
      <c r="AD108" t="str">
        <f t="shared" si="24"/>
        <v>&lt;Valeur name="description"&gt;RELEVE LCR DU  010319  CONFORME&lt;/Valeur&gt;</v>
      </c>
      <c r="AE108" t="str">
        <f t="shared" si="25"/>
        <v>&lt;Valeur name="valeur"&gt;19.82&lt;/Valeur&gt;</v>
      </c>
      <c r="AF108" t="str">
        <f t="shared" si="26"/>
        <v>&lt;Valeur name="compta"&gt;0&lt;/Valeur&gt;</v>
      </c>
      <c r="AG108" t="str">
        <f t="shared" si="27"/>
        <v>&lt;Valeur name="tvapct"&gt;20&lt;/Valeur&gt;</v>
      </c>
      <c r="AH108" t="str">
        <f t="shared" si="28"/>
        <v>&lt;Valeur name="tva"&gt;3.30333333333333&lt;/Valeur&gt;</v>
      </c>
      <c r="AL108" t="str">
        <f t="shared" si="29"/>
        <v>&lt;Insert&gt;&lt;Valeur name="no"&gt;107&lt;/Valeur&gt;&lt;Valeur name="ecriturebanque"&gt;100&lt;/Valeur&gt;&lt;Valeur name="datevaleur"&gt;2019/03/08&lt;/Valeur&gt;&lt;Valeur name="compte"&gt;62&lt;/Valeur&gt;&lt;Valeur name="description"&gt;RELEVE LCR DU  010319  CONFORME&lt;/Valeur&gt;&lt;Valeur name="valeur"&gt;19.82&lt;/Valeur&gt;&lt;Valeur name="compta"&gt;0&lt;/Valeur&gt;&lt;Valeur name="tvapct"&gt;20&lt;/Valeur&gt;&lt;Valeur name="tva"&gt;3.30333333333333&lt;/Valeur&gt;&lt;/Insert&gt;</v>
      </c>
    </row>
    <row r="109" spans="1:38" x14ac:dyDescent="0.25">
      <c r="A109">
        <v>101</v>
      </c>
      <c r="B109">
        <f>IF(A109&lt;&gt;"",VLOOKUP(A109,Banque!B:D,3,FALSE),1)</f>
        <v>1</v>
      </c>
      <c r="C109" s="1">
        <v>43532</v>
      </c>
      <c r="D109" t="s">
        <v>253</v>
      </c>
      <c r="E109" t="s">
        <v>122</v>
      </c>
      <c r="G109" s="10">
        <v>82.84</v>
      </c>
      <c r="I109" s="11">
        <f t="shared" si="15"/>
        <v>13.806666666666658</v>
      </c>
      <c r="K109">
        <v>108</v>
      </c>
      <c r="L109">
        <v>101</v>
      </c>
      <c r="M109" s="16" t="s">
        <v>962</v>
      </c>
      <c r="N109">
        <f>IFERROR(VLOOKUP(D109,tab!A:B,2,FALSE),1)</f>
        <v>13</v>
      </c>
      <c r="O109" t="str">
        <f t="shared" si="16"/>
        <v>CB 548222 DAC SM MATC 59BAVAY</v>
      </c>
      <c r="P109" s="14">
        <f t="shared" si="17"/>
        <v>82.84</v>
      </c>
      <c r="Q109" s="14">
        <f t="shared" si="18"/>
        <v>1</v>
      </c>
      <c r="R109" s="14">
        <v>20</v>
      </c>
      <c r="S109" s="14">
        <f t="shared" si="19"/>
        <v>13.806666666666658</v>
      </c>
      <c r="Z109" t="str">
        <f t="shared" si="20"/>
        <v>&lt;Valeur name="no"&gt;108&lt;/Valeur&gt;</v>
      </c>
      <c r="AA109" t="str">
        <f t="shared" si="21"/>
        <v>&lt;Valeur name="ecriturebanque"&gt;101&lt;/Valeur&gt;</v>
      </c>
      <c r="AB109" t="str">
        <f t="shared" si="22"/>
        <v>&lt;Valeur name="datevaleur"&gt;2019/03/08&lt;/Valeur&gt;</v>
      </c>
      <c r="AC109" t="str">
        <f t="shared" si="23"/>
        <v>&lt;Valeur name="compte"&gt;13&lt;/Valeur&gt;</v>
      </c>
      <c r="AD109" t="str">
        <f t="shared" si="24"/>
        <v>&lt;Valeur name="description"&gt;CB 548222 DAC SM MATC 59BAVAY&lt;/Valeur&gt;</v>
      </c>
      <c r="AE109" t="str">
        <f t="shared" si="25"/>
        <v>&lt;Valeur name="valeur"&gt;82.84&lt;/Valeur&gt;</v>
      </c>
      <c r="AF109" t="str">
        <f t="shared" si="26"/>
        <v>&lt;Valeur name="compta"&gt;1&lt;/Valeur&gt;</v>
      </c>
      <c r="AG109" t="str">
        <f t="shared" si="27"/>
        <v>&lt;Valeur name="tvapct"&gt;20&lt;/Valeur&gt;</v>
      </c>
      <c r="AH109" t="str">
        <f t="shared" si="28"/>
        <v>&lt;Valeur name="tva"&gt;13.8066666666667&lt;/Valeur&gt;</v>
      </c>
      <c r="AL109" t="str">
        <f t="shared" si="29"/>
        <v>&lt;Insert&gt;&lt;Valeur name="no"&gt;108&lt;/Valeur&gt;&lt;Valeur name="ecriturebanque"&gt;101&lt;/Valeur&gt;&lt;Valeur name="datevaleur"&gt;2019/03/08&lt;/Valeur&gt;&lt;Valeur name="compte"&gt;13&lt;/Valeur&gt;&lt;Valeur name="description"&gt;CB 548222 DAC SM MATC 59BAVAY&lt;/Valeur&gt;&lt;Valeur name="valeur"&gt;82.84&lt;/Valeur&gt;&lt;Valeur name="compta"&gt;1&lt;/Valeur&gt;&lt;Valeur name="tvapct"&gt;20&lt;/Valeur&gt;&lt;Valeur name="tva"&gt;13.8066666666667&lt;/Valeur&gt;&lt;/Insert&gt;</v>
      </c>
    </row>
    <row r="110" spans="1:38" x14ac:dyDescent="0.25">
      <c r="A110">
        <v>102</v>
      </c>
      <c r="B110">
        <f>IF(A110&lt;&gt;"",VLOOKUP(A110,Banque!B:D,3,FALSE),1)</f>
        <v>1</v>
      </c>
      <c r="C110" s="1">
        <v>43532</v>
      </c>
      <c r="D110" t="s">
        <v>254</v>
      </c>
      <c r="E110" t="s">
        <v>119</v>
      </c>
      <c r="G110" s="10">
        <v>26.55</v>
      </c>
      <c r="I110" s="11">
        <f t="shared" si="15"/>
        <v>4.4250000000000007</v>
      </c>
      <c r="K110">
        <v>109</v>
      </c>
      <c r="L110">
        <v>102</v>
      </c>
      <c r="M110" s="16" t="s">
        <v>962</v>
      </c>
      <c r="N110">
        <f>IFERROR(VLOOKUP(D110,tab!A:B,2,FALSE),1)</f>
        <v>27</v>
      </c>
      <c r="O110" t="str">
        <f t="shared" si="16"/>
        <v>CB 548222 SMMATCH MAG 59BAVAY</v>
      </c>
      <c r="P110" s="14">
        <f t="shared" si="17"/>
        <v>26.55</v>
      </c>
      <c r="Q110" s="14">
        <f t="shared" si="18"/>
        <v>1</v>
      </c>
      <c r="R110" s="14">
        <v>20</v>
      </c>
      <c r="S110" s="14">
        <f t="shared" si="19"/>
        <v>4.4250000000000007</v>
      </c>
      <c r="Z110" t="str">
        <f t="shared" si="20"/>
        <v>&lt;Valeur name="no"&gt;109&lt;/Valeur&gt;</v>
      </c>
      <c r="AA110" t="str">
        <f t="shared" si="21"/>
        <v>&lt;Valeur name="ecriturebanque"&gt;102&lt;/Valeur&gt;</v>
      </c>
      <c r="AB110" t="str">
        <f t="shared" si="22"/>
        <v>&lt;Valeur name="datevaleur"&gt;2019/03/08&lt;/Valeur&gt;</v>
      </c>
      <c r="AC110" t="str">
        <f t="shared" si="23"/>
        <v>&lt;Valeur name="compte"&gt;27&lt;/Valeur&gt;</v>
      </c>
      <c r="AD110" t="str">
        <f t="shared" si="24"/>
        <v>&lt;Valeur name="description"&gt;CB 548222 SMMATCH MAG 59BAVAY&lt;/Valeur&gt;</v>
      </c>
      <c r="AE110" t="str">
        <f t="shared" si="25"/>
        <v>&lt;Valeur name="valeur"&gt;26.55&lt;/Valeur&gt;</v>
      </c>
      <c r="AF110" t="str">
        <f t="shared" si="26"/>
        <v>&lt;Valeur name="compta"&gt;1&lt;/Valeur&gt;</v>
      </c>
      <c r="AG110" t="str">
        <f t="shared" si="27"/>
        <v>&lt;Valeur name="tvapct"&gt;20&lt;/Valeur&gt;</v>
      </c>
      <c r="AH110" t="str">
        <f t="shared" si="28"/>
        <v>&lt;Valeur name="tva"&gt;4.425&lt;/Valeur&gt;</v>
      </c>
      <c r="AL110" t="str">
        <f t="shared" si="29"/>
        <v>&lt;Insert&gt;&lt;Valeur name="no"&gt;109&lt;/Valeur&gt;&lt;Valeur name="ecriturebanque"&gt;102&lt;/Valeur&gt;&lt;Valeur name="datevaleur"&gt;2019/03/08&lt;/Valeur&gt;&lt;Valeur name="compte"&gt;27&lt;/Valeur&gt;&lt;Valeur name="description"&gt;CB 548222 SMMATCH MAG 59BAVAY&lt;/Valeur&gt;&lt;Valeur name="valeur"&gt;26.55&lt;/Valeur&gt;&lt;Valeur name="compta"&gt;1&lt;/Valeur&gt;&lt;Valeur name="tvapct"&gt;20&lt;/Valeur&gt;&lt;Valeur name="tva"&gt;4.425&lt;/Valeur&gt;&lt;/Insert&gt;</v>
      </c>
    </row>
    <row r="111" spans="1:38" x14ac:dyDescent="0.25">
      <c r="A111">
        <v>103</v>
      </c>
      <c r="B111">
        <f>IF(A111&lt;&gt;"",VLOOKUP(A111,Banque!B:D,3,FALSE),1)</f>
        <v>1</v>
      </c>
      <c r="C111" s="1">
        <v>43532</v>
      </c>
      <c r="D111" t="s">
        <v>254</v>
      </c>
      <c r="E111" t="s">
        <v>33</v>
      </c>
      <c r="G111" s="10">
        <v>29</v>
      </c>
      <c r="I111" s="11">
        <f t="shared" si="15"/>
        <v>4.8333333333333321</v>
      </c>
      <c r="K111">
        <v>110</v>
      </c>
      <c r="L111">
        <v>103</v>
      </c>
      <c r="M111" s="16" t="s">
        <v>962</v>
      </c>
      <c r="N111">
        <f>IFERROR(VLOOKUP(D111,tab!A:B,2,FALSE),1)</f>
        <v>27</v>
      </c>
      <c r="O111" t="str">
        <f t="shared" si="16"/>
        <v>CB 454106 PIZZA NONNA 59VILLENEU</v>
      </c>
      <c r="P111" s="14">
        <f t="shared" si="17"/>
        <v>29</v>
      </c>
      <c r="Q111" s="14">
        <f t="shared" si="18"/>
        <v>1</v>
      </c>
      <c r="R111" s="14">
        <v>20</v>
      </c>
      <c r="S111" s="14">
        <f t="shared" si="19"/>
        <v>4.8333333333333321</v>
      </c>
      <c r="Z111" t="str">
        <f t="shared" si="20"/>
        <v>&lt;Valeur name="no"&gt;110&lt;/Valeur&gt;</v>
      </c>
      <c r="AA111" t="str">
        <f t="shared" si="21"/>
        <v>&lt;Valeur name="ecriturebanque"&gt;103&lt;/Valeur&gt;</v>
      </c>
      <c r="AB111" t="str">
        <f t="shared" si="22"/>
        <v>&lt;Valeur name="datevaleur"&gt;2019/03/08&lt;/Valeur&gt;</v>
      </c>
      <c r="AC111" t="str">
        <f t="shared" si="23"/>
        <v>&lt;Valeur name="compte"&gt;27&lt;/Valeur&gt;</v>
      </c>
      <c r="AD111" t="str">
        <f t="shared" si="24"/>
        <v>&lt;Valeur name="description"&gt;CB 454106 PIZZA NONNA 59VILLENEU&lt;/Valeur&gt;</v>
      </c>
      <c r="AE111" t="str">
        <f t="shared" si="25"/>
        <v>&lt;Valeur name="valeur"&gt;29&lt;/Valeur&gt;</v>
      </c>
      <c r="AF111" t="str">
        <f t="shared" si="26"/>
        <v>&lt;Valeur name="compta"&gt;1&lt;/Valeur&gt;</v>
      </c>
      <c r="AG111" t="str">
        <f t="shared" si="27"/>
        <v>&lt;Valeur name="tvapct"&gt;20&lt;/Valeur&gt;</v>
      </c>
      <c r="AH111" t="str">
        <f t="shared" si="28"/>
        <v>&lt;Valeur name="tva"&gt;4.83333333333333&lt;/Valeur&gt;</v>
      </c>
      <c r="AL111" t="str">
        <f t="shared" si="29"/>
        <v>&lt;Insert&gt;&lt;Valeur name="no"&gt;110&lt;/Valeur&gt;&lt;Valeur name="ecriturebanque"&gt;103&lt;/Valeur&gt;&lt;Valeur name="datevaleur"&gt;2019/03/08&lt;/Valeur&gt;&lt;Valeur name="compte"&gt;27&lt;/Valeur&gt;&lt;Valeur name="description"&gt;CB 454106 PIZZA NONNA 59VILLENEU&lt;/Valeur&gt;&lt;Valeur name="valeur"&gt;29&lt;/Valeur&gt;&lt;Valeur name="compta"&gt;1&lt;/Valeur&gt;&lt;Valeur name="tvapct"&gt;20&lt;/Valeur&gt;&lt;Valeur name="tva"&gt;4.83333333333333&lt;/Valeur&gt;&lt;/Insert&gt;</v>
      </c>
    </row>
    <row r="112" spans="1:38" x14ac:dyDescent="0.25">
      <c r="A112">
        <v>104</v>
      </c>
      <c r="B112">
        <f>IF(A112&lt;&gt;"",VLOOKUP(A112,Banque!B:D,3,FALSE),1)</f>
        <v>0</v>
      </c>
      <c r="C112" s="1">
        <v>43535</v>
      </c>
      <c r="D112" t="s">
        <v>289</v>
      </c>
      <c r="E112" t="s">
        <v>97</v>
      </c>
      <c r="G112" s="10">
        <v>397.5</v>
      </c>
      <c r="I112" s="11">
        <f t="shared" si="15"/>
        <v>66.25</v>
      </c>
      <c r="K112">
        <v>111</v>
      </c>
      <c r="L112">
        <v>104</v>
      </c>
      <c r="M112" s="16" t="s">
        <v>898</v>
      </c>
      <c r="N112">
        <f>IFERROR(VLOOKUP(D112,tab!A:B,2,FALSE),1)</f>
        <v>57</v>
      </c>
      <c r="O112" t="str">
        <f t="shared" si="16"/>
        <v>E-VIR SEPA Dimatex 11/2018</v>
      </c>
      <c r="P112" s="14">
        <f t="shared" si="17"/>
        <v>397.5</v>
      </c>
      <c r="Q112" s="14">
        <f t="shared" si="18"/>
        <v>0</v>
      </c>
      <c r="R112" s="14">
        <v>20</v>
      </c>
      <c r="S112" s="14">
        <f t="shared" si="19"/>
        <v>66.25</v>
      </c>
      <c r="Z112" t="str">
        <f t="shared" si="20"/>
        <v>&lt;Valeur name="no"&gt;111&lt;/Valeur&gt;</v>
      </c>
      <c r="AA112" t="str">
        <f t="shared" si="21"/>
        <v>&lt;Valeur name="ecriturebanque"&gt;104&lt;/Valeur&gt;</v>
      </c>
      <c r="AB112" t="str">
        <f t="shared" si="22"/>
        <v>&lt;Valeur name="datevaleur"&gt;2019/03/11&lt;/Valeur&gt;</v>
      </c>
      <c r="AC112" t="str">
        <f t="shared" si="23"/>
        <v>&lt;Valeur name="compte"&gt;57&lt;/Valeur&gt;</v>
      </c>
      <c r="AD112" t="str">
        <f t="shared" si="24"/>
        <v>&lt;Valeur name="description"&gt;E-VIR SEPA Dimatex 11/2018&lt;/Valeur&gt;</v>
      </c>
      <c r="AE112" t="str">
        <f t="shared" si="25"/>
        <v>&lt;Valeur name="valeur"&gt;397.5&lt;/Valeur&gt;</v>
      </c>
      <c r="AF112" t="str">
        <f t="shared" si="26"/>
        <v>&lt;Valeur name="compta"&gt;0&lt;/Valeur&gt;</v>
      </c>
      <c r="AG112" t="str">
        <f t="shared" si="27"/>
        <v>&lt;Valeur name="tvapct"&gt;20&lt;/Valeur&gt;</v>
      </c>
      <c r="AH112" t="str">
        <f t="shared" si="28"/>
        <v>&lt;Valeur name="tva"&gt;66.25&lt;/Valeur&gt;</v>
      </c>
      <c r="AL112" t="str">
        <f t="shared" si="29"/>
        <v>&lt;Insert&gt;&lt;Valeur name="no"&gt;111&lt;/Valeur&gt;&lt;Valeur name="ecriturebanque"&gt;104&lt;/Valeur&gt;&lt;Valeur name="datevaleur"&gt;2019/03/11&lt;/Valeur&gt;&lt;Valeur name="compte"&gt;57&lt;/Valeur&gt;&lt;Valeur name="description"&gt;E-VIR SEPA Dimatex 11/2018&lt;/Valeur&gt;&lt;Valeur name="valeur"&gt;397.5&lt;/Valeur&gt;&lt;Valeur name="compta"&gt;0&lt;/Valeur&gt;&lt;Valeur name="tvapct"&gt;20&lt;/Valeur&gt;&lt;Valeur name="tva"&gt;66.25&lt;/Valeur&gt;&lt;/Insert&gt;</v>
      </c>
    </row>
    <row r="113" spans="1:38" x14ac:dyDescent="0.25">
      <c r="A113">
        <v>105</v>
      </c>
      <c r="B113">
        <f>IF(A113&lt;&gt;"",VLOOKUP(A113,Banque!B:D,3,FALSE),1)</f>
        <v>0</v>
      </c>
      <c r="C113" s="1">
        <v>43535</v>
      </c>
      <c r="D113" t="s">
        <v>289</v>
      </c>
      <c r="E113" t="s">
        <v>99</v>
      </c>
      <c r="G113" s="10">
        <v>441.72</v>
      </c>
      <c r="I113" s="11">
        <f t="shared" si="15"/>
        <v>73.62</v>
      </c>
      <c r="K113">
        <v>112</v>
      </c>
      <c r="L113">
        <v>105</v>
      </c>
      <c r="M113" s="16" t="s">
        <v>898</v>
      </c>
      <c r="N113">
        <f>IFERROR(VLOOKUP(D113,tab!A:B,2,FALSE),1)</f>
        <v>57</v>
      </c>
      <c r="O113" t="str">
        <f t="shared" si="16"/>
        <v>E-VIR SEPA Dimatex 10/2018</v>
      </c>
      <c r="P113" s="14">
        <f t="shared" si="17"/>
        <v>441.72</v>
      </c>
      <c r="Q113" s="14">
        <f t="shared" si="18"/>
        <v>0</v>
      </c>
      <c r="R113" s="14">
        <v>20</v>
      </c>
      <c r="S113" s="14">
        <f t="shared" si="19"/>
        <v>73.62</v>
      </c>
      <c r="Z113" t="str">
        <f t="shared" si="20"/>
        <v>&lt;Valeur name="no"&gt;112&lt;/Valeur&gt;</v>
      </c>
      <c r="AA113" t="str">
        <f t="shared" si="21"/>
        <v>&lt;Valeur name="ecriturebanque"&gt;105&lt;/Valeur&gt;</v>
      </c>
      <c r="AB113" t="str">
        <f t="shared" si="22"/>
        <v>&lt;Valeur name="datevaleur"&gt;2019/03/11&lt;/Valeur&gt;</v>
      </c>
      <c r="AC113" t="str">
        <f t="shared" si="23"/>
        <v>&lt;Valeur name="compte"&gt;57&lt;/Valeur&gt;</v>
      </c>
      <c r="AD113" t="str">
        <f t="shared" si="24"/>
        <v>&lt;Valeur name="description"&gt;E-VIR SEPA Dimatex 10/2018&lt;/Valeur&gt;</v>
      </c>
      <c r="AE113" t="str">
        <f t="shared" si="25"/>
        <v>&lt;Valeur name="valeur"&gt;441.72&lt;/Valeur&gt;</v>
      </c>
      <c r="AF113" t="str">
        <f t="shared" si="26"/>
        <v>&lt;Valeur name="compta"&gt;0&lt;/Valeur&gt;</v>
      </c>
      <c r="AG113" t="str">
        <f t="shared" si="27"/>
        <v>&lt;Valeur name="tvapct"&gt;20&lt;/Valeur&gt;</v>
      </c>
      <c r="AH113" t="str">
        <f t="shared" si="28"/>
        <v>&lt;Valeur name="tva"&gt;73.62&lt;/Valeur&gt;</v>
      </c>
      <c r="AL113" t="str">
        <f t="shared" si="29"/>
        <v>&lt;Insert&gt;&lt;Valeur name="no"&gt;112&lt;/Valeur&gt;&lt;Valeur name="ecriturebanque"&gt;105&lt;/Valeur&gt;&lt;Valeur name="datevaleur"&gt;2019/03/11&lt;/Valeur&gt;&lt;Valeur name="compte"&gt;57&lt;/Valeur&gt;&lt;Valeur name="description"&gt;E-VIR SEPA Dimatex 10/2018&lt;/Valeur&gt;&lt;Valeur name="valeur"&gt;441.72&lt;/Valeur&gt;&lt;Valeur name="compta"&gt;0&lt;/Valeur&gt;&lt;Valeur name="tvapct"&gt;20&lt;/Valeur&gt;&lt;Valeur name="tva"&gt;73.62&lt;/Valeur&gt;&lt;/Insert&gt;</v>
      </c>
    </row>
    <row r="114" spans="1:38" x14ac:dyDescent="0.25">
      <c r="B114">
        <f>IF(A114&lt;&gt;"",VLOOKUP(A114,Banque!B:D,3,FALSE),1)</f>
        <v>1</v>
      </c>
      <c r="C114" s="1">
        <v>43535</v>
      </c>
      <c r="D114" t="s">
        <v>288</v>
      </c>
      <c r="G114" s="10">
        <v>260.35000000000002</v>
      </c>
      <c r="I114" s="11">
        <f t="shared" si="15"/>
        <v>43.391666666666652</v>
      </c>
      <c r="K114">
        <v>113</v>
      </c>
      <c r="L114">
        <v>106</v>
      </c>
      <c r="M114" s="16" t="s">
        <v>898</v>
      </c>
      <c r="N114">
        <f>IFERROR(VLOOKUP(D114,tab!A:B,2,FALSE),1)</f>
        <v>120</v>
      </c>
      <c r="O114" t="str">
        <f t="shared" si="16"/>
        <v/>
      </c>
      <c r="P114" s="14">
        <f t="shared" si="17"/>
        <v>260.35000000000002</v>
      </c>
      <c r="Q114" s="14">
        <f t="shared" si="18"/>
        <v>1</v>
      </c>
      <c r="R114" s="14">
        <v>20</v>
      </c>
      <c r="S114" s="14">
        <f t="shared" si="19"/>
        <v>43.391666666666652</v>
      </c>
      <c r="Z114" t="str">
        <f t="shared" si="20"/>
        <v>&lt;Valeur name="no"&gt;113&lt;/Valeur&gt;</v>
      </c>
      <c r="AA114" t="str">
        <f t="shared" si="21"/>
        <v>&lt;Valeur name="ecriturebanque"&gt;106&lt;/Valeur&gt;</v>
      </c>
      <c r="AB114" t="str">
        <f t="shared" si="22"/>
        <v>&lt;Valeur name="datevaleur"&gt;2019/03/11&lt;/Valeur&gt;</v>
      </c>
      <c r="AC114" t="str">
        <f t="shared" si="23"/>
        <v>&lt;Valeur name="compte"&gt;120&lt;/Valeur&gt;</v>
      </c>
      <c r="AD114" t="str">
        <f t="shared" si="24"/>
        <v>&lt;Valeur name="description"&gt;&lt;/Valeur&gt;</v>
      </c>
      <c r="AE114" t="str">
        <f t="shared" si="25"/>
        <v>&lt;Valeur name="valeur"&gt;260.35&lt;/Valeur&gt;</v>
      </c>
      <c r="AF114" t="str">
        <f t="shared" si="26"/>
        <v>&lt;Valeur name="compta"&gt;1&lt;/Valeur&gt;</v>
      </c>
      <c r="AG114" t="str">
        <f t="shared" si="27"/>
        <v>&lt;Valeur name="tvapct"&gt;20&lt;/Valeur&gt;</v>
      </c>
      <c r="AH114" t="str">
        <f t="shared" si="28"/>
        <v>&lt;Valeur name="tva"&gt;43.3916666666667&lt;/Valeur&gt;</v>
      </c>
      <c r="AL114" t="str">
        <f t="shared" si="29"/>
        <v>&lt;Insert&gt;&lt;Valeur name="no"&gt;113&lt;/Valeur&gt;&lt;Valeur name="ecriturebanque"&gt;106&lt;/Valeur&gt;&lt;Valeur name="datevaleur"&gt;2019/03/11&lt;/Valeur&gt;&lt;Valeur name="compte"&gt;120&lt;/Valeur&gt;&lt;Valeur name="description"&gt;&lt;/Valeur&gt;&lt;Valeur name="valeur"&gt;260.35&lt;/Valeur&gt;&lt;Valeur name="compta"&gt;1&lt;/Valeur&gt;&lt;Valeur name="tvapct"&gt;20&lt;/Valeur&gt;&lt;Valeur name="tva"&gt;43.3916666666667&lt;/Valeur&gt;&lt;/Insert&gt;</v>
      </c>
    </row>
    <row r="115" spans="1:38" x14ac:dyDescent="0.25">
      <c r="B115">
        <f>IF(A115&lt;&gt;"",VLOOKUP(A115,Banque!B:D,3,FALSE),1)</f>
        <v>1</v>
      </c>
      <c r="C115" s="1">
        <v>43535</v>
      </c>
      <c r="D115" t="s">
        <v>270</v>
      </c>
      <c r="G115" s="10">
        <v>2097.84</v>
      </c>
      <c r="I115" s="11">
        <f t="shared" si="15"/>
        <v>349.63999999999987</v>
      </c>
      <c r="K115">
        <v>114</v>
      </c>
      <c r="L115">
        <v>106</v>
      </c>
      <c r="M115" s="16" t="s">
        <v>898</v>
      </c>
      <c r="N115">
        <f>IFERROR(VLOOKUP(D115,tab!A:B,2,FALSE),1)</f>
        <v>110</v>
      </c>
      <c r="O115" t="str">
        <f t="shared" si="16"/>
        <v/>
      </c>
      <c r="P115" s="14">
        <f t="shared" si="17"/>
        <v>2097.84</v>
      </c>
      <c r="Q115" s="14">
        <f t="shared" si="18"/>
        <v>1</v>
      </c>
      <c r="R115" s="14">
        <v>20</v>
      </c>
      <c r="S115" s="14">
        <f t="shared" si="19"/>
        <v>349.63999999999987</v>
      </c>
      <c r="Z115" t="str">
        <f t="shared" si="20"/>
        <v>&lt;Valeur name="no"&gt;114&lt;/Valeur&gt;</v>
      </c>
      <c r="AA115" t="str">
        <f t="shared" si="21"/>
        <v>&lt;Valeur name="ecriturebanque"&gt;106&lt;/Valeur&gt;</v>
      </c>
      <c r="AB115" t="str">
        <f t="shared" si="22"/>
        <v>&lt;Valeur name="datevaleur"&gt;2019/03/11&lt;/Valeur&gt;</v>
      </c>
      <c r="AC115" t="str">
        <f t="shared" si="23"/>
        <v>&lt;Valeur name="compte"&gt;110&lt;/Valeur&gt;</v>
      </c>
      <c r="AD115" t="str">
        <f t="shared" si="24"/>
        <v>&lt;Valeur name="description"&gt;&lt;/Valeur&gt;</v>
      </c>
      <c r="AE115" t="str">
        <f t="shared" si="25"/>
        <v>&lt;Valeur name="valeur"&gt;2097.84&lt;/Valeur&gt;</v>
      </c>
      <c r="AF115" t="str">
        <f t="shared" si="26"/>
        <v>&lt;Valeur name="compta"&gt;1&lt;/Valeur&gt;</v>
      </c>
      <c r="AG115" t="str">
        <f t="shared" si="27"/>
        <v>&lt;Valeur name="tvapct"&gt;20&lt;/Valeur&gt;</v>
      </c>
      <c r="AH115" t="str">
        <f t="shared" si="28"/>
        <v>&lt;Valeur name="tva"&gt;349.64&lt;/Valeur&gt;</v>
      </c>
      <c r="AL115" t="str">
        <f t="shared" si="29"/>
        <v>&lt;Insert&gt;&lt;Valeur name="no"&gt;114&lt;/Valeur&gt;&lt;Valeur name="ecriturebanque"&gt;106&lt;/Valeur&gt;&lt;Valeur name="datevaleur"&gt;2019/03/11&lt;/Valeur&gt;&lt;Valeur name="compte"&gt;110&lt;/Valeur&gt;&lt;Valeur name="description"&gt;&lt;/Valeur&gt;&lt;Valeur name="valeur"&gt;2097.84&lt;/Valeur&gt;&lt;Valeur name="compta"&gt;1&lt;/Valeur&gt;&lt;Valeur name="tvapct"&gt;20&lt;/Valeur&gt;&lt;Valeur name="tva"&gt;349.64&lt;/Valeur&gt;&lt;/Insert&gt;</v>
      </c>
    </row>
    <row r="116" spans="1:38" x14ac:dyDescent="0.25">
      <c r="A116">
        <v>107</v>
      </c>
      <c r="B116">
        <f>IF(A116&lt;&gt;"",VLOOKUP(A116,Banque!B:D,3,FALSE),1)</f>
        <v>1</v>
      </c>
      <c r="C116" s="1">
        <v>43535</v>
      </c>
      <c r="D116" t="s">
        <v>254</v>
      </c>
      <c r="E116" t="s">
        <v>109</v>
      </c>
      <c r="G116" s="10">
        <v>50.1</v>
      </c>
      <c r="I116" s="11">
        <f t="shared" si="15"/>
        <v>8.3500000000000014</v>
      </c>
      <c r="K116">
        <v>115</v>
      </c>
      <c r="L116">
        <v>107</v>
      </c>
      <c r="M116" s="16" t="s">
        <v>898</v>
      </c>
      <c r="N116">
        <f>IFERROR(VLOOKUP(D116,tab!A:B,2,FALSE),1)</f>
        <v>27</v>
      </c>
      <c r="O116" t="str">
        <f t="shared" si="16"/>
        <v>CB 454106 LE PEPLUM   59BAVAY</v>
      </c>
      <c r="P116" s="14">
        <f t="shared" si="17"/>
        <v>50.1</v>
      </c>
      <c r="Q116" s="14">
        <f t="shared" si="18"/>
        <v>1</v>
      </c>
      <c r="R116" s="14">
        <v>20</v>
      </c>
      <c r="S116" s="14">
        <f t="shared" si="19"/>
        <v>8.3500000000000014</v>
      </c>
      <c r="Z116" t="str">
        <f t="shared" si="20"/>
        <v>&lt;Valeur name="no"&gt;115&lt;/Valeur&gt;</v>
      </c>
      <c r="AA116" t="str">
        <f t="shared" si="21"/>
        <v>&lt;Valeur name="ecriturebanque"&gt;107&lt;/Valeur&gt;</v>
      </c>
      <c r="AB116" t="str">
        <f t="shared" si="22"/>
        <v>&lt;Valeur name="datevaleur"&gt;2019/03/11&lt;/Valeur&gt;</v>
      </c>
      <c r="AC116" t="str">
        <f t="shared" si="23"/>
        <v>&lt;Valeur name="compte"&gt;27&lt;/Valeur&gt;</v>
      </c>
      <c r="AD116" t="str">
        <f t="shared" si="24"/>
        <v>&lt;Valeur name="description"&gt;CB 454106 LE PEPLUM   59BAVAY&lt;/Valeur&gt;</v>
      </c>
      <c r="AE116" t="str">
        <f t="shared" si="25"/>
        <v>&lt;Valeur name="valeur"&gt;50.1&lt;/Valeur&gt;</v>
      </c>
      <c r="AF116" t="str">
        <f t="shared" si="26"/>
        <v>&lt;Valeur name="compta"&gt;1&lt;/Valeur&gt;</v>
      </c>
      <c r="AG116" t="str">
        <f t="shared" si="27"/>
        <v>&lt;Valeur name="tvapct"&gt;20&lt;/Valeur&gt;</v>
      </c>
      <c r="AH116" t="str">
        <f t="shared" si="28"/>
        <v>&lt;Valeur name="tva"&gt;8.35&lt;/Valeur&gt;</v>
      </c>
      <c r="AL116" t="str">
        <f t="shared" si="29"/>
        <v>&lt;Insert&gt;&lt;Valeur name="no"&gt;115&lt;/Valeur&gt;&lt;Valeur name="ecriturebanque"&gt;107&lt;/Valeur&gt;&lt;Valeur name="datevaleur"&gt;2019/03/11&lt;/Valeur&gt;&lt;Valeur name="compte"&gt;27&lt;/Valeur&gt;&lt;Valeur name="description"&gt;CB 454106 LE PEPLUM   59BAVAY&lt;/Valeur&gt;&lt;Valeur name="valeur"&gt;50.1&lt;/Valeur&gt;&lt;Valeur name="compta"&gt;1&lt;/Valeur&gt;&lt;Valeur name="tvapct"&gt;20&lt;/Valeur&gt;&lt;Valeur name="tva"&gt;8.35&lt;/Valeur&gt;&lt;/Insert&gt;</v>
      </c>
    </row>
    <row r="117" spans="1:38" x14ac:dyDescent="0.25">
      <c r="A117">
        <v>108</v>
      </c>
      <c r="B117">
        <f>IF(A117&lt;&gt;"",VLOOKUP(A117,Banque!B:D,3,FALSE),1)</f>
        <v>1</v>
      </c>
      <c r="C117" s="1">
        <v>43535</v>
      </c>
      <c r="D117" t="s">
        <v>257</v>
      </c>
      <c r="E117" t="s">
        <v>101</v>
      </c>
      <c r="G117" s="10">
        <v>1.6</v>
      </c>
      <c r="I117" s="11">
        <f t="shared" si="15"/>
        <v>0.26666666666666661</v>
      </c>
      <c r="K117">
        <v>116</v>
      </c>
      <c r="L117">
        <v>108</v>
      </c>
      <c r="M117" s="16" t="s">
        <v>898</v>
      </c>
      <c r="N117">
        <f>IFERROR(VLOOKUP(D117,tab!A:B,2,FALSE),1)</f>
        <v>18</v>
      </c>
      <c r="O117" t="str">
        <f t="shared" si="16"/>
        <v>FRAIS VIR SEPA PERMANENT</v>
      </c>
      <c r="P117" s="14">
        <f t="shared" si="17"/>
        <v>1.6</v>
      </c>
      <c r="Q117" s="14">
        <f t="shared" si="18"/>
        <v>1</v>
      </c>
      <c r="R117" s="14">
        <v>20</v>
      </c>
      <c r="S117" s="14">
        <f t="shared" si="19"/>
        <v>0.26666666666666661</v>
      </c>
      <c r="Z117" t="str">
        <f t="shared" si="20"/>
        <v>&lt;Valeur name="no"&gt;116&lt;/Valeur&gt;</v>
      </c>
      <c r="AA117" t="str">
        <f t="shared" si="21"/>
        <v>&lt;Valeur name="ecriturebanque"&gt;108&lt;/Valeur&gt;</v>
      </c>
      <c r="AB117" t="str">
        <f t="shared" si="22"/>
        <v>&lt;Valeur name="datevaleur"&gt;2019/03/11&lt;/Valeur&gt;</v>
      </c>
      <c r="AC117" t="str">
        <f t="shared" si="23"/>
        <v>&lt;Valeur name="compte"&gt;18&lt;/Valeur&gt;</v>
      </c>
      <c r="AD117" t="str">
        <f t="shared" si="24"/>
        <v>&lt;Valeur name="description"&gt;FRAIS VIR SEPA PERMANENT&lt;/Valeur&gt;</v>
      </c>
      <c r="AE117" t="str">
        <f t="shared" si="25"/>
        <v>&lt;Valeur name="valeur"&gt;1.6&lt;/Valeur&gt;</v>
      </c>
      <c r="AF117" t="str">
        <f t="shared" si="26"/>
        <v>&lt;Valeur name="compta"&gt;1&lt;/Valeur&gt;</v>
      </c>
      <c r="AG117" t="str">
        <f t="shared" si="27"/>
        <v>&lt;Valeur name="tvapct"&gt;20&lt;/Valeur&gt;</v>
      </c>
      <c r="AH117" t="str">
        <f t="shared" si="28"/>
        <v>&lt;Valeur name="tva"&gt;0.266666666666667&lt;/Valeur&gt;</v>
      </c>
      <c r="AL117" t="str">
        <f t="shared" si="29"/>
        <v>&lt;Insert&gt;&lt;Valeur name="no"&gt;116&lt;/Valeur&gt;&lt;Valeur name="ecriturebanque"&gt;108&lt;/Valeur&gt;&lt;Valeur name="datevaleur"&gt;2019/03/11&lt;/Valeur&gt;&lt;Valeur name="compte"&gt;18&lt;/Valeur&gt;&lt;Valeur name="description"&gt;FRAIS VIR SEPA PERMANENT&lt;/Valeur&gt;&lt;Valeur name="valeur"&gt;1.6&lt;/Valeur&gt;&lt;Valeur name="compta"&gt;1&lt;/Valeur&gt;&lt;Valeur name="tvapct"&gt;20&lt;/Valeur&gt;&lt;Valeur name="tva"&gt;0.266666666666667&lt;/Valeur&gt;&lt;/Insert&gt;</v>
      </c>
    </row>
    <row r="118" spans="1:38" x14ac:dyDescent="0.25">
      <c r="A118">
        <v>109</v>
      </c>
      <c r="B118">
        <f>IF(A118&lt;&gt;"",VLOOKUP(A118,Banque!B:D,3,FALSE),1)</f>
        <v>1</v>
      </c>
      <c r="C118" s="1">
        <v>43535</v>
      </c>
      <c r="D118" t="s">
        <v>255</v>
      </c>
      <c r="E118" t="s">
        <v>113</v>
      </c>
      <c r="G118" s="10">
        <v>1300</v>
      </c>
      <c r="I118" s="11">
        <f t="shared" si="15"/>
        <v>216.66666666666652</v>
      </c>
      <c r="K118">
        <v>117</v>
      </c>
      <c r="L118">
        <v>109</v>
      </c>
      <c r="M118" s="16" t="s">
        <v>898</v>
      </c>
      <c r="N118">
        <f>IFERROR(VLOOKUP(D118,tab!A:B,2,FALSE),1)</f>
        <v>20</v>
      </c>
      <c r="O118" t="str">
        <f t="shared" si="16"/>
        <v>VIR SEPA SCI LT DECO</v>
      </c>
      <c r="P118" s="14">
        <f t="shared" si="17"/>
        <v>1300</v>
      </c>
      <c r="Q118" s="14">
        <f t="shared" si="18"/>
        <v>1</v>
      </c>
      <c r="R118" s="14">
        <v>20</v>
      </c>
      <c r="S118" s="14">
        <f t="shared" si="19"/>
        <v>216.66666666666652</v>
      </c>
      <c r="Z118" t="str">
        <f t="shared" si="20"/>
        <v>&lt;Valeur name="no"&gt;117&lt;/Valeur&gt;</v>
      </c>
      <c r="AA118" t="str">
        <f t="shared" si="21"/>
        <v>&lt;Valeur name="ecriturebanque"&gt;109&lt;/Valeur&gt;</v>
      </c>
      <c r="AB118" t="str">
        <f t="shared" si="22"/>
        <v>&lt;Valeur name="datevaleur"&gt;2019/03/11&lt;/Valeur&gt;</v>
      </c>
      <c r="AC118" t="str">
        <f t="shared" si="23"/>
        <v>&lt;Valeur name="compte"&gt;20&lt;/Valeur&gt;</v>
      </c>
      <c r="AD118" t="str">
        <f t="shared" si="24"/>
        <v>&lt;Valeur name="description"&gt;VIR SEPA SCI LT DECO&lt;/Valeur&gt;</v>
      </c>
      <c r="AE118" t="str">
        <f t="shared" si="25"/>
        <v>&lt;Valeur name="valeur"&gt;1300&lt;/Valeur&gt;</v>
      </c>
      <c r="AF118" t="str">
        <f t="shared" si="26"/>
        <v>&lt;Valeur name="compta"&gt;1&lt;/Valeur&gt;</v>
      </c>
      <c r="AG118" t="str">
        <f t="shared" si="27"/>
        <v>&lt;Valeur name="tvapct"&gt;20&lt;/Valeur&gt;</v>
      </c>
      <c r="AH118" t="str">
        <f t="shared" si="28"/>
        <v>&lt;Valeur name="tva"&gt;216.666666666667&lt;/Valeur&gt;</v>
      </c>
      <c r="AL118" t="str">
        <f t="shared" si="29"/>
        <v>&lt;Insert&gt;&lt;Valeur name="no"&gt;117&lt;/Valeur&gt;&lt;Valeur name="ecriturebanque"&gt;109&lt;/Valeur&gt;&lt;Valeur name="datevaleur"&gt;2019/03/11&lt;/Valeur&gt;&lt;Valeur name="compte"&gt;20&lt;/Valeur&gt;&lt;Valeur name="description"&gt;VIR SEPA SCI LT DECO&lt;/Valeur&gt;&lt;Valeur name="valeur"&gt;1300&lt;/Valeur&gt;&lt;Valeur name="compta"&gt;1&lt;/Valeur&gt;&lt;Valeur name="tvapct"&gt;20&lt;/Valeur&gt;&lt;Valeur name="tva"&gt;216.666666666667&lt;/Valeur&gt;&lt;/Insert&gt;</v>
      </c>
    </row>
    <row r="119" spans="1:38" x14ac:dyDescent="0.25">
      <c r="A119">
        <v>110</v>
      </c>
      <c r="B119">
        <f>IF(A119&lt;&gt;"",VLOOKUP(A119,Banque!B:D,3,FALSE),1)</f>
        <v>0</v>
      </c>
      <c r="C119" s="1">
        <v>43535</v>
      </c>
      <c r="D119" t="s">
        <v>434</v>
      </c>
      <c r="E119" t="s">
        <v>111</v>
      </c>
      <c r="F119" t="s">
        <v>435</v>
      </c>
      <c r="G119" s="10">
        <v>6910</v>
      </c>
      <c r="I119" s="11">
        <f t="shared" si="15"/>
        <v>1151.6666666666661</v>
      </c>
      <c r="K119">
        <v>118</v>
      </c>
      <c r="L119">
        <v>110</v>
      </c>
      <c r="M119" s="16" t="s">
        <v>898</v>
      </c>
      <c r="N119">
        <f>IFERROR(VLOOKUP(D119,tab!A:B,2,FALSE),1)</f>
        <v>89</v>
      </c>
      <c r="O119" t="str">
        <f t="shared" si="16"/>
        <v>CHEQUE  N 1000065 / Rbst Acompte Cloture Arras</v>
      </c>
      <c r="P119" s="14">
        <f t="shared" si="17"/>
        <v>6910</v>
      </c>
      <c r="Q119" s="14">
        <f t="shared" si="18"/>
        <v>0</v>
      </c>
      <c r="R119" s="14">
        <v>20</v>
      </c>
      <c r="S119" s="14">
        <f t="shared" si="19"/>
        <v>1151.6666666666661</v>
      </c>
      <c r="Z119" t="str">
        <f t="shared" si="20"/>
        <v>&lt;Valeur name="no"&gt;118&lt;/Valeur&gt;</v>
      </c>
      <c r="AA119" t="str">
        <f t="shared" si="21"/>
        <v>&lt;Valeur name="ecriturebanque"&gt;110&lt;/Valeur&gt;</v>
      </c>
      <c r="AB119" t="str">
        <f t="shared" si="22"/>
        <v>&lt;Valeur name="datevaleur"&gt;2019/03/11&lt;/Valeur&gt;</v>
      </c>
      <c r="AC119" t="str">
        <f t="shared" si="23"/>
        <v>&lt;Valeur name="compte"&gt;89&lt;/Valeur&gt;</v>
      </c>
      <c r="AD119" t="str">
        <f t="shared" si="24"/>
        <v>&lt;Valeur name="description"&gt;CHEQUE  N 1000065 / Rbst Acompte Cloture Arras&lt;/Valeur&gt;</v>
      </c>
      <c r="AE119" t="str">
        <f t="shared" si="25"/>
        <v>&lt;Valeur name="valeur"&gt;6910&lt;/Valeur&gt;</v>
      </c>
      <c r="AF119" t="str">
        <f t="shared" si="26"/>
        <v>&lt;Valeur name="compta"&gt;0&lt;/Valeur&gt;</v>
      </c>
      <c r="AG119" t="str">
        <f t="shared" si="27"/>
        <v>&lt;Valeur name="tvapct"&gt;20&lt;/Valeur&gt;</v>
      </c>
      <c r="AH119" t="str">
        <f t="shared" si="28"/>
        <v>&lt;Valeur name="tva"&gt;1151.66666666667&lt;/Valeur&gt;</v>
      </c>
      <c r="AL119" t="str">
        <f t="shared" si="29"/>
        <v>&lt;Insert&gt;&lt;Valeur name="no"&gt;118&lt;/Valeur&gt;&lt;Valeur name="ecriturebanque"&gt;110&lt;/Valeur&gt;&lt;Valeur name="datevaleur"&gt;2019/03/11&lt;/Valeur&gt;&lt;Valeur name="compte"&gt;89&lt;/Valeur&gt;&lt;Valeur name="description"&gt;CHEQUE  N 1000065 / Rbst Acompte Cloture Arras&lt;/Valeur&gt;&lt;Valeur name="valeur"&gt;6910&lt;/Valeur&gt;&lt;Valeur name="compta"&gt;0&lt;/Valeur&gt;&lt;Valeur name="tvapct"&gt;20&lt;/Valeur&gt;&lt;Valeur name="tva"&gt;1151.66666666667&lt;/Valeur&gt;&lt;/Insert&gt;</v>
      </c>
    </row>
    <row r="120" spans="1:38" x14ac:dyDescent="0.25">
      <c r="A120">
        <v>111</v>
      </c>
      <c r="B120">
        <f>IF(A120&lt;&gt;"",VLOOKUP(A120,Banque!B:D,3,FALSE),1)</f>
        <v>1</v>
      </c>
      <c r="C120" s="1">
        <v>43535</v>
      </c>
      <c r="D120" t="s">
        <v>380</v>
      </c>
      <c r="E120" t="s">
        <v>107</v>
      </c>
      <c r="G120" s="10">
        <v>380</v>
      </c>
      <c r="I120" s="11">
        <f t="shared" si="15"/>
        <v>63.333333333333314</v>
      </c>
      <c r="K120">
        <v>119</v>
      </c>
      <c r="L120">
        <v>111</v>
      </c>
      <c r="M120" s="16" t="s">
        <v>898</v>
      </c>
      <c r="N120">
        <f>IFERROR(VLOOKUP(D120,tab!A:B,2,FALSE),1)</f>
        <v>24</v>
      </c>
      <c r="O120" t="str">
        <f t="shared" si="16"/>
        <v>02836 262611 0138 00FIN DE PRET:</v>
      </c>
      <c r="P120" s="14">
        <f t="shared" si="17"/>
        <v>380</v>
      </c>
      <c r="Q120" s="14">
        <f t="shared" si="18"/>
        <v>1</v>
      </c>
      <c r="R120" s="14">
        <v>20</v>
      </c>
      <c r="S120" s="14">
        <f t="shared" si="19"/>
        <v>63.333333333333314</v>
      </c>
      <c r="Z120" t="str">
        <f t="shared" si="20"/>
        <v>&lt;Valeur name="no"&gt;119&lt;/Valeur&gt;</v>
      </c>
      <c r="AA120" t="str">
        <f t="shared" si="21"/>
        <v>&lt;Valeur name="ecriturebanque"&gt;111&lt;/Valeur&gt;</v>
      </c>
      <c r="AB120" t="str">
        <f t="shared" si="22"/>
        <v>&lt;Valeur name="datevaleur"&gt;2019/03/11&lt;/Valeur&gt;</v>
      </c>
      <c r="AC120" t="str">
        <f t="shared" si="23"/>
        <v>&lt;Valeur name="compte"&gt;24&lt;/Valeur&gt;</v>
      </c>
      <c r="AD120" t="str">
        <f t="shared" si="24"/>
        <v>&lt;Valeur name="description"&gt;02836 262611 0138 00FIN DE PRET:&lt;/Valeur&gt;</v>
      </c>
      <c r="AE120" t="str">
        <f t="shared" si="25"/>
        <v>&lt;Valeur name="valeur"&gt;380&lt;/Valeur&gt;</v>
      </c>
      <c r="AF120" t="str">
        <f t="shared" si="26"/>
        <v>&lt;Valeur name="compta"&gt;1&lt;/Valeur&gt;</v>
      </c>
      <c r="AG120" t="str">
        <f t="shared" si="27"/>
        <v>&lt;Valeur name="tvapct"&gt;20&lt;/Valeur&gt;</v>
      </c>
      <c r="AH120" t="str">
        <f t="shared" si="28"/>
        <v>&lt;Valeur name="tva"&gt;63.3333333333333&lt;/Valeur&gt;</v>
      </c>
      <c r="AL120" t="str">
        <f t="shared" si="29"/>
        <v>&lt;Insert&gt;&lt;Valeur name="no"&gt;119&lt;/Valeur&gt;&lt;Valeur name="ecriturebanque"&gt;111&lt;/Valeur&gt;&lt;Valeur name="datevaleur"&gt;2019/03/11&lt;/Valeur&gt;&lt;Valeur name="compte"&gt;24&lt;/Valeur&gt;&lt;Valeur name="description"&gt;02836 262611 0138 00FIN DE PRET:&lt;/Valeur&gt;&lt;Valeur name="valeur"&gt;380&lt;/Valeur&gt;&lt;Valeur name="compta"&gt;1&lt;/Valeur&gt;&lt;Valeur name="tvapct"&gt;20&lt;/Valeur&gt;&lt;Valeur name="tva"&gt;63.3333333333333&lt;/Valeur&gt;&lt;/Insert&gt;</v>
      </c>
    </row>
    <row r="121" spans="1:38" x14ac:dyDescent="0.25">
      <c r="A121">
        <v>112</v>
      </c>
      <c r="B121">
        <f>IF(A121&lt;&gt;"",VLOOKUP(A121,Banque!B:D,3,FALSE),1)</f>
        <v>1</v>
      </c>
      <c r="C121" s="1">
        <v>43535</v>
      </c>
      <c r="D121" t="s">
        <v>381</v>
      </c>
      <c r="E121" t="s">
        <v>103</v>
      </c>
      <c r="G121" s="10">
        <v>237.15</v>
      </c>
      <c r="I121" s="11">
        <f t="shared" si="15"/>
        <v>39.525000000000006</v>
      </c>
      <c r="K121">
        <v>120</v>
      </c>
      <c r="L121">
        <v>112</v>
      </c>
      <c r="M121" s="16" t="s">
        <v>898</v>
      </c>
      <c r="N121">
        <f>IFERROR(VLOOKUP(D121,tab!A:B,2,FALSE),1)</f>
        <v>22</v>
      </c>
      <c r="O121" t="str">
        <f t="shared" si="16"/>
        <v>02836 262611 0138 01FIN DE PRET:</v>
      </c>
      <c r="P121" s="14">
        <f t="shared" si="17"/>
        <v>237.15</v>
      </c>
      <c r="Q121" s="14">
        <f t="shared" si="18"/>
        <v>1</v>
      </c>
      <c r="R121" s="14">
        <v>20</v>
      </c>
      <c r="S121" s="14">
        <f t="shared" si="19"/>
        <v>39.525000000000006</v>
      </c>
      <c r="Z121" t="str">
        <f t="shared" si="20"/>
        <v>&lt;Valeur name="no"&gt;120&lt;/Valeur&gt;</v>
      </c>
      <c r="AA121" t="str">
        <f t="shared" si="21"/>
        <v>&lt;Valeur name="ecriturebanque"&gt;112&lt;/Valeur&gt;</v>
      </c>
      <c r="AB121" t="str">
        <f t="shared" si="22"/>
        <v>&lt;Valeur name="datevaleur"&gt;2019/03/11&lt;/Valeur&gt;</v>
      </c>
      <c r="AC121" t="str">
        <f t="shared" si="23"/>
        <v>&lt;Valeur name="compte"&gt;22&lt;/Valeur&gt;</v>
      </c>
      <c r="AD121" t="str">
        <f t="shared" si="24"/>
        <v>&lt;Valeur name="description"&gt;02836 262611 0138 01FIN DE PRET:&lt;/Valeur&gt;</v>
      </c>
      <c r="AE121" t="str">
        <f t="shared" si="25"/>
        <v>&lt;Valeur name="valeur"&gt;237.15&lt;/Valeur&gt;</v>
      </c>
      <c r="AF121" t="str">
        <f t="shared" si="26"/>
        <v>&lt;Valeur name="compta"&gt;1&lt;/Valeur&gt;</v>
      </c>
      <c r="AG121" t="str">
        <f t="shared" si="27"/>
        <v>&lt;Valeur name="tvapct"&gt;20&lt;/Valeur&gt;</v>
      </c>
      <c r="AH121" t="str">
        <f t="shared" si="28"/>
        <v>&lt;Valeur name="tva"&gt;39.525&lt;/Valeur&gt;</v>
      </c>
      <c r="AL121" t="str">
        <f t="shared" si="29"/>
        <v>&lt;Insert&gt;&lt;Valeur name="no"&gt;120&lt;/Valeur&gt;&lt;Valeur name="ecriturebanque"&gt;112&lt;/Valeur&gt;&lt;Valeur name="datevaleur"&gt;2019/03/11&lt;/Valeur&gt;&lt;Valeur name="compte"&gt;22&lt;/Valeur&gt;&lt;Valeur name="description"&gt;02836 262611 0138 01FIN DE PRET:&lt;/Valeur&gt;&lt;Valeur name="valeur"&gt;237.15&lt;/Valeur&gt;&lt;Valeur name="compta"&gt;1&lt;/Valeur&gt;&lt;Valeur name="tvapct"&gt;20&lt;/Valeur&gt;&lt;Valeur name="tva"&gt;39.525&lt;/Valeur&gt;&lt;/Insert&gt;</v>
      </c>
    </row>
    <row r="122" spans="1:38" x14ac:dyDescent="0.25">
      <c r="A122">
        <v>113</v>
      </c>
      <c r="B122">
        <f>IF(A122&lt;&gt;"",VLOOKUP(A122,Banque!B:D,3,FALSE),1)</f>
        <v>1</v>
      </c>
      <c r="C122" s="1">
        <v>43535</v>
      </c>
      <c r="D122" t="s">
        <v>382</v>
      </c>
      <c r="E122" t="s">
        <v>105</v>
      </c>
      <c r="G122" s="10">
        <v>260</v>
      </c>
      <c r="I122" s="11">
        <f t="shared" si="15"/>
        <v>43.333333333333314</v>
      </c>
      <c r="K122">
        <v>121</v>
      </c>
      <c r="L122">
        <v>113</v>
      </c>
      <c r="M122" s="16" t="s">
        <v>898</v>
      </c>
      <c r="N122">
        <f>IFERROR(VLOOKUP(D122,tab!A:B,2,FALSE),1)</f>
        <v>23</v>
      </c>
      <c r="O122" t="str">
        <f t="shared" si="16"/>
        <v>02836 262611 0104 00  6 068,29 E</v>
      </c>
      <c r="P122" s="14">
        <f t="shared" si="17"/>
        <v>260</v>
      </c>
      <c r="Q122" s="14">
        <f t="shared" si="18"/>
        <v>1</v>
      </c>
      <c r="R122" s="14">
        <v>20</v>
      </c>
      <c r="S122" s="14">
        <f t="shared" si="19"/>
        <v>43.333333333333314</v>
      </c>
      <c r="Z122" t="str">
        <f t="shared" si="20"/>
        <v>&lt;Valeur name="no"&gt;121&lt;/Valeur&gt;</v>
      </c>
      <c r="AA122" t="str">
        <f t="shared" si="21"/>
        <v>&lt;Valeur name="ecriturebanque"&gt;113&lt;/Valeur&gt;</v>
      </c>
      <c r="AB122" t="str">
        <f t="shared" si="22"/>
        <v>&lt;Valeur name="datevaleur"&gt;2019/03/11&lt;/Valeur&gt;</v>
      </c>
      <c r="AC122" t="str">
        <f t="shared" si="23"/>
        <v>&lt;Valeur name="compte"&gt;23&lt;/Valeur&gt;</v>
      </c>
      <c r="AD122" t="str">
        <f t="shared" si="24"/>
        <v>&lt;Valeur name="description"&gt;02836 262611 0104 00  6 068,29 E&lt;/Valeur&gt;</v>
      </c>
      <c r="AE122" t="str">
        <f t="shared" si="25"/>
        <v>&lt;Valeur name="valeur"&gt;260&lt;/Valeur&gt;</v>
      </c>
      <c r="AF122" t="str">
        <f t="shared" si="26"/>
        <v>&lt;Valeur name="compta"&gt;1&lt;/Valeur&gt;</v>
      </c>
      <c r="AG122" t="str">
        <f t="shared" si="27"/>
        <v>&lt;Valeur name="tvapct"&gt;20&lt;/Valeur&gt;</v>
      </c>
      <c r="AH122" t="str">
        <f t="shared" si="28"/>
        <v>&lt;Valeur name="tva"&gt;43.3333333333333&lt;/Valeur&gt;</v>
      </c>
      <c r="AL122" t="str">
        <f t="shared" si="29"/>
        <v>&lt;Insert&gt;&lt;Valeur name="no"&gt;121&lt;/Valeur&gt;&lt;Valeur name="ecriturebanque"&gt;113&lt;/Valeur&gt;&lt;Valeur name="datevaleur"&gt;2019/03/11&lt;/Valeur&gt;&lt;Valeur name="compte"&gt;23&lt;/Valeur&gt;&lt;Valeur name="description"&gt;02836 262611 0104 00  6 068,29 E&lt;/Valeur&gt;&lt;Valeur name="valeur"&gt;260&lt;/Valeur&gt;&lt;Valeur name="compta"&gt;1&lt;/Valeur&gt;&lt;Valeur name="tvapct"&gt;20&lt;/Valeur&gt;&lt;Valeur name="tva"&gt;43.3333333333333&lt;/Valeur&gt;&lt;/Insert&gt;</v>
      </c>
    </row>
    <row r="123" spans="1:38" x14ac:dyDescent="0.25">
      <c r="A123">
        <v>114</v>
      </c>
      <c r="B123">
        <f>IF(A123&lt;&gt;"",VLOOKUP(A123,Banque!B:D,3,FALSE),1)</f>
        <v>0</v>
      </c>
      <c r="C123" s="1">
        <v>43536</v>
      </c>
      <c r="D123" t="s">
        <v>374</v>
      </c>
      <c r="E123" t="s">
        <v>81</v>
      </c>
      <c r="G123" s="10">
        <v>78.16</v>
      </c>
      <c r="I123" s="11">
        <f t="shared" si="15"/>
        <v>13.026666666666657</v>
      </c>
      <c r="K123">
        <v>122</v>
      </c>
      <c r="L123">
        <v>114</v>
      </c>
      <c r="M123" s="16" t="s">
        <v>901</v>
      </c>
      <c r="N123">
        <f>IFERROR(VLOOKUP(D123,tab!A:B,2,FALSE),1)</f>
        <v>34</v>
      </c>
      <c r="O123" t="str">
        <f t="shared" si="16"/>
        <v>E-VIR SEPA Atelier du Verre</v>
      </c>
      <c r="P123" s="14">
        <f t="shared" si="17"/>
        <v>78.16</v>
      </c>
      <c r="Q123" s="14">
        <f t="shared" si="18"/>
        <v>0</v>
      </c>
      <c r="R123" s="14">
        <v>20</v>
      </c>
      <c r="S123" s="14">
        <f t="shared" si="19"/>
        <v>13.026666666666657</v>
      </c>
      <c r="Z123" t="str">
        <f t="shared" si="20"/>
        <v>&lt;Valeur name="no"&gt;122&lt;/Valeur&gt;</v>
      </c>
      <c r="AA123" t="str">
        <f t="shared" si="21"/>
        <v>&lt;Valeur name="ecriturebanque"&gt;114&lt;/Valeur&gt;</v>
      </c>
      <c r="AB123" t="str">
        <f t="shared" si="22"/>
        <v>&lt;Valeur name="datevaleur"&gt;2019/03/12&lt;/Valeur&gt;</v>
      </c>
      <c r="AC123" t="str">
        <f t="shared" si="23"/>
        <v>&lt;Valeur name="compte"&gt;34&lt;/Valeur&gt;</v>
      </c>
      <c r="AD123" t="str">
        <f t="shared" si="24"/>
        <v>&lt;Valeur name="description"&gt;E-VIR SEPA Atelier du Verre&lt;/Valeur&gt;</v>
      </c>
      <c r="AE123" t="str">
        <f t="shared" si="25"/>
        <v>&lt;Valeur name="valeur"&gt;78.16&lt;/Valeur&gt;</v>
      </c>
      <c r="AF123" t="str">
        <f t="shared" si="26"/>
        <v>&lt;Valeur name="compta"&gt;0&lt;/Valeur&gt;</v>
      </c>
      <c r="AG123" t="str">
        <f t="shared" si="27"/>
        <v>&lt;Valeur name="tvapct"&gt;20&lt;/Valeur&gt;</v>
      </c>
      <c r="AH123" t="str">
        <f t="shared" si="28"/>
        <v>&lt;Valeur name="tva"&gt;13.0266666666667&lt;/Valeur&gt;</v>
      </c>
      <c r="AL123" t="str">
        <f t="shared" si="29"/>
        <v>&lt;Insert&gt;&lt;Valeur name="no"&gt;122&lt;/Valeur&gt;&lt;Valeur name="ecriturebanque"&gt;114&lt;/Valeur&gt;&lt;Valeur name="datevaleur"&gt;2019/03/12&lt;/Valeur&gt;&lt;Valeur name="compte"&gt;34&lt;/Valeur&gt;&lt;Valeur name="description"&gt;E-VIR SEPA Atelier du Verre&lt;/Valeur&gt;&lt;Valeur name="valeur"&gt;78.16&lt;/Valeur&gt;&lt;Valeur name="compta"&gt;0&lt;/Valeur&gt;&lt;Valeur name="tvapct"&gt;20&lt;/Valeur&gt;&lt;Valeur name="tva"&gt;13.0266666666667&lt;/Valeur&gt;&lt;/Insert&gt;</v>
      </c>
    </row>
    <row r="124" spans="1:38" x14ac:dyDescent="0.25">
      <c r="A124">
        <v>115</v>
      </c>
      <c r="B124">
        <f>IF(A124&lt;&gt;"",VLOOKUP(A124,Banque!B:D,3,FALSE),1)</f>
        <v>0</v>
      </c>
      <c r="C124" s="1">
        <v>43536</v>
      </c>
      <c r="D124" t="s">
        <v>291</v>
      </c>
      <c r="E124" t="s">
        <v>79</v>
      </c>
      <c r="G124" s="10">
        <v>55.2</v>
      </c>
      <c r="I124" s="11">
        <f t="shared" si="15"/>
        <v>9.1999999999999957</v>
      </c>
      <c r="K124">
        <v>123</v>
      </c>
      <c r="L124">
        <v>115</v>
      </c>
      <c r="M124" s="16" t="s">
        <v>901</v>
      </c>
      <c r="N124">
        <f>IFERROR(VLOOKUP(D124,tab!A:B,2,FALSE),1)</f>
        <v>71</v>
      </c>
      <c r="O124" t="str">
        <f t="shared" si="16"/>
        <v>E-VIR SEPA Hoorneart</v>
      </c>
      <c r="P124" s="14">
        <f t="shared" si="17"/>
        <v>55.2</v>
      </c>
      <c r="Q124" s="14">
        <f t="shared" si="18"/>
        <v>0</v>
      </c>
      <c r="R124" s="14">
        <v>20</v>
      </c>
      <c r="S124" s="14">
        <f t="shared" si="19"/>
        <v>9.1999999999999957</v>
      </c>
      <c r="Z124" t="str">
        <f t="shared" si="20"/>
        <v>&lt;Valeur name="no"&gt;123&lt;/Valeur&gt;</v>
      </c>
      <c r="AA124" t="str">
        <f t="shared" si="21"/>
        <v>&lt;Valeur name="ecriturebanque"&gt;115&lt;/Valeur&gt;</v>
      </c>
      <c r="AB124" t="str">
        <f t="shared" si="22"/>
        <v>&lt;Valeur name="datevaleur"&gt;2019/03/12&lt;/Valeur&gt;</v>
      </c>
      <c r="AC124" t="str">
        <f t="shared" si="23"/>
        <v>&lt;Valeur name="compte"&gt;71&lt;/Valeur&gt;</v>
      </c>
      <c r="AD124" t="str">
        <f t="shared" si="24"/>
        <v>&lt;Valeur name="description"&gt;E-VIR SEPA Hoorneart&lt;/Valeur&gt;</v>
      </c>
      <c r="AE124" t="str">
        <f t="shared" si="25"/>
        <v>&lt;Valeur name="valeur"&gt;55.2&lt;/Valeur&gt;</v>
      </c>
      <c r="AF124" t="str">
        <f t="shared" si="26"/>
        <v>&lt;Valeur name="compta"&gt;0&lt;/Valeur&gt;</v>
      </c>
      <c r="AG124" t="str">
        <f t="shared" si="27"/>
        <v>&lt;Valeur name="tvapct"&gt;20&lt;/Valeur&gt;</v>
      </c>
      <c r="AH124" t="str">
        <f t="shared" si="28"/>
        <v>&lt;Valeur name="tva"&gt;9.2&lt;/Valeur&gt;</v>
      </c>
      <c r="AL124" t="str">
        <f t="shared" si="29"/>
        <v>&lt;Insert&gt;&lt;Valeur name="no"&gt;123&lt;/Valeur&gt;&lt;Valeur name="ecriturebanque"&gt;115&lt;/Valeur&gt;&lt;Valeur name="datevaleur"&gt;2019/03/12&lt;/Valeur&gt;&lt;Valeur name="compte"&gt;71&lt;/Valeur&gt;&lt;Valeur name="description"&gt;E-VIR SEPA Hoorneart&lt;/Valeur&gt;&lt;Valeur name="valeur"&gt;55.2&lt;/Valeur&gt;&lt;Valeur name="compta"&gt;0&lt;/Valeur&gt;&lt;Valeur name="tvapct"&gt;20&lt;/Valeur&gt;&lt;Valeur name="tva"&gt;9.2&lt;/Valeur&gt;&lt;/Insert&gt;</v>
      </c>
    </row>
    <row r="125" spans="1:38" x14ac:dyDescent="0.25">
      <c r="A125">
        <v>116</v>
      </c>
      <c r="B125">
        <f>IF(A125&lt;&gt;"",VLOOKUP(A125,Banque!B:D,3,FALSE),1)</f>
        <v>0</v>
      </c>
      <c r="C125" s="1">
        <v>43536</v>
      </c>
      <c r="D125" t="s">
        <v>293</v>
      </c>
      <c r="E125" t="s">
        <v>86</v>
      </c>
      <c r="G125" s="10">
        <v>405</v>
      </c>
      <c r="I125" s="11">
        <f t="shared" ref="I125:I186" si="30">IF(G125&gt;0,G125-(G125/TVA),-(H125-(H125/TVA)))</f>
        <v>67.5</v>
      </c>
      <c r="K125">
        <v>124</v>
      </c>
      <c r="L125">
        <v>116</v>
      </c>
      <c r="M125" s="16" t="s">
        <v>901</v>
      </c>
      <c r="N125">
        <f>IFERROR(VLOOKUP(D125,tab!A:B,2,FALSE),1)</f>
        <v>118</v>
      </c>
      <c r="O125" t="str">
        <f t="shared" si="16"/>
        <v>E-VIR SEPA Unsteel</v>
      </c>
      <c r="P125" s="14">
        <f t="shared" si="17"/>
        <v>405</v>
      </c>
      <c r="Q125" s="14">
        <f t="shared" si="18"/>
        <v>0</v>
      </c>
      <c r="R125" s="14">
        <v>20</v>
      </c>
      <c r="S125" s="14">
        <f t="shared" si="19"/>
        <v>67.5</v>
      </c>
      <c r="Z125" t="str">
        <f t="shared" si="20"/>
        <v>&lt;Valeur name="no"&gt;124&lt;/Valeur&gt;</v>
      </c>
      <c r="AA125" t="str">
        <f t="shared" si="21"/>
        <v>&lt;Valeur name="ecriturebanque"&gt;116&lt;/Valeur&gt;</v>
      </c>
      <c r="AB125" t="str">
        <f t="shared" si="22"/>
        <v>&lt;Valeur name="datevaleur"&gt;2019/03/12&lt;/Valeur&gt;</v>
      </c>
      <c r="AC125" t="str">
        <f t="shared" si="23"/>
        <v>&lt;Valeur name="compte"&gt;118&lt;/Valeur&gt;</v>
      </c>
      <c r="AD125" t="str">
        <f t="shared" si="24"/>
        <v>&lt;Valeur name="description"&gt;E-VIR SEPA Unsteel&lt;/Valeur&gt;</v>
      </c>
      <c r="AE125" t="str">
        <f t="shared" si="25"/>
        <v>&lt;Valeur name="valeur"&gt;405&lt;/Valeur&gt;</v>
      </c>
      <c r="AF125" t="str">
        <f t="shared" si="26"/>
        <v>&lt;Valeur name="compta"&gt;0&lt;/Valeur&gt;</v>
      </c>
      <c r="AG125" t="str">
        <f t="shared" si="27"/>
        <v>&lt;Valeur name="tvapct"&gt;20&lt;/Valeur&gt;</v>
      </c>
      <c r="AH125" t="str">
        <f t="shared" si="28"/>
        <v>&lt;Valeur name="tva"&gt;67.5&lt;/Valeur&gt;</v>
      </c>
      <c r="AL125" t="str">
        <f t="shared" si="29"/>
        <v>&lt;Insert&gt;&lt;Valeur name="no"&gt;124&lt;/Valeur&gt;&lt;Valeur name="ecriturebanque"&gt;116&lt;/Valeur&gt;&lt;Valeur name="datevaleur"&gt;2019/03/12&lt;/Valeur&gt;&lt;Valeur name="compte"&gt;118&lt;/Valeur&gt;&lt;Valeur name="description"&gt;E-VIR SEPA Unsteel&lt;/Valeur&gt;&lt;Valeur name="valeur"&gt;405&lt;/Valeur&gt;&lt;Valeur name="compta"&gt;0&lt;/Valeur&gt;&lt;Valeur name="tvapct"&gt;20&lt;/Valeur&gt;&lt;Valeur name="tva"&gt;67.5&lt;/Valeur&gt;&lt;/Insert&gt;</v>
      </c>
    </row>
    <row r="126" spans="1:38" x14ac:dyDescent="0.25">
      <c r="A126">
        <v>117</v>
      </c>
      <c r="B126">
        <f>IF(A126&lt;&gt;"",VLOOKUP(A126,Banque!B:D,3,FALSE),1)</f>
        <v>0</v>
      </c>
      <c r="C126" s="1">
        <v>43536</v>
      </c>
      <c r="D126" t="s">
        <v>261</v>
      </c>
      <c r="E126" t="s">
        <v>83</v>
      </c>
      <c r="G126" s="10">
        <v>168</v>
      </c>
      <c r="I126" s="11">
        <f t="shared" si="30"/>
        <v>28</v>
      </c>
      <c r="K126">
        <v>125</v>
      </c>
      <c r="L126">
        <v>117</v>
      </c>
      <c r="M126" s="16" t="s">
        <v>901</v>
      </c>
      <c r="N126">
        <f>IFERROR(VLOOKUP(D126,tab!A:B,2,FALSE),1)</f>
        <v>53</v>
      </c>
      <c r="O126" t="str">
        <f t="shared" si="16"/>
        <v>E-VIR SEPA Dessenne</v>
      </c>
      <c r="P126" s="14">
        <f t="shared" si="17"/>
        <v>168</v>
      </c>
      <c r="Q126" s="14">
        <f t="shared" si="18"/>
        <v>0</v>
      </c>
      <c r="R126" s="14">
        <v>20</v>
      </c>
      <c r="S126" s="14">
        <f t="shared" si="19"/>
        <v>28</v>
      </c>
      <c r="Z126" t="str">
        <f t="shared" si="20"/>
        <v>&lt;Valeur name="no"&gt;125&lt;/Valeur&gt;</v>
      </c>
      <c r="AA126" t="str">
        <f t="shared" si="21"/>
        <v>&lt;Valeur name="ecriturebanque"&gt;117&lt;/Valeur&gt;</v>
      </c>
      <c r="AB126" t="str">
        <f t="shared" si="22"/>
        <v>&lt;Valeur name="datevaleur"&gt;2019/03/12&lt;/Valeur&gt;</v>
      </c>
      <c r="AC126" t="str">
        <f t="shared" si="23"/>
        <v>&lt;Valeur name="compte"&gt;53&lt;/Valeur&gt;</v>
      </c>
      <c r="AD126" t="str">
        <f t="shared" si="24"/>
        <v>&lt;Valeur name="description"&gt;E-VIR SEPA Dessenne&lt;/Valeur&gt;</v>
      </c>
      <c r="AE126" t="str">
        <f t="shared" si="25"/>
        <v>&lt;Valeur name="valeur"&gt;168&lt;/Valeur&gt;</v>
      </c>
      <c r="AF126" t="str">
        <f t="shared" si="26"/>
        <v>&lt;Valeur name="compta"&gt;0&lt;/Valeur&gt;</v>
      </c>
      <c r="AG126" t="str">
        <f t="shared" si="27"/>
        <v>&lt;Valeur name="tvapct"&gt;20&lt;/Valeur&gt;</v>
      </c>
      <c r="AH126" t="str">
        <f t="shared" si="28"/>
        <v>&lt;Valeur name="tva"&gt;28&lt;/Valeur&gt;</v>
      </c>
      <c r="AL126" t="str">
        <f t="shared" si="29"/>
        <v>&lt;Insert&gt;&lt;Valeur name="no"&gt;125&lt;/Valeur&gt;&lt;Valeur name="ecriturebanque"&gt;117&lt;/Valeur&gt;&lt;Valeur name="datevaleur"&gt;2019/03/12&lt;/Valeur&gt;&lt;Valeur name="compte"&gt;53&lt;/Valeur&gt;&lt;Valeur name="description"&gt;E-VIR SEPA Dessenne&lt;/Valeur&gt;&lt;Valeur name="valeur"&gt;168&lt;/Valeur&gt;&lt;Valeur name="compta"&gt;0&lt;/Valeur&gt;&lt;Valeur name="tvapct"&gt;20&lt;/Valeur&gt;&lt;Valeur name="tva"&gt;28&lt;/Valeur&gt;&lt;/Insert&gt;</v>
      </c>
    </row>
    <row r="127" spans="1:38" x14ac:dyDescent="0.25">
      <c r="A127">
        <v>118</v>
      </c>
      <c r="B127">
        <f>IF(A127&lt;&gt;"",VLOOKUP(A127,Banque!B:D,3,FALSE),1)</f>
        <v>0</v>
      </c>
      <c r="C127" s="1">
        <v>43536</v>
      </c>
      <c r="D127" t="s">
        <v>261</v>
      </c>
      <c r="E127" t="s">
        <v>83</v>
      </c>
      <c r="G127" s="10">
        <v>110.4</v>
      </c>
      <c r="I127" s="11">
        <f t="shared" si="30"/>
        <v>18.399999999999991</v>
      </c>
      <c r="K127">
        <v>126</v>
      </c>
      <c r="L127">
        <v>118</v>
      </c>
      <c r="M127" s="16" t="s">
        <v>901</v>
      </c>
      <c r="N127">
        <f>IFERROR(VLOOKUP(D127,tab!A:B,2,FALSE),1)</f>
        <v>53</v>
      </c>
      <c r="O127" t="str">
        <f t="shared" si="16"/>
        <v>E-VIR SEPA Dessenne</v>
      </c>
      <c r="P127" s="14">
        <f t="shared" si="17"/>
        <v>110.4</v>
      </c>
      <c r="Q127" s="14">
        <f t="shared" si="18"/>
        <v>0</v>
      </c>
      <c r="R127" s="14">
        <v>20</v>
      </c>
      <c r="S127" s="14">
        <f t="shared" si="19"/>
        <v>18.399999999999991</v>
      </c>
      <c r="Z127" t="str">
        <f t="shared" si="20"/>
        <v>&lt;Valeur name="no"&gt;126&lt;/Valeur&gt;</v>
      </c>
      <c r="AA127" t="str">
        <f t="shared" si="21"/>
        <v>&lt;Valeur name="ecriturebanque"&gt;118&lt;/Valeur&gt;</v>
      </c>
      <c r="AB127" t="str">
        <f t="shared" si="22"/>
        <v>&lt;Valeur name="datevaleur"&gt;2019/03/12&lt;/Valeur&gt;</v>
      </c>
      <c r="AC127" t="str">
        <f t="shared" si="23"/>
        <v>&lt;Valeur name="compte"&gt;53&lt;/Valeur&gt;</v>
      </c>
      <c r="AD127" t="str">
        <f t="shared" si="24"/>
        <v>&lt;Valeur name="description"&gt;E-VIR SEPA Dessenne&lt;/Valeur&gt;</v>
      </c>
      <c r="AE127" t="str">
        <f t="shared" si="25"/>
        <v>&lt;Valeur name="valeur"&gt;110.4&lt;/Valeur&gt;</v>
      </c>
      <c r="AF127" t="str">
        <f t="shared" si="26"/>
        <v>&lt;Valeur name="compta"&gt;0&lt;/Valeur&gt;</v>
      </c>
      <c r="AG127" t="str">
        <f t="shared" si="27"/>
        <v>&lt;Valeur name="tvapct"&gt;20&lt;/Valeur&gt;</v>
      </c>
      <c r="AH127" t="str">
        <f t="shared" si="28"/>
        <v>&lt;Valeur name="tva"&gt;18.4&lt;/Valeur&gt;</v>
      </c>
      <c r="AL127" t="str">
        <f t="shared" si="29"/>
        <v>&lt;Insert&gt;&lt;Valeur name="no"&gt;126&lt;/Valeur&gt;&lt;Valeur name="ecriturebanque"&gt;118&lt;/Valeur&gt;&lt;Valeur name="datevaleur"&gt;2019/03/12&lt;/Valeur&gt;&lt;Valeur name="compte"&gt;53&lt;/Valeur&gt;&lt;Valeur name="description"&gt;E-VIR SEPA Dessenne&lt;/Valeur&gt;&lt;Valeur name="valeur"&gt;110.4&lt;/Valeur&gt;&lt;Valeur name="compta"&gt;0&lt;/Valeur&gt;&lt;Valeur name="tvapct"&gt;20&lt;/Valeur&gt;&lt;Valeur name="tva"&gt;18.4&lt;/Valeur&gt;&lt;/Insert&gt;</v>
      </c>
    </row>
    <row r="128" spans="1:38" x14ac:dyDescent="0.25">
      <c r="A128">
        <v>119</v>
      </c>
      <c r="B128">
        <f>IF(A128&lt;&gt;"",VLOOKUP(A128,Banque!B:D,3,FALSE),1)</f>
        <v>0</v>
      </c>
      <c r="C128" s="1">
        <v>43536</v>
      </c>
      <c r="D128" t="s">
        <v>261</v>
      </c>
      <c r="E128" t="s">
        <v>83</v>
      </c>
      <c r="G128" s="10">
        <v>660</v>
      </c>
      <c r="I128" s="11">
        <f t="shared" si="30"/>
        <v>110</v>
      </c>
      <c r="K128">
        <v>127</v>
      </c>
      <c r="L128">
        <v>119</v>
      </c>
      <c r="M128" s="16" t="s">
        <v>901</v>
      </c>
      <c r="N128">
        <f>IFERROR(VLOOKUP(D128,tab!A:B,2,FALSE),1)</f>
        <v>53</v>
      </c>
      <c r="O128" t="str">
        <f t="shared" si="16"/>
        <v>E-VIR SEPA Dessenne</v>
      </c>
      <c r="P128" s="14">
        <f t="shared" si="17"/>
        <v>660</v>
      </c>
      <c r="Q128" s="14">
        <f t="shared" si="18"/>
        <v>0</v>
      </c>
      <c r="R128" s="14">
        <v>20</v>
      </c>
      <c r="S128" s="14">
        <f t="shared" si="19"/>
        <v>110</v>
      </c>
      <c r="Z128" t="str">
        <f t="shared" si="20"/>
        <v>&lt;Valeur name="no"&gt;127&lt;/Valeur&gt;</v>
      </c>
      <c r="AA128" t="str">
        <f t="shared" si="21"/>
        <v>&lt;Valeur name="ecriturebanque"&gt;119&lt;/Valeur&gt;</v>
      </c>
      <c r="AB128" t="str">
        <f t="shared" si="22"/>
        <v>&lt;Valeur name="datevaleur"&gt;2019/03/12&lt;/Valeur&gt;</v>
      </c>
      <c r="AC128" t="str">
        <f t="shared" si="23"/>
        <v>&lt;Valeur name="compte"&gt;53&lt;/Valeur&gt;</v>
      </c>
      <c r="AD128" t="str">
        <f t="shared" si="24"/>
        <v>&lt;Valeur name="description"&gt;E-VIR SEPA Dessenne&lt;/Valeur&gt;</v>
      </c>
      <c r="AE128" t="str">
        <f t="shared" si="25"/>
        <v>&lt;Valeur name="valeur"&gt;660&lt;/Valeur&gt;</v>
      </c>
      <c r="AF128" t="str">
        <f t="shared" si="26"/>
        <v>&lt;Valeur name="compta"&gt;0&lt;/Valeur&gt;</v>
      </c>
      <c r="AG128" t="str">
        <f t="shared" si="27"/>
        <v>&lt;Valeur name="tvapct"&gt;20&lt;/Valeur&gt;</v>
      </c>
      <c r="AH128" t="str">
        <f t="shared" si="28"/>
        <v>&lt;Valeur name="tva"&gt;110&lt;/Valeur&gt;</v>
      </c>
      <c r="AL128" t="str">
        <f t="shared" si="29"/>
        <v>&lt;Insert&gt;&lt;Valeur name="no"&gt;127&lt;/Valeur&gt;&lt;Valeur name="ecriturebanque"&gt;119&lt;/Valeur&gt;&lt;Valeur name="datevaleur"&gt;2019/03/12&lt;/Valeur&gt;&lt;Valeur name="compte"&gt;53&lt;/Valeur&gt;&lt;Valeur name="description"&gt;E-VIR SEPA Dessenne&lt;/Valeur&gt;&lt;Valeur name="valeur"&gt;660&lt;/Valeur&gt;&lt;Valeur name="compta"&gt;0&lt;/Valeur&gt;&lt;Valeur name="tvapct"&gt;20&lt;/Valeur&gt;&lt;Valeur name="tva"&gt;110&lt;/Valeur&gt;&lt;/Insert&gt;</v>
      </c>
    </row>
    <row r="129" spans="1:38" x14ac:dyDescent="0.25">
      <c r="A129">
        <v>120</v>
      </c>
      <c r="B129">
        <f>IF(A129&lt;&gt;"",VLOOKUP(A129,Banque!B:D,3,FALSE),1)</f>
        <v>0</v>
      </c>
      <c r="C129" s="1">
        <v>43536</v>
      </c>
      <c r="D129" t="s">
        <v>261</v>
      </c>
      <c r="E129" t="s">
        <v>83</v>
      </c>
      <c r="G129" s="10">
        <v>576</v>
      </c>
      <c r="I129" s="11">
        <f t="shared" si="30"/>
        <v>96</v>
      </c>
      <c r="K129">
        <v>128</v>
      </c>
      <c r="L129">
        <v>120</v>
      </c>
      <c r="M129" s="16" t="s">
        <v>901</v>
      </c>
      <c r="N129">
        <f>IFERROR(VLOOKUP(D129,tab!A:B,2,FALSE),1)</f>
        <v>53</v>
      </c>
      <c r="O129" t="str">
        <f t="shared" si="16"/>
        <v>E-VIR SEPA Dessenne</v>
      </c>
      <c r="P129" s="14">
        <f t="shared" si="17"/>
        <v>576</v>
      </c>
      <c r="Q129" s="14">
        <f t="shared" si="18"/>
        <v>0</v>
      </c>
      <c r="R129" s="14">
        <v>20</v>
      </c>
      <c r="S129" s="14">
        <f t="shared" si="19"/>
        <v>96</v>
      </c>
      <c r="Z129" t="str">
        <f t="shared" si="20"/>
        <v>&lt;Valeur name="no"&gt;128&lt;/Valeur&gt;</v>
      </c>
      <c r="AA129" t="str">
        <f t="shared" si="21"/>
        <v>&lt;Valeur name="ecriturebanque"&gt;120&lt;/Valeur&gt;</v>
      </c>
      <c r="AB129" t="str">
        <f t="shared" si="22"/>
        <v>&lt;Valeur name="datevaleur"&gt;2019/03/12&lt;/Valeur&gt;</v>
      </c>
      <c r="AC129" t="str">
        <f t="shared" si="23"/>
        <v>&lt;Valeur name="compte"&gt;53&lt;/Valeur&gt;</v>
      </c>
      <c r="AD129" t="str">
        <f t="shared" si="24"/>
        <v>&lt;Valeur name="description"&gt;E-VIR SEPA Dessenne&lt;/Valeur&gt;</v>
      </c>
      <c r="AE129" t="str">
        <f t="shared" si="25"/>
        <v>&lt;Valeur name="valeur"&gt;576&lt;/Valeur&gt;</v>
      </c>
      <c r="AF129" t="str">
        <f t="shared" si="26"/>
        <v>&lt;Valeur name="compta"&gt;0&lt;/Valeur&gt;</v>
      </c>
      <c r="AG129" t="str">
        <f t="shared" si="27"/>
        <v>&lt;Valeur name="tvapct"&gt;20&lt;/Valeur&gt;</v>
      </c>
      <c r="AH129" t="str">
        <f t="shared" si="28"/>
        <v>&lt;Valeur name="tva"&gt;96&lt;/Valeur&gt;</v>
      </c>
      <c r="AL129" t="str">
        <f t="shared" si="29"/>
        <v>&lt;Insert&gt;&lt;Valeur name="no"&gt;128&lt;/Valeur&gt;&lt;Valeur name="ecriturebanque"&gt;120&lt;/Valeur&gt;&lt;Valeur name="datevaleur"&gt;2019/03/12&lt;/Valeur&gt;&lt;Valeur name="compte"&gt;53&lt;/Valeur&gt;&lt;Valeur name="description"&gt;E-VIR SEPA Dessenne&lt;/Valeur&gt;&lt;Valeur name="valeur"&gt;576&lt;/Valeur&gt;&lt;Valeur name="compta"&gt;0&lt;/Valeur&gt;&lt;Valeur name="tvapct"&gt;20&lt;/Valeur&gt;&lt;Valeur name="tva"&gt;96&lt;/Valeur&gt;&lt;/Insert&gt;</v>
      </c>
    </row>
    <row r="130" spans="1:38" x14ac:dyDescent="0.25">
      <c r="A130">
        <v>121</v>
      </c>
      <c r="B130">
        <f>IF(A130&lt;&gt;"",VLOOKUP(A130,Banque!B:D,3,FALSE),1)</f>
        <v>1</v>
      </c>
      <c r="C130" s="1">
        <v>43536</v>
      </c>
      <c r="D130" t="s">
        <v>254</v>
      </c>
      <c r="E130" t="s">
        <v>93</v>
      </c>
      <c r="G130" s="10">
        <v>22.3</v>
      </c>
      <c r="I130" s="11">
        <f t="shared" si="30"/>
        <v>3.716666666666665</v>
      </c>
      <c r="K130">
        <v>129</v>
      </c>
      <c r="L130">
        <v>121</v>
      </c>
      <c r="M130" s="16" t="s">
        <v>901</v>
      </c>
      <c r="N130">
        <f>IFERROR(VLOOKUP(D130,tab!A:B,2,FALSE),1)</f>
        <v>27</v>
      </c>
      <c r="O130" t="str">
        <f t="shared" ref="O130:O193" si="31">E130&amp;IF(ISBLANK(F130),""," / "&amp;F130)</f>
        <v>CB 454106 BLONDES A C 59LESQUIN</v>
      </c>
      <c r="P130" s="14">
        <f t="shared" ref="P130:P193" si="32">SUM(G130:H130)</f>
        <v>22.3</v>
      </c>
      <c r="Q130" s="14">
        <f t="shared" ref="Q130:Q193" si="33">B130</f>
        <v>1</v>
      </c>
      <c r="R130" s="14">
        <v>20</v>
      </c>
      <c r="S130" s="14">
        <f t="shared" ref="S130:S193" si="34">I130</f>
        <v>3.716666666666665</v>
      </c>
      <c r="Z130" t="str">
        <f t="shared" ref="Z130:Z193" si="35">IF(ISBLANK($K130),"",K$1&amp;K130&amp;"&lt;/Valeur&gt;")</f>
        <v>&lt;Valeur name="no"&gt;129&lt;/Valeur&gt;</v>
      </c>
      <c r="AA130" t="str">
        <f t="shared" ref="AA130:AA193" si="36">IF(ISBLANK($K130),"",L$1&amp;L130&amp;"&lt;/Valeur&gt;")</f>
        <v>&lt;Valeur name="ecriturebanque"&gt;121&lt;/Valeur&gt;</v>
      </c>
      <c r="AB130" t="str">
        <f t="shared" ref="AB130:AB193" si="37">IF(ISBLANK($K130),"",M$1&amp;M130&amp;"&lt;/Valeur&gt;")</f>
        <v>&lt;Valeur name="datevaleur"&gt;2019/03/12&lt;/Valeur&gt;</v>
      </c>
      <c r="AC130" t="str">
        <f t="shared" ref="AC130:AC193" si="38">IF(ISBLANK($K130),"",N$1&amp;N130&amp;"&lt;/Valeur&gt;")</f>
        <v>&lt;Valeur name="compte"&gt;27&lt;/Valeur&gt;</v>
      </c>
      <c r="AD130" t="str">
        <f t="shared" ref="AD130:AD193" si="39">IF(ISBLANK($K130),"",O$1&amp;O130&amp;"&lt;/Valeur&gt;")</f>
        <v>&lt;Valeur name="description"&gt;CB 454106 BLONDES A C 59LESQUIN&lt;/Valeur&gt;</v>
      </c>
      <c r="AE130" t="str">
        <f t="shared" ref="AE130:AE193" si="40">IF(ISBLANK($K130),"",P$1&amp;P130&amp;"&lt;/Valeur&gt;")</f>
        <v>&lt;Valeur name="valeur"&gt;22.3&lt;/Valeur&gt;</v>
      </c>
      <c r="AF130" t="str">
        <f t="shared" ref="AF130:AF193" si="41">IF(ISBLANK($K130),"",Q$1&amp;Q130&amp;"&lt;/Valeur&gt;")</f>
        <v>&lt;Valeur name="compta"&gt;1&lt;/Valeur&gt;</v>
      </c>
      <c r="AG130" t="str">
        <f t="shared" ref="AG130:AG193" si="42">IF(ISBLANK($K130),"",R$1&amp;R130&amp;"&lt;/Valeur&gt;")</f>
        <v>&lt;Valeur name="tvapct"&gt;20&lt;/Valeur&gt;</v>
      </c>
      <c r="AH130" t="str">
        <f t="shared" ref="AH130:AH193" si="43">IF(ISBLANK($K130),"",S$1&amp;S130&amp;"&lt;/Valeur&gt;")</f>
        <v>&lt;Valeur name="tva"&gt;3.71666666666667&lt;/Valeur&gt;</v>
      </c>
      <c r="AL130" t="str">
        <f t="shared" si="29"/>
        <v>&lt;Insert&gt;&lt;Valeur name="no"&gt;129&lt;/Valeur&gt;&lt;Valeur name="ecriturebanque"&gt;121&lt;/Valeur&gt;&lt;Valeur name="datevaleur"&gt;2019/03/12&lt;/Valeur&gt;&lt;Valeur name="compte"&gt;27&lt;/Valeur&gt;&lt;Valeur name="description"&gt;CB 454106 BLONDES A C 59LESQUIN&lt;/Valeur&gt;&lt;Valeur name="valeur"&gt;22.3&lt;/Valeur&gt;&lt;Valeur name="compta"&gt;1&lt;/Valeur&gt;&lt;Valeur name="tvapct"&gt;20&lt;/Valeur&gt;&lt;Valeur name="tva"&gt;3.71666666666667&lt;/Valeur&gt;&lt;/Insert&gt;</v>
      </c>
    </row>
    <row r="131" spans="1:38" x14ac:dyDescent="0.25">
      <c r="A131">
        <v>122</v>
      </c>
      <c r="B131">
        <f>IF(A131&lt;&gt;"",VLOOKUP(A131,Banque!B:D,3,FALSE),1)</f>
        <v>1</v>
      </c>
      <c r="C131" s="1">
        <v>43536</v>
      </c>
      <c r="D131" t="s">
        <v>253</v>
      </c>
      <c r="E131" t="s">
        <v>95</v>
      </c>
      <c r="G131" s="10">
        <v>80.87</v>
      </c>
      <c r="I131" s="11">
        <f t="shared" si="30"/>
        <v>13.478333333333325</v>
      </c>
      <c r="K131">
        <v>130</v>
      </c>
      <c r="L131">
        <v>122</v>
      </c>
      <c r="M131" s="16" t="s">
        <v>901</v>
      </c>
      <c r="N131">
        <f>IFERROR(VLOOKUP(D131,tab!A:B,2,FALSE),1)</f>
        <v>13</v>
      </c>
      <c r="O131" t="str">
        <f t="shared" si="31"/>
        <v>CB 454106 CARREFOUR D 59WASQUEHA</v>
      </c>
      <c r="P131" s="14">
        <f t="shared" si="32"/>
        <v>80.87</v>
      </c>
      <c r="Q131" s="14">
        <f t="shared" si="33"/>
        <v>1</v>
      </c>
      <c r="R131" s="14">
        <v>20</v>
      </c>
      <c r="S131" s="14">
        <f t="shared" si="34"/>
        <v>13.478333333333325</v>
      </c>
      <c r="Z131" t="str">
        <f t="shared" si="35"/>
        <v>&lt;Valeur name="no"&gt;130&lt;/Valeur&gt;</v>
      </c>
      <c r="AA131" t="str">
        <f t="shared" si="36"/>
        <v>&lt;Valeur name="ecriturebanque"&gt;122&lt;/Valeur&gt;</v>
      </c>
      <c r="AB131" t="str">
        <f t="shared" si="37"/>
        <v>&lt;Valeur name="datevaleur"&gt;2019/03/12&lt;/Valeur&gt;</v>
      </c>
      <c r="AC131" t="str">
        <f t="shared" si="38"/>
        <v>&lt;Valeur name="compte"&gt;13&lt;/Valeur&gt;</v>
      </c>
      <c r="AD131" t="str">
        <f t="shared" si="39"/>
        <v>&lt;Valeur name="description"&gt;CB 454106 CARREFOUR D 59WASQUEHA&lt;/Valeur&gt;</v>
      </c>
      <c r="AE131" t="str">
        <f t="shared" si="40"/>
        <v>&lt;Valeur name="valeur"&gt;80.87&lt;/Valeur&gt;</v>
      </c>
      <c r="AF131" t="str">
        <f t="shared" si="41"/>
        <v>&lt;Valeur name="compta"&gt;1&lt;/Valeur&gt;</v>
      </c>
      <c r="AG131" t="str">
        <f t="shared" si="42"/>
        <v>&lt;Valeur name="tvapct"&gt;20&lt;/Valeur&gt;</v>
      </c>
      <c r="AH131" t="str">
        <f t="shared" si="43"/>
        <v>&lt;Valeur name="tva"&gt;13.4783333333333&lt;/Valeur&gt;</v>
      </c>
      <c r="AL131" t="str">
        <f t="shared" ref="AL131:AL194" si="44">IF(ISBLANK(M131),"",CONCATENATE("&lt;Insert&gt;",Z131,AA131,AB131,AC131,AD131,AE131,AF131,AG131,AH131,"&lt;/Insert&gt;"))</f>
        <v>&lt;Insert&gt;&lt;Valeur name="no"&gt;130&lt;/Valeur&gt;&lt;Valeur name="ecriturebanque"&gt;122&lt;/Valeur&gt;&lt;Valeur name="datevaleur"&gt;2019/03/12&lt;/Valeur&gt;&lt;Valeur name="compte"&gt;13&lt;/Valeur&gt;&lt;Valeur name="description"&gt;CB 454106 CARREFOUR D 59WASQUEHA&lt;/Valeur&gt;&lt;Valeur name="valeur"&gt;80.87&lt;/Valeur&gt;&lt;Valeur name="compta"&gt;1&lt;/Valeur&gt;&lt;Valeur name="tvapct"&gt;20&lt;/Valeur&gt;&lt;Valeur name="tva"&gt;13.4783333333333&lt;/Valeur&gt;&lt;/Insert&gt;</v>
      </c>
    </row>
    <row r="132" spans="1:38" x14ac:dyDescent="0.25">
      <c r="A132">
        <v>123</v>
      </c>
      <c r="B132">
        <f>IF(A132&lt;&gt;"",VLOOKUP(A132,Banque!B:D,3,FALSE),1)</f>
        <v>1</v>
      </c>
      <c r="C132" s="1">
        <v>43536</v>
      </c>
      <c r="D132" t="s">
        <v>257</v>
      </c>
      <c r="E132" t="s">
        <v>31</v>
      </c>
      <c r="G132" s="10">
        <v>0.21</v>
      </c>
      <c r="I132" s="11">
        <f t="shared" si="30"/>
        <v>3.5000000000000003E-2</v>
      </c>
      <c r="K132">
        <v>131</v>
      </c>
      <c r="L132">
        <v>123</v>
      </c>
      <c r="M132" s="16" t="s">
        <v>901</v>
      </c>
      <c r="N132">
        <f>IFERROR(VLOOKUP(D132,tab!A:B,2,FALSE),1)</f>
        <v>18</v>
      </c>
      <c r="O132" t="str">
        <f t="shared" si="31"/>
        <v>FRAIS E-VIR SEPA VERS EEE</v>
      </c>
      <c r="P132" s="14">
        <f t="shared" si="32"/>
        <v>0.21</v>
      </c>
      <c r="Q132" s="14">
        <f t="shared" si="33"/>
        <v>1</v>
      </c>
      <c r="R132" s="14">
        <v>20</v>
      </c>
      <c r="S132" s="14">
        <f t="shared" si="34"/>
        <v>3.5000000000000003E-2</v>
      </c>
      <c r="Z132" t="str">
        <f t="shared" si="35"/>
        <v>&lt;Valeur name="no"&gt;131&lt;/Valeur&gt;</v>
      </c>
      <c r="AA132" t="str">
        <f t="shared" si="36"/>
        <v>&lt;Valeur name="ecriturebanque"&gt;123&lt;/Valeur&gt;</v>
      </c>
      <c r="AB132" t="str">
        <f t="shared" si="37"/>
        <v>&lt;Valeur name="datevaleur"&gt;2019/03/12&lt;/Valeur&gt;</v>
      </c>
      <c r="AC132" t="str">
        <f t="shared" si="38"/>
        <v>&lt;Valeur name="compte"&gt;18&lt;/Valeur&gt;</v>
      </c>
      <c r="AD132" t="str">
        <f t="shared" si="39"/>
        <v>&lt;Valeur name="description"&gt;FRAIS E-VIR SEPA VERS EEE&lt;/Valeur&gt;</v>
      </c>
      <c r="AE132" t="str">
        <f t="shared" si="40"/>
        <v>&lt;Valeur name="valeur"&gt;0.21&lt;/Valeur&gt;</v>
      </c>
      <c r="AF132" t="str">
        <f t="shared" si="41"/>
        <v>&lt;Valeur name="compta"&gt;1&lt;/Valeur&gt;</v>
      </c>
      <c r="AG132" t="str">
        <f t="shared" si="42"/>
        <v>&lt;Valeur name="tvapct"&gt;20&lt;/Valeur&gt;</v>
      </c>
      <c r="AH132" t="str">
        <f t="shared" si="43"/>
        <v>&lt;Valeur name="tva"&gt;0.035&lt;/Valeur&gt;</v>
      </c>
      <c r="AL132" t="str">
        <f t="shared" si="44"/>
        <v>&lt;Insert&gt;&lt;Valeur name="no"&gt;131&lt;/Valeur&gt;&lt;Valeur name="ecriturebanque"&gt;123&lt;/Valeur&gt;&lt;Valeur name="datevaleur"&gt;2019/03/12&lt;/Valeur&gt;&lt;Valeur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133" spans="1:38" x14ac:dyDescent="0.25">
      <c r="A133">
        <v>124</v>
      </c>
      <c r="B133">
        <f>IF(A133&lt;&gt;"",VLOOKUP(A133,Banque!B:D,3,FALSE),1)</f>
        <v>1</v>
      </c>
      <c r="C133" s="1">
        <v>43536</v>
      </c>
      <c r="D133" t="s">
        <v>257</v>
      </c>
      <c r="E133" t="s">
        <v>31</v>
      </c>
      <c r="G133" s="10">
        <v>0.21</v>
      </c>
      <c r="I133" s="11">
        <f t="shared" si="30"/>
        <v>3.5000000000000003E-2</v>
      </c>
      <c r="K133">
        <v>132</v>
      </c>
      <c r="L133">
        <v>124</v>
      </c>
      <c r="M133" s="16" t="s">
        <v>901</v>
      </c>
      <c r="N133">
        <f>IFERROR(VLOOKUP(D133,tab!A:B,2,FALSE),1)</f>
        <v>18</v>
      </c>
      <c r="O133" t="str">
        <f t="shared" si="31"/>
        <v>FRAIS E-VIR SEPA VERS EEE</v>
      </c>
      <c r="P133" s="14">
        <f t="shared" si="32"/>
        <v>0.21</v>
      </c>
      <c r="Q133" s="14">
        <f t="shared" si="33"/>
        <v>1</v>
      </c>
      <c r="R133" s="14">
        <v>20</v>
      </c>
      <c r="S133" s="14">
        <f t="shared" si="34"/>
        <v>3.5000000000000003E-2</v>
      </c>
      <c r="Z133" t="str">
        <f t="shared" si="35"/>
        <v>&lt;Valeur name="no"&gt;132&lt;/Valeur&gt;</v>
      </c>
      <c r="AA133" t="str">
        <f t="shared" si="36"/>
        <v>&lt;Valeur name="ecriturebanque"&gt;124&lt;/Valeur&gt;</v>
      </c>
      <c r="AB133" t="str">
        <f t="shared" si="37"/>
        <v>&lt;Valeur name="datevaleur"&gt;2019/03/12&lt;/Valeur&gt;</v>
      </c>
      <c r="AC133" t="str">
        <f t="shared" si="38"/>
        <v>&lt;Valeur name="compte"&gt;18&lt;/Valeur&gt;</v>
      </c>
      <c r="AD133" t="str">
        <f t="shared" si="39"/>
        <v>&lt;Valeur name="description"&gt;FRAIS E-VIR SEPA VERS EEE&lt;/Valeur&gt;</v>
      </c>
      <c r="AE133" t="str">
        <f t="shared" si="40"/>
        <v>&lt;Valeur name="valeur"&gt;0.21&lt;/Valeur&gt;</v>
      </c>
      <c r="AF133" t="str">
        <f t="shared" si="41"/>
        <v>&lt;Valeur name="compta"&gt;1&lt;/Valeur&gt;</v>
      </c>
      <c r="AG133" t="str">
        <f t="shared" si="42"/>
        <v>&lt;Valeur name="tvapct"&gt;20&lt;/Valeur&gt;</v>
      </c>
      <c r="AH133" t="str">
        <f t="shared" si="43"/>
        <v>&lt;Valeur name="tva"&gt;0.035&lt;/Valeur&gt;</v>
      </c>
      <c r="AL133" t="str">
        <f t="shared" si="44"/>
        <v>&lt;Insert&gt;&lt;Valeur name="no"&gt;132&lt;/Valeur&gt;&lt;Valeur name="ecriturebanque"&gt;124&lt;/Valeur&gt;&lt;Valeur name="datevaleur"&gt;2019/03/12&lt;/Valeur&gt;&lt;Valeur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134" spans="1:38" x14ac:dyDescent="0.25">
      <c r="A134">
        <v>125</v>
      </c>
      <c r="B134">
        <f>IF(A134&lt;&gt;"",VLOOKUP(A134,Banque!B:D,3,FALSE),1)</f>
        <v>1</v>
      </c>
      <c r="C134" s="1">
        <v>43536</v>
      </c>
      <c r="D134" t="s">
        <v>257</v>
      </c>
      <c r="E134" t="s">
        <v>31</v>
      </c>
      <c r="G134" s="10">
        <v>0.21</v>
      </c>
      <c r="I134" s="11">
        <f t="shared" si="30"/>
        <v>3.5000000000000003E-2</v>
      </c>
      <c r="K134">
        <v>133</v>
      </c>
      <c r="L134">
        <v>125</v>
      </c>
      <c r="M134" s="16" t="s">
        <v>901</v>
      </c>
      <c r="N134">
        <f>IFERROR(VLOOKUP(D134,tab!A:B,2,FALSE),1)</f>
        <v>18</v>
      </c>
      <c r="O134" t="str">
        <f t="shared" si="31"/>
        <v>FRAIS E-VIR SEPA VERS EEE</v>
      </c>
      <c r="P134" s="14">
        <f t="shared" si="32"/>
        <v>0.21</v>
      </c>
      <c r="Q134" s="14">
        <f t="shared" si="33"/>
        <v>1</v>
      </c>
      <c r="R134" s="14">
        <v>20</v>
      </c>
      <c r="S134" s="14">
        <f t="shared" si="34"/>
        <v>3.5000000000000003E-2</v>
      </c>
      <c r="Z134" t="str">
        <f t="shared" si="35"/>
        <v>&lt;Valeur name="no"&gt;133&lt;/Valeur&gt;</v>
      </c>
      <c r="AA134" t="str">
        <f t="shared" si="36"/>
        <v>&lt;Valeur name="ecriturebanque"&gt;125&lt;/Valeur&gt;</v>
      </c>
      <c r="AB134" t="str">
        <f t="shared" si="37"/>
        <v>&lt;Valeur name="datevaleur"&gt;2019/03/12&lt;/Valeur&gt;</v>
      </c>
      <c r="AC134" t="str">
        <f t="shared" si="38"/>
        <v>&lt;Valeur name="compte"&gt;18&lt;/Valeur&gt;</v>
      </c>
      <c r="AD134" t="str">
        <f t="shared" si="39"/>
        <v>&lt;Valeur name="description"&gt;FRAIS E-VIR SEPA VERS EEE&lt;/Valeur&gt;</v>
      </c>
      <c r="AE134" t="str">
        <f t="shared" si="40"/>
        <v>&lt;Valeur name="valeur"&gt;0.21&lt;/Valeur&gt;</v>
      </c>
      <c r="AF134" t="str">
        <f t="shared" si="41"/>
        <v>&lt;Valeur name="compta"&gt;1&lt;/Valeur&gt;</v>
      </c>
      <c r="AG134" t="str">
        <f t="shared" si="42"/>
        <v>&lt;Valeur name="tvapct"&gt;20&lt;/Valeur&gt;</v>
      </c>
      <c r="AH134" t="str">
        <f t="shared" si="43"/>
        <v>&lt;Valeur name="tva"&gt;0.035&lt;/Valeur&gt;</v>
      </c>
      <c r="AL134" t="str">
        <f t="shared" si="44"/>
        <v>&lt;Insert&gt;&lt;Valeur name="no"&gt;133&lt;/Valeur&gt;&lt;Valeur name="ecriturebanque"&gt;125&lt;/Valeur&gt;&lt;Valeur name="datevaleur"&gt;2019/03/12&lt;/Valeur&gt;&lt;Valeur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135" spans="1:38" x14ac:dyDescent="0.25">
      <c r="A135">
        <v>126</v>
      </c>
      <c r="B135">
        <f>IF(A135&lt;&gt;"",VLOOKUP(A135,Banque!B:D,3,FALSE),1)</f>
        <v>0</v>
      </c>
      <c r="C135" s="1">
        <v>43537</v>
      </c>
      <c r="D135" t="s">
        <v>289</v>
      </c>
      <c r="E135" t="s">
        <v>68</v>
      </c>
      <c r="G135" s="10">
        <v>2728.92</v>
      </c>
      <c r="I135" s="11">
        <f t="shared" si="30"/>
        <v>454.81999999999971</v>
      </c>
      <c r="K135">
        <v>134</v>
      </c>
      <c r="L135">
        <v>126</v>
      </c>
      <c r="M135" s="16" t="s">
        <v>902</v>
      </c>
      <c r="N135">
        <f>IFERROR(VLOOKUP(D135,tab!A:B,2,FALSE),1)</f>
        <v>57</v>
      </c>
      <c r="O135" t="str">
        <f t="shared" si="31"/>
        <v>E-VIR SEPA Dimatex</v>
      </c>
      <c r="P135" s="14">
        <f t="shared" si="32"/>
        <v>2728.92</v>
      </c>
      <c r="Q135" s="14">
        <f t="shared" si="33"/>
        <v>0</v>
      </c>
      <c r="R135" s="14">
        <v>20</v>
      </c>
      <c r="S135" s="14">
        <f t="shared" si="34"/>
        <v>454.81999999999971</v>
      </c>
      <c r="Z135" t="str">
        <f t="shared" si="35"/>
        <v>&lt;Valeur name="no"&gt;134&lt;/Valeur&gt;</v>
      </c>
      <c r="AA135" t="str">
        <f t="shared" si="36"/>
        <v>&lt;Valeur name="ecriturebanque"&gt;126&lt;/Valeur&gt;</v>
      </c>
      <c r="AB135" t="str">
        <f t="shared" si="37"/>
        <v>&lt;Valeur name="datevaleur"&gt;2019/03/13&lt;/Valeur&gt;</v>
      </c>
      <c r="AC135" t="str">
        <f t="shared" si="38"/>
        <v>&lt;Valeur name="compte"&gt;57&lt;/Valeur&gt;</v>
      </c>
      <c r="AD135" t="str">
        <f t="shared" si="39"/>
        <v>&lt;Valeur name="description"&gt;E-VIR SEPA Dimatex&lt;/Valeur&gt;</v>
      </c>
      <c r="AE135" t="str">
        <f t="shared" si="40"/>
        <v>&lt;Valeur name="valeur"&gt;2728.92&lt;/Valeur&gt;</v>
      </c>
      <c r="AF135" t="str">
        <f t="shared" si="41"/>
        <v>&lt;Valeur name="compta"&gt;0&lt;/Valeur&gt;</v>
      </c>
      <c r="AG135" t="str">
        <f t="shared" si="42"/>
        <v>&lt;Valeur name="tvapct"&gt;20&lt;/Valeur&gt;</v>
      </c>
      <c r="AH135" t="str">
        <f t="shared" si="43"/>
        <v>&lt;Valeur name="tva"&gt;454.82&lt;/Valeur&gt;</v>
      </c>
      <c r="AL135" t="str">
        <f t="shared" si="44"/>
        <v>&lt;Insert&gt;&lt;Valeur name="no"&gt;134&lt;/Valeur&gt;&lt;Valeur name="ecriturebanque"&gt;126&lt;/Valeur&gt;&lt;Valeur name="datevaleur"&gt;2019/03/13&lt;/Valeur&gt;&lt;Valeur name="compte"&gt;57&lt;/Valeur&gt;&lt;Valeur name="description"&gt;E-VIR SEPA Dimatex&lt;/Valeur&gt;&lt;Valeur name="valeur"&gt;2728.92&lt;/Valeur&gt;&lt;Valeur name="compta"&gt;0&lt;/Valeur&gt;&lt;Valeur name="tvapct"&gt;20&lt;/Valeur&gt;&lt;Valeur name="tva"&gt;454.82&lt;/Valeur&gt;&lt;/Insert&gt;</v>
      </c>
    </row>
    <row r="136" spans="1:38" x14ac:dyDescent="0.25">
      <c r="A136">
        <v>127</v>
      </c>
      <c r="B136">
        <f>IF(A136&lt;&gt;"",VLOOKUP(A136,Banque!B:D,3,FALSE),1)</f>
        <v>0</v>
      </c>
      <c r="C136" s="1">
        <v>43537</v>
      </c>
      <c r="D136" t="s">
        <v>375</v>
      </c>
      <c r="E136" t="s">
        <v>77</v>
      </c>
      <c r="G136" s="10">
        <v>505.43</v>
      </c>
      <c r="I136" s="11">
        <f t="shared" si="30"/>
        <v>84.238333333333344</v>
      </c>
      <c r="K136">
        <v>135</v>
      </c>
      <c r="L136">
        <v>127</v>
      </c>
      <c r="M136" s="16" t="s">
        <v>902</v>
      </c>
      <c r="N136">
        <f>IFERROR(VLOOKUP(D136,tab!A:B,2,FALSE),1)</f>
        <v>52</v>
      </c>
      <c r="O136" t="str">
        <f t="shared" si="31"/>
        <v>CB 548222 DESIGN PROD 14TROARN</v>
      </c>
      <c r="P136" s="14">
        <f t="shared" si="32"/>
        <v>505.43</v>
      </c>
      <c r="Q136" s="14">
        <f t="shared" si="33"/>
        <v>0</v>
      </c>
      <c r="R136" s="14">
        <v>20</v>
      </c>
      <c r="S136" s="14">
        <f t="shared" si="34"/>
        <v>84.238333333333344</v>
      </c>
      <c r="Z136" t="str">
        <f t="shared" si="35"/>
        <v>&lt;Valeur name="no"&gt;135&lt;/Valeur&gt;</v>
      </c>
      <c r="AA136" t="str">
        <f t="shared" si="36"/>
        <v>&lt;Valeur name="ecriturebanque"&gt;127&lt;/Valeur&gt;</v>
      </c>
      <c r="AB136" t="str">
        <f t="shared" si="37"/>
        <v>&lt;Valeur name="datevaleur"&gt;2019/03/13&lt;/Valeur&gt;</v>
      </c>
      <c r="AC136" t="str">
        <f t="shared" si="38"/>
        <v>&lt;Valeur name="compte"&gt;52&lt;/Valeur&gt;</v>
      </c>
      <c r="AD136" t="str">
        <f t="shared" si="39"/>
        <v>&lt;Valeur name="description"&gt;CB 548222 DESIGN PROD 14TROARN&lt;/Valeur&gt;</v>
      </c>
      <c r="AE136" t="str">
        <f t="shared" si="40"/>
        <v>&lt;Valeur name="valeur"&gt;505.43&lt;/Valeur&gt;</v>
      </c>
      <c r="AF136" t="str">
        <f t="shared" si="41"/>
        <v>&lt;Valeur name="compta"&gt;0&lt;/Valeur&gt;</v>
      </c>
      <c r="AG136" t="str">
        <f t="shared" si="42"/>
        <v>&lt;Valeur name="tvapct"&gt;20&lt;/Valeur&gt;</v>
      </c>
      <c r="AH136" t="str">
        <f t="shared" si="43"/>
        <v>&lt;Valeur name="tva"&gt;84.2383333333333&lt;/Valeur&gt;</v>
      </c>
      <c r="AL136" t="str">
        <f t="shared" si="44"/>
        <v>&lt;Insert&gt;&lt;Valeur name="no"&gt;135&lt;/Valeur&gt;&lt;Valeur name="ecriturebanque"&gt;127&lt;/Valeur&gt;&lt;Valeur name="datevaleur"&gt;2019/03/13&lt;/Valeur&gt;&lt;Valeur name="compte"&gt;52&lt;/Valeur&gt;&lt;Valeur name="description"&gt;CB 548222 DESIGN PROD 14TROARN&lt;/Valeur&gt;&lt;Valeur name="valeur"&gt;505.43&lt;/Valeur&gt;&lt;Valeur name="compta"&gt;0&lt;/Valeur&gt;&lt;Valeur name="tvapct"&gt;20&lt;/Valeur&gt;&lt;Valeur name="tva"&gt;84.2383333333333&lt;/Valeur&gt;&lt;/Insert&gt;</v>
      </c>
    </row>
    <row r="137" spans="1:38" x14ac:dyDescent="0.25">
      <c r="A137">
        <v>128</v>
      </c>
      <c r="B137">
        <f>IF(A137&lt;&gt;"",VLOOKUP(A137,Banque!B:D,3,FALSE),1)</f>
        <v>1</v>
      </c>
      <c r="C137" s="1">
        <v>43537</v>
      </c>
      <c r="D137" t="s">
        <v>257</v>
      </c>
      <c r="E137" t="s">
        <v>31</v>
      </c>
      <c r="G137" s="10">
        <v>0.21</v>
      </c>
      <c r="I137" s="11">
        <f t="shared" si="30"/>
        <v>3.5000000000000003E-2</v>
      </c>
      <c r="K137">
        <v>136</v>
      </c>
      <c r="L137">
        <v>128</v>
      </c>
      <c r="M137" s="16" t="s">
        <v>902</v>
      </c>
      <c r="N137">
        <f>IFERROR(VLOOKUP(D137,tab!A:B,2,FALSE),1)</f>
        <v>18</v>
      </c>
      <c r="O137" t="str">
        <f t="shared" si="31"/>
        <v>FRAIS E-VIR SEPA VERS EEE</v>
      </c>
      <c r="P137" s="14">
        <f t="shared" si="32"/>
        <v>0.21</v>
      </c>
      <c r="Q137" s="14">
        <f t="shared" si="33"/>
        <v>1</v>
      </c>
      <c r="R137" s="14">
        <v>20</v>
      </c>
      <c r="S137" s="14">
        <f t="shared" si="34"/>
        <v>3.5000000000000003E-2</v>
      </c>
      <c r="Z137" t="str">
        <f t="shared" si="35"/>
        <v>&lt;Valeur name="no"&gt;136&lt;/Valeur&gt;</v>
      </c>
      <c r="AA137" t="str">
        <f t="shared" si="36"/>
        <v>&lt;Valeur name="ecriturebanque"&gt;128&lt;/Valeur&gt;</v>
      </c>
      <c r="AB137" t="str">
        <f t="shared" si="37"/>
        <v>&lt;Valeur name="datevaleur"&gt;2019/03/13&lt;/Valeur&gt;</v>
      </c>
      <c r="AC137" t="str">
        <f t="shared" si="38"/>
        <v>&lt;Valeur name="compte"&gt;18&lt;/Valeur&gt;</v>
      </c>
      <c r="AD137" t="str">
        <f t="shared" si="39"/>
        <v>&lt;Valeur name="description"&gt;FRAIS E-VIR SEPA VERS EEE&lt;/Valeur&gt;</v>
      </c>
      <c r="AE137" t="str">
        <f t="shared" si="40"/>
        <v>&lt;Valeur name="valeur"&gt;0.21&lt;/Valeur&gt;</v>
      </c>
      <c r="AF137" t="str">
        <f t="shared" si="41"/>
        <v>&lt;Valeur name="compta"&gt;1&lt;/Valeur&gt;</v>
      </c>
      <c r="AG137" t="str">
        <f t="shared" si="42"/>
        <v>&lt;Valeur name="tvapct"&gt;20&lt;/Valeur&gt;</v>
      </c>
      <c r="AH137" t="str">
        <f t="shared" si="43"/>
        <v>&lt;Valeur name="tva"&gt;0.035&lt;/Valeur&gt;</v>
      </c>
      <c r="AL137" t="str">
        <f t="shared" si="44"/>
        <v>&lt;Insert&gt;&lt;Valeur name="no"&gt;136&lt;/Valeur&gt;&lt;Valeur name="ecriturebanque"&gt;128&lt;/Valeur&gt;&lt;Valeur name="datevaleur"&gt;2019/03/13&lt;/Valeur&gt;&lt;Valeur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138" spans="1:38" x14ac:dyDescent="0.25">
      <c r="A138">
        <v>129</v>
      </c>
      <c r="B138">
        <f>IF(A138&lt;&gt;"",VLOOKUP(A138,Banque!B:D,3,FALSE),1)</f>
        <v>1</v>
      </c>
      <c r="C138" s="1">
        <v>43537</v>
      </c>
      <c r="D138" t="s">
        <v>257</v>
      </c>
      <c r="E138" t="s">
        <v>31</v>
      </c>
      <c r="G138" s="10">
        <v>0.21</v>
      </c>
      <c r="I138" s="11">
        <f t="shared" si="30"/>
        <v>3.5000000000000003E-2</v>
      </c>
      <c r="K138">
        <v>137</v>
      </c>
      <c r="L138">
        <v>129</v>
      </c>
      <c r="M138" s="16" t="s">
        <v>902</v>
      </c>
      <c r="N138">
        <f>IFERROR(VLOOKUP(D138,tab!A:B,2,FALSE),1)</f>
        <v>18</v>
      </c>
      <c r="O138" t="str">
        <f t="shared" si="31"/>
        <v>FRAIS E-VIR SEPA VERS EEE</v>
      </c>
      <c r="P138" s="14">
        <f t="shared" si="32"/>
        <v>0.21</v>
      </c>
      <c r="Q138" s="14">
        <f t="shared" si="33"/>
        <v>1</v>
      </c>
      <c r="R138" s="14">
        <v>20</v>
      </c>
      <c r="S138" s="14">
        <f t="shared" si="34"/>
        <v>3.5000000000000003E-2</v>
      </c>
      <c r="Z138" t="str">
        <f t="shared" si="35"/>
        <v>&lt;Valeur name="no"&gt;137&lt;/Valeur&gt;</v>
      </c>
      <c r="AA138" t="str">
        <f t="shared" si="36"/>
        <v>&lt;Valeur name="ecriturebanque"&gt;129&lt;/Valeur&gt;</v>
      </c>
      <c r="AB138" t="str">
        <f t="shared" si="37"/>
        <v>&lt;Valeur name="datevaleur"&gt;2019/03/13&lt;/Valeur&gt;</v>
      </c>
      <c r="AC138" t="str">
        <f t="shared" si="38"/>
        <v>&lt;Valeur name="compte"&gt;18&lt;/Valeur&gt;</v>
      </c>
      <c r="AD138" t="str">
        <f t="shared" si="39"/>
        <v>&lt;Valeur name="description"&gt;FRAIS E-VIR SEPA VERS EEE&lt;/Valeur&gt;</v>
      </c>
      <c r="AE138" t="str">
        <f t="shared" si="40"/>
        <v>&lt;Valeur name="valeur"&gt;0.21&lt;/Valeur&gt;</v>
      </c>
      <c r="AF138" t="str">
        <f t="shared" si="41"/>
        <v>&lt;Valeur name="compta"&gt;1&lt;/Valeur&gt;</v>
      </c>
      <c r="AG138" t="str">
        <f t="shared" si="42"/>
        <v>&lt;Valeur name="tvapct"&gt;20&lt;/Valeur&gt;</v>
      </c>
      <c r="AH138" t="str">
        <f t="shared" si="43"/>
        <v>&lt;Valeur name="tva"&gt;0.035&lt;/Valeur&gt;</v>
      </c>
      <c r="AL138" t="str">
        <f t="shared" si="44"/>
        <v>&lt;Insert&gt;&lt;Valeur name="no"&gt;137&lt;/Valeur&gt;&lt;Valeur name="ecriturebanque"&gt;129&lt;/Valeur&gt;&lt;Valeur name="datevaleur"&gt;2019/03/13&lt;/Valeur&gt;&lt;Valeur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139" spans="1:38" x14ac:dyDescent="0.25">
      <c r="A139">
        <v>130</v>
      </c>
      <c r="B139">
        <f>IF(A139&lt;&gt;"",VLOOKUP(A139,Banque!B:D,3,FALSE),1)</f>
        <v>1</v>
      </c>
      <c r="C139" s="1">
        <v>43537</v>
      </c>
      <c r="D139" t="s">
        <v>257</v>
      </c>
      <c r="E139" t="s">
        <v>31</v>
      </c>
      <c r="G139" s="10">
        <v>0.21</v>
      </c>
      <c r="I139" s="11">
        <f t="shared" si="30"/>
        <v>3.5000000000000003E-2</v>
      </c>
      <c r="K139">
        <v>138</v>
      </c>
      <c r="L139">
        <v>130</v>
      </c>
      <c r="M139" s="16" t="s">
        <v>902</v>
      </c>
      <c r="N139">
        <f>IFERROR(VLOOKUP(D139,tab!A:B,2,FALSE),1)</f>
        <v>18</v>
      </c>
      <c r="O139" t="str">
        <f t="shared" si="31"/>
        <v>FRAIS E-VIR SEPA VERS EEE</v>
      </c>
      <c r="P139" s="14">
        <f t="shared" si="32"/>
        <v>0.21</v>
      </c>
      <c r="Q139" s="14">
        <f t="shared" si="33"/>
        <v>1</v>
      </c>
      <c r="R139" s="14">
        <v>20</v>
      </c>
      <c r="S139" s="14">
        <f t="shared" si="34"/>
        <v>3.5000000000000003E-2</v>
      </c>
      <c r="Z139" t="str">
        <f t="shared" si="35"/>
        <v>&lt;Valeur name="no"&gt;138&lt;/Valeur&gt;</v>
      </c>
      <c r="AA139" t="str">
        <f t="shared" si="36"/>
        <v>&lt;Valeur name="ecriturebanque"&gt;130&lt;/Valeur&gt;</v>
      </c>
      <c r="AB139" t="str">
        <f t="shared" si="37"/>
        <v>&lt;Valeur name="datevaleur"&gt;2019/03/13&lt;/Valeur&gt;</v>
      </c>
      <c r="AC139" t="str">
        <f t="shared" si="38"/>
        <v>&lt;Valeur name="compte"&gt;18&lt;/Valeur&gt;</v>
      </c>
      <c r="AD139" t="str">
        <f t="shared" si="39"/>
        <v>&lt;Valeur name="description"&gt;FRAIS E-VIR SEPA VERS EEE&lt;/Valeur&gt;</v>
      </c>
      <c r="AE139" t="str">
        <f t="shared" si="40"/>
        <v>&lt;Valeur name="valeur"&gt;0.21&lt;/Valeur&gt;</v>
      </c>
      <c r="AF139" t="str">
        <f t="shared" si="41"/>
        <v>&lt;Valeur name="compta"&gt;1&lt;/Valeur&gt;</v>
      </c>
      <c r="AG139" t="str">
        <f t="shared" si="42"/>
        <v>&lt;Valeur name="tvapct"&gt;20&lt;/Valeur&gt;</v>
      </c>
      <c r="AH139" t="str">
        <f t="shared" si="43"/>
        <v>&lt;Valeur name="tva"&gt;0.035&lt;/Valeur&gt;</v>
      </c>
      <c r="AL139" t="str">
        <f t="shared" si="44"/>
        <v>&lt;Insert&gt;&lt;Valeur name="no"&gt;138&lt;/Valeur&gt;&lt;Valeur name="ecriturebanque"&gt;130&lt;/Valeur&gt;&lt;Valeur name="datevaleur"&gt;2019/03/13&lt;/Valeur&gt;&lt;Valeur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140" spans="1:38" x14ac:dyDescent="0.25">
      <c r="A140">
        <v>131</v>
      </c>
      <c r="B140">
        <f>IF(A140&lt;&gt;"",VLOOKUP(A140,Banque!B:D,3,FALSE),1)</f>
        <v>1</v>
      </c>
      <c r="C140" s="1">
        <v>43537</v>
      </c>
      <c r="D140" t="s">
        <v>257</v>
      </c>
      <c r="E140" t="s">
        <v>31</v>
      </c>
      <c r="G140" s="10">
        <v>0.21</v>
      </c>
      <c r="I140" s="11">
        <f t="shared" si="30"/>
        <v>3.5000000000000003E-2</v>
      </c>
      <c r="K140">
        <v>139</v>
      </c>
      <c r="L140">
        <v>131</v>
      </c>
      <c r="M140" s="16" t="s">
        <v>902</v>
      </c>
      <c r="N140">
        <f>IFERROR(VLOOKUP(D140,tab!A:B,2,FALSE),1)</f>
        <v>18</v>
      </c>
      <c r="O140" t="str">
        <f t="shared" si="31"/>
        <v>FRAIS E-VIR SEPA VERS EEE</v>
      </c>
      <c r="P140" s="14">
        <f t="shared" si="32"/>
        <v>0.21</v>
      </c>
      <c r="Q140" s="14">
        <f t="shared" si="33"/>
        <v>1</v>
      </c>
      <c r="R140" s="14">
        <v>20</v>
      </c>
      <c r="S140" s="14">
        <f t="shared" si="34"/>
        <v>3.5000000000000003E-2</v>
      </c>
      <c r="Z140" t="str">
        <f t="shared" si="35"/>
        <v>&lt;Valeur name="no"&gt;139&lt;/Valeur&gt;</v>
      </c>
      <c r="AA140" t="str">
        <f t="shared" si="36"/>
        <v>&lt;Valeur name="ecriturebanque"&gt;131&lt;/Valeur&gt;</v>
      </c>
      <c r="AB140" t="str">
        <f t="shared" si="37"/>
        <v>&lt;Valeur name="datevaleur"&gt;2019/03/13&lt;/Valeur&gt;</v>
      </c>
      <c r="AC140" t="str">
        <f t="shared" si="38"/>
        <v>&lt;Valeur name="compte"&gt;18&lt;/Valeur&gt;</v>
      </c>
      <c r="AD140" t="str">
        <f t="shared" si="39"/>
        <v>&lt;Valeur name="description"&gt;FRAIS E-VIR SEPA VERS EEE&lt;/Valeur&gt;</v>
      </c>
      <c r="AE140" t="str">
        <f t="shared" si="40"/>
        <v>&lt;Valeur name="valeur"&gt;0.21&lt;/Valeur&gt;</v>
      </c>
      <c r="AF140" t="str">
        <f t="shared" si="41"/>
        <v>&lt;Valeur name="compta"&gt;1&lt;/Valeur&gt;</v>
      </c>
      <c r="AG140" t="str">
        <f t="shared" si="42"/>
        <v>&lt;Valeur name="tvapct"&gt;20&lt;/Valeur&gt;</v>
      </c>
      <c r="AH140" t="str">
        <f t="shared" si="43"/>
        <v>&lt;Valeur name="tva"&gt;0.035&lt;/Valeur&gt;</v>
      </c>
      <c r="AL140" t="str">
        <f t="shared" si="44"/>
        <v>&lt;Insert&gt;&lt;Valeur name="no"&gt;139&lt;/Valeur&gt;&lt;Valeur name="ecriturebanque"&gt;131&lt;/Valeur&gt;&lt;Valeur name="datevaleur"&gt;2019/03/13&lt;/Valeur&gt;&lt;Valeur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141" spans="1:38" x14ac:dyDescent="0.25">
      <c r="A141">
        <v>132</v>
      </c>
      <c r="B141">
        <f>IF(A141&lt;&gt;"",VLOOKUP(A141,Banque!B:D,3,FALSE),1)</f>
        <v>1</v>
      </c>
      <c r="C141" s="1">
        <v>43537</v>
      </c>
      <c r="D141" t="s">
        <v>257</v>
      </c>
      <c r="E141" t="s">
        <v>31</v>
      </c>
      <c r="G141" s="10">
        <v>0.21</v>
      </c>
      <c r="I141" s="11">
        <f t="shared" si="30"/>
        <v>3.5000000000000003E-2</v>
      </c>
      <c r="K141">
        <v>140</v>
      </c>
      <c r="L141">
        <v>132</v>
      </c>
      <c r="M141" s="16" t="s">
        <v>902</v>
      </c>
      <c r="N141">
        <f>IFERROR(VLOOKUP(D141,tab!A:B,2,FALSE),1)</f>
        <v>18</v>
      </c>
      <c r="O141" t="str">
        <f t="shared" si="31"/>
        <v>FRAIS E-VIR SEPA VERS EEE</v>
      </c>
      <c r="P141" s="14">
        <f t="shared" si="32"/>
        <v>0.21</v>
      </c>
      <c r="Q141" s="14">
        <f t="shared" si="33"/>
        <v>1</v>
      </c>
      <c r="R141" s="14">
        <v>20</v>
      </c>
      <c r="S141" s="14">
        <f t="shared" si="34"/>
        <v>3.5000000000000003E-2</v>
      </c>
      <c r="Z141" t="str">
        <f t="shared" si="35"/>
        <v>&lt;Valeur name="no"&gt;140&lt;/Valeur&gt;</v>
      </c>
      <c r="AA141" t="str">
        <f t="shared" si="36"/>
        <v>&lt;Valeur name="ecriturebanque"&gt;132&lt;/Valeur&gt;</v>
      </c>
      <c r="AB141" t="str">
        <f t="shared" si="37"/>
        <v>&lt;Valeur name="datevaleur"&gt;2019/03/13&lt;/Valeur&gt;</v>
      </c>
      <c r="AC141" t="str">
        <f t="shared" si="38"/>
        <v>&lt;Valeur name="compte"&gt;18&lt;/Valeur&gt;</v>
      </c>
      <c r="AD141" t="str">
        <f t="shared" si="39"/>
        <v>&lt;Valeur name="description"&gt;FRAIS E-VIR SEPA VERS EEE&lt;/Valeur&gt;</v>
      </c>
      <c r="AE141" t="str">
        <f t="shared" si="40"/>
        <v>&lt;Valeur name="valeur"&gt;0.21&lt;/Valeur&gt;</v>
      </c>
      <c r="AF141" t="str">
        <f t="shared" si="41"/>
        <v>&lt;Valeur name="compta"&gt;1&lt;/Valeur&gt;</v>
      </c>
      <c r="AG141" t="str">
        <f t="shared" si="42"/>
        <v>&lt;Valeur name="tvapct"&gt;20&lt;/Valeur&gt;</v>
      </c>
      <c r="AH141" t="str">
        <f t="shared" si="43"/>
        <v>&lt;Valeur name="tva"&gt;0.035&lt;/Valeur&gt;</v>
      </c>
      <c r="AL141" t="str">
        <f t="shared" si="44"/>
        <v>&lt;Insert&gt;&lt;Valeur name="no"&gt;140&lt;/Valeur&gt;&lt;Valeur name="ecriturebanque"&gt;132&lt;/Valeur&gt;&lt;Valeur name="datevaleur"&gt;2019/03/13&lt;/Valeur&gt;&lt;Valeur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142" spans="1:38" x14ac:dyDescent="0.25">
      <c r="A142">
        <v>133</v>
      </c>
      <c r="B142">
        <f>IF(A142&lt;&gt;"",VLOOKUP(A142,Banque!B:D,3,FALSE),1)</f>
        <v>1</v>
      </c>
      <c r="C142" s="1">
        <v>43537</v>
      </c>
      <c r="D142" t="s">
        <v>257</v>
      </c>
      <c r="E142" t="s">
        <v>31</v>
      </c>
      <c r="G142" s="10">
        <v>0.21</v>
      </c>
      <c r="I142" s="11">
        <f t="shared" si="30"/>
        <v>3.5000000000000003E-2</v>
      </c>
      <c r="K142">
        <v>141</v>
      </c>
      <c r="L142">
        <v>133</v>
      </c>
      <c r="M142" s="16" t="s">
        <v>902</v>
      </c>
      <c r="N142">
        <f>IFERROR(VLOOKUP(D142,tab!A:B,2,FALSE),1)</f>
        <v>18</v>
      </c>
      <c r="O142" t="str">
        <f t="shared" si="31"/>
        <v>FRAIS E-VIR SEPA VERS EEE</v>
      </c>
      <c r="P142" s="14">
        <f t="shared" si="32"/>
        <v>0.21</v>
      </c>
      <c r="Q142" s="14">
        <f t="shared" si="33"/>
        <v>1</v>
      </c>
      <c r="R142" s="14">
        <v>20</v>
      </c>
      <c r="S142" s="14">
        <f t="shared" si="34"/>
        <v>3.5000000000000003E-2</v>
      </c>
      <c r="Z142" t="str">
        <f t="shared" si="35"/>
        <v>&lt;Valeur name="no"&gt;141&lt;/Valeur&gt;</v>
      </c>
      <c r="AA142" t="str">
        <f t="shared" si="36"/>
        <v>&lt;Valeur name="ecriturebanque"&gt;133&lt;/Valeur&gt;</v>
      </c>
      <c r="AB142" t="str">
        <f t="shared" si="37"/>
        <v>&lt;Valeur name="datevaleur"&gt;2019/03/13&lt;/Valeur&gt;</v>
      </c>
      <c r="AC142" t="str">
        <f t="shared" si="38"/>
        <v>&lt;Valeur name="compte"&gt;18&lt;/Valeur&gt;</v>
      </c>
      <c r="AD142" t="str">
        <f t="shared" si="39"/>
        <v>&lt;Valeur name="description"&gt;FRAIS E-VIR SEPA VERS EEE&lt;/Valeur&gt;</v>
      </c>
      <c r="AE142" t="str">
        <f t="shared" si="40"/>
        <v>&lt;Valeur name="valeur"&gt;0.21&lt;/Valeur&gt;</v>
      </c>
      <c r="AF142" t="str">
        <f t="shared" si="41"/>
        <v>&lt;Valeur name="compta"&gt;1&lt;/Valeur&gt;</v>
      </c>
      <c r="AG142" t="str">
        <f t="shared" si="42"/>
        <v>&lt;Valeur name="tvapct"&gt;20&lt;/Valeur&gt;</v>
      </c>
      <c r="AH142" t="str">
        <f t="shared" si="43"/>
        <v>&lt;Valeur name="tva"&gt;0.035&lt;/Valeur&gt;</v>
      </c>
      <c r="AL142" t="str">
        <f t="shared" si="44"/>
        <v>&lt;Insert&gt;&lt;Valeur name="no"&gt;141&lt;/Valeur&gt;&lt;Valeur name="ecriturebanque"&gt;133&lt;/Valeur&gt;&lt;Valeur name="datevaleur"&gt;2019/03/13&lt;/Valeur&gt;&lt;Valeur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143" spans="1:38" x14ac:dyDescent="0.25">
      <c r="A143">
        <v>134</v>
      </c>
      <c r="B143">
        <f>IF(A143&lt;&gt;"",VLOOKUP(A143,Banque!B:D,3,FALSE),1)</f>
        <v>1</v>
      </c>
      <c r="C143" s="1">
        <v>43537</v>
      </c>
      <c r="D143" t="s">
        <v>257</v>
      </c>
      <c r="E143" t="s">
        <v>31</v>
      </c>
      <c r="G143" s="10">
        <v>0.21</v>
      </c>
      <c r="I143" s="11">
        <f t="shared" si="30"/>
        <v>3.5000000000000003E-2</v>
      </c>
      <c r="K143">
        <v>142</v>
      </c>
      <c r="L143">
        <v>134</v>
      </c>
      <c r="M143" s="16" t="s">
        <v>902</v>
      </c>
      <c r="N143">
        <f>IFERROR(VLOOKUP(D143,tab!A:B,2,FALSE),1)</f>
        <v>18</v>
      </c>
      <c r="O143" t="str">
        <f t="shared" si="31"/>
        <v>FRAIS E-VIR SEPA VERS EEE</v>
      </c>
      <c r="P143" s="14">
        <f t="shared" si="32"/>
        <v>0.21</v>
      </c>
      <c r="Q143" s="14">
        <f t="shared" si="33"/>
        <v>1</v>
      </c>
      <c r="R143" s="14">
        <v>20</v>
      </c>
      <c r="S143" s="14">
        <f t="shared" si="34"/>
        <v>3.5000000000000003E-2</v>
      </c>
      <c r="Z143" t="str">
        <f t="shared" si="35"/>
        <v>&lt;Valeur name="no"&gt;142&lt;/Valeur&gt;</v>
      </c>
      <c r="AA143" t="str">
        <f t="shared" si="36"/>
        <v>&lt;Valeur name="ecriturebanque"&gt;134&lt;/Valeur&gt;</v>
      </c>
      <c r="AB143" t="str">
        <f t="shared" si="37"/>
        <v>&lt;Valeur name="datevaleur"&gt;2019/03/13&lt;/Valeur&gt;</v>
      </c>
      <c r="AC143" t="str">
        <f t="shared" si="38"/>
        <v>&lt;Valeur name="compte"&gt;18&lt;/Valeur&gt;</v>
      </c>
      <c r="AD143" t="str">
        <f t="shared" si="39"/>
        <v>&lt;Valeur name="description"&gt;FRAIS E-VIR SEPA VERS EEE&lt;/Valeur&gt;</v>
      </c>
      <c r="AE143" t="str">
        <f t="shared" si="40"/>
        <v>&lt;Valeur name="valeur"&gt;0.21&lt;/Valeur&gt;</v>
      </c>
      <c r="AF143" t="str">
        <f t="shared" si="41"/>
        <v>&lt;Valeur name="compta"&gt;1&lt;/Valeur&gt;</v>
      </c>
      <c r="AG143" t="str">
        <f t="shared" si="42"/>
        <v>&lt;Valeur name="tvapct"&gt;20&lt;/Valeur&gt;</v>
      </c>
      <c r="AH143" t="str">
        <f t="shared" si="43"/>
        <v>&lt;Valeur name="tva"&gt;0.035&lt;/Valeur&gt;</v>
      </c>
      <c r="AL143" t="str">
        <f t="shared" si="44"/>
        <v>&lt;Insert&gt;&lt;Valeur name="no"&gt;142&lt;/Valeur&gt;&lt;Valeur name="ecriturebanque"&gt;134&lt;/Valeur&gt;&lt;Valeur name="datevaleur"&gt;2019/03/13&lt;/Valeur&gt;&lt;Valeur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144" spans="1:38" x14ac:dyDescent="0.25">
      <c r="A144">
        <v>135</v>
      </c>
      <c r="B144">
        <f>IF(A144&lt;&gt;"",VLOOKUP(A144,Banque!B:D,3,FALSE),1)</f>
        <v>1</v>
      </c>
      <c r="C144" s="1">
        <v>43538</v>
      </c>
      <c r="D144" t="s">
        <v>256</v>
      </c>
      <c r="E144" t="s">
        <v>56</v>
      </c>
      <c r="G144" s="10">
        <v>1774.11</v>
      </c>
      <c r="I144" s="11">
        <f t="shared" si="30"/>
        <v>295.68499999999995</v>
      </c>
      <c r="K144">
        <v>143</v>
      </c>
      <c r="L144">
        <v>135</v>
      </c>
      <c r="M144" s="16" t="s">
        <v>879</v>
      </c>
      <c r="N144">
        <f>IFERROR(VLOOKUP(D144,tab!A:B,2,FALSE),1)</f>
        <v>28</v>
      </c>
      <c r="O144" t="str">
        <f t="shared" si="31"/>
        <v>E-VIR SEPA Salaire Alex fev 18</v>
      </c>
      <c r="P144" s="14">
        <f t="shared" si="32"/>
        <v>1774.11</v>
      </c>
      <c r="Q144" s="14">
        <f t="shared" si="33"/>
        <v>1</v>
      </c>
      <c r="R144" s="14">
        <v>20</v>
      </c>
      <c r="S144" s="14">
        <f t="shared" si="34"/>
        <v>295.68499999999995</v>
      </c>
      <c r="Z144" t="str">
        <f t="shared" si="35"/>
        <v>&lt;Valeur name="no"&gt;143&lt;/Valeur&gt;</v>
      </c>
      <c r="AA144" t="str">
        <f t="shared" si="36"/>
        <v>&lt;Valeur name="ecriturebanque"&gt;135&lt;/Valeur&gt;</v>
      </c>
      <c r="AB144" t="str">
        <f t="shared" si="37"/>
        <v>&lt;Valeur name="datevaleur"&gt;2019/03/14&lt;/Valeur&gt;</v>
      </c>
      <c r="AC144" t="str">
        <f t="shared" si="38"/>
        <v>&lt;Valeur name="compte"&gt;28&lt;/Valeur&gt;</v>
      </c>
      <c r="AD144" t="str">
        <f t="shared" si="39"/>
        <v>&lt;Valeur name="description"&gt;E-VIR SEPA Salaire Alex fev 18&lt;/Valeur&gt;</v>
      </c>
      <c r="AE144" t="str">
        <f t="shared" si="40"/>
        <v>&lt;Valeur name="valeur"&gt;1774.11&lt;/Valeur&gt;</v>
      </c>
      <c r="AF144" t="str">
        <f t="shared" si="41"/>
        <v>&lt;Valeur name="compta"&gt;1&lt;/Valeur&gt;</v>
      </c>
      <c r="AG144" t="str">
        <f t="shared" si="42"/>
        <v>&lt;Valeur name="tvapct"&gt;20&lt;/Valeur&gt;</v>
      </c>
      <c r="AH144" t="str">
        <f t="shared" si="43"/>
        <v>&lt;Valeur name="tva"&gt;295.685&lt;/Valeur&gt;</v>
      </c>
      <c r="AL144" t="str">
        <f t="shared" si="44"/>
        <v>&lt;Insert&gt;&lt;Valeur name="no"&gt;143&lt;/Valeur&gt;&lt;Valeur name="ecriturebanque"&gt;135&lt;/Valeur&gt;&lt;Valeur name="datevaleur"&gt;2019/03/14&lt;/Valeur&gt;&lt;Valeur name="compte"&gt;28&lt;/Valeur&gt;&lt;Valeur name="description"&gt;E-VIR SEPA Salaire Alex fev 18&lt;/Valeur&gt;&lt;Valeur name="valeur"&gt;1774.11&lt;/Valeur&gt;&lt;Valeur name="compta"&gt;1&lt;/Valeur&gt;&lt;Valeur name="tvapct"&gt;20&lt;/Valeur&gt;&lt;Valeur name="tva"&gt;295.685&lt;/Valeur&gt;&lt;/Insert&gt;</v>
      </c>
    </row>
    <row r="145" spans="1:38" x14ac:dyDescent="0.25">
      <c r="A145">
        <v>136</v>
      </c>
      <c r="B145">
        <f>IF(A145&lt;&gt;"",VLOOKUP(A145,Banque!B:D,3,FALSE),1)</f>
        <v>1</v>
      </c>
      <c r="C145" s="1">
        <v>43538</v>
      </c>
      <c r="D145" t="s">
        <v>256</v>
      </c>
      <c r="E145" t="s">
        <v>58</v>
      </c>
      <c r="G145" s="10">
        <v>2090.9699999999998</v>
      </c>
      <c r="I145" s="11">
        <f t="shared" si="30"/>
        <v>348.49499999999989</v>
      </c>
      <c r="K145">
        <v>144</v>
      </c>
      <c r="L145">
        <v>136</v>
      </c>
      <c r="M145" s="16" t="s">
        <v>879</v>
      </c>
      <c r="N145">
        <f>IFERROR(VLOOKUP(D145,tab!A:B,2,FALSE),1)</f>
        <v>28</v>
      </c>
      <c r="O145" t="str">
        <f t="shared" si="31"/>
        <v>E-VIR SEPA Salaire Etienn f?v18</v>
      </c>
      <c r="P145" s="14">
        <f t="shared" si="32"/>
        <v>2090.9699999999998</v>
      </c>
      <c r="Q145" s="14">
        <f t="shared" si="33"/>
        <v>1</v>
      </c>
      <c r="R145" s="14">
        <v>20</v>
      </c>
      <c r="S145" s="14">
        <f t="shared" si="34"/>
        <v>348.49499999999989</v>
      </c>
      <c r="Z145" t="str">
        <f t="shared" si="35"/>
        <v>&lt;Valeur name="no"&gt;144&lt;/Valeur&gt;</v>
      </c>
      <c r="AA145" t="str">
        <f t="shared" si="36"/>
        <v>&lt;Valeur name="ecriturebanque"&gt;136&lt;/Valeur&gt;</v>
      </c>
      <c r="AB145" t="str">
        <f t="shared" si="37"/>
        <v>&lt;Valeur name="datevaleur"&gt;2019/03/14&lt;/Valeur&gt;</v>
      </c>
      <c r="AC145" t="str">
        <f t="shared" si="38"/>
        <v>&lt;Valeur name="compte"&gt;28&lt;/Valeur&gt;</v>
      </c>
      <c r="AD145" t="str">
        <f t="shared" si="39"/>
        <v>&lt;Valeur name="description"&gt;E-VIR SEPA Salaire Etienn f?v18&lt;/Valeur&gt;</v>
      </c>
      <c r="AE145" t="str">
        <f t="shared" si="40"/>
        <v>&lt;Valeur name="valeur"&gt;2090.97&lt;/Valeur&gt;</v>
      </c>
      <c r="AF145" t="str">
        <f t="shared" si="41"/>
        <v>&lt;Valeur name="compta"&gt;1&lt;/Valeur&gt;</v>
      </c>
      <c r="AG145" t="str">
        <f t="shared" si="42"/>
        <v>&lt;Valeur name="tvapct"&gt;20&lt;/Valeur&gt;</v>
      </c>
      <c r="AH145" t="str">
        <f t="shared" si="43"/>
        <v>&lt;Valeur name="tva"&gt;348.495&lt;/Valeur&gt;</v>
      </c>
      <c r="AL145" t="str">
        <f t="shared" si="44"/>
        <v>&lt;Insert&gt;&lt;Valeur name="no"&gt;144&lt;/Valeur&gt;&lt;Valeur name="ecriturebanque"&gt;136&lt;/Valeur&gt;&lt;Valeur name="datevaleur"&gt;2019/03/14&lt;/Valeur&gt;&lt;Valeur name="compte"&gt;28&lt;/Valeur&gt;&lt;Valeur name="description"&gt;E-VIR SEPA Salaire Etienn f?v18&lt;/Valeur&gt;&lt;Valeur name="valeur"&gt;2090.97&lt;/Valeur&gt;&lt;Valeur name="compta"&gt;1&lt;/Valeur&gt;&lt;Valeur name="tvapct"&gt;20&lt;/Valeur&gt;&lt;Valeur name="tva"&gt;348.495&lt;/Valeur&gt;&lt;/Insert&gt;</v>
      </c>
    </row>
    <row r="146" spans="1:38" x14ac:dyDescent="0.25">
      <c r="A146">
        <v>137</v>
      </c>
      <c r="B146">
        <f>IF(A146&lt;&gt;"",VLOOKUP(A146,Banque!B:D,3,FALSE),1)</f>
        <v>1</v>
      </c>
      <c r="C146" s="1">
        <v>43538</v>
      </c>
      <c r="D146" t="s">
        <v>254</v>
      </c>
      <c r="E146" t="s">
        <v>63</v>
      </c>
      <c r="G146" s="10">
        <v>47.3</v>
      </c>
      <c r="I146" s="11">
        <f t="shared" si="30"/>
        <v>7.8833333333333329</v>
      </c>
      <c r="K146">
        <v>145</v>
      </c>
      <c r="L146">
        <v>137</v>
      </c>
      <c r="M146" s="16" t="s">
        <v>879</v>
      </c>
      <c r="N146">
        <f>IFERROR(VLOOKUP(D146,tab!A:B,2,FALSE),1)</f>
        <v>27</v>
      </c>
      <c r="O146" t="str">
        <f t="shared" si="31"/>
        <v>CB 548222 LE MATHYS   59AVESNES</v>
      </c>
      <c r="P146" s="14">
        <f t="shared" si="32"/>
        <v>47.3</v>
      </c>
      <c r="Q146" s="14">
        <f t="shared" si="33"/>
        <v>1</v>
      </c>
      <c r="R146" s="14">
        <v>20</v>
      </c>
      <c r="S146" s="14">
        <f t="shared" si="34"/>
        <v>7.8833333333333329</v>
      </c>
      <c r="Z146" t="str">
        <f t="shared" si="35"/>
        <v>&lt;Valeur name="no"&gt;145&lt;/Valeur&gt;</v>
      </c>
      <c r="AA146" t="str">
        <f t="shared" si="36"/>
        <v>&lt;Valeur name="ecriturebanque"&gt;137&lt;/Valeur&gt;</v>
      </c>
      <c r="AB146" t="str">
        <f t="shared" si="37"/>
        <v>&lt;Valeur name="datevaleur"&gt;2019/03/14&lt;/Valeur&gt;</v>
      </c>
      <c r="AC146" t="str">
        <f t="shared" si="38"/>
        <v>&lt;Valeur name="compte"&gt;27&lt;/Valeur&gt;</v>
      </c>
      <c r="AD146" t="str">
        <f t="shared" si="39"/>
        <v>&lt;Valeur name="description"&gt;CB 548222 LE MATHYS   59AVESNES&lt;/Valeur&gt;</v>
      </c>
      <c r="AE146" t="str">
        <f t="shared" si="40"/>
        <v>&lt;Valeur name="valeur"&gt;47.3&lt;/Valeur&gt;</v>
      </c>
      <c r="AF146" t="str">
        <f t="shared" si="41"/>
        <v>&lt;Valeur name="compta"&gt;1&lt;/Valeur&gt;</v>
      </c>
      <c r="AG146" t="str">
        <f t="shared" si="42"/>
        <v>&lt;Valeur name="tvapct"&gt;20&lt;/Valeur&gt;</v>
      </c>
      <c r="AH146" t="str">
        <f t="shared" si="43"/>
        <v>&lt;Valeur name="tva"&gt;7.88333333333333&lt;/Valeur&gt;</v>
      </c>
      <c r="AL146" t="str">
        <f t="shared" si="44"/>
        <v>&lt;Insert&gt;&lt;Valeur name="no"&gt;145&lt;/Valeur&gt;&lt;Valeur name="ecriturebanque"&gt;137&lt;/Valeur&gt;&lt;Valeur name="datevaleur"&gt;2019/03/14&lt;/Valeur&gt;&lt;Valeur name="compte"&gt;27&lt;/Valeur&gt;&lt;Valeur name="description"&gt;CB 548222 LE MATHYS   59AVESNES&lt;/Valeur&gt;&lt;Valeur name="valeur"&gt;47.3&lt;/Valeur&gt;&lt;Valeur name="compta"&gt;1&lt;/Valeur&gt;&lt;Valeur name="tvapct"&gt;20&lt;/Valeur&gt;&lt;Valeur name="tva"&gt;7.88333333333333&lt;/Valeur&gt;&lt;/Insert&gt;</v>
      </c>
    </row>
    <row r="147" spans="1:38" x14ac:dyDescent="0.25">
      <c r="A147">
        <v>138</v>
      </c>
      <c r="B147">
        <f>IF(A147&lt;&gt;"",VLOOKUP(A147,Banque!B:D,3,FALSE),1)</f>
        <v>1</v>
      </c>
      <c r="C147" s="1">
        <v>43538</v>
      </c>
      <c r="D147" t="s">
        <v>294</v>
      </c>
      <c r="E147" t="s">
        <v>61</v>
      </c>
      <c r="G147" s="10">
        <v>10.29</v>
      </c>
      <c r="I147" s="11">
        <f t="shared" si="30"/>
        <v>1.7149999999999999</v>
      </c>
      <c r="K147">
        <v>146</v>
      </c>
      <c r="L147">
        <v>138</v>
      </c>
      <c r="M147" s="16" t="s">
        <v>879</v>
      </c>
      <c r="N147">
        <f>IFERROR(VLOOKUP(D147,tab!A:B,2,FALSE),1)</f>
        <v>83</v>
      </c>
      <c r="O147" t="str">
        <f t="shared" si="31"/>
        <v>CB 454106 LEROY2C FAM 59FAMARS</v>
      </c>
      <c r="P147" s="14">
        <f t="shared" si="32"/>
        <v>10.29</v>
      </c>
      <c r="Q147" s="14">
        <f t="shared" si="33"/>
        <v>1</v>
      </c>
      <c r="R147" s="14">
        <v>20</v>
      </c>
      <c r="S147" s="14">
        <f t="shared" si="34"/>
        <v>1.7149999999999999</v>
      </c>
      <c r="Z147" t="str">
        <f t="shared" si="35"/>
        <v>&lt;Valeur name="no"&gt;146&lt;/Valeur&gt;</v>
      </c>
      <c r="AA147" t="str">
        <f t="shared" si="36"/>
        <v>&lt;Valeur name="ecriturebanque"&gt;138&lt;/Valeur&gt;</v>
      </c>
      <c r="AB147" t="str">
        <f t="shared" si="37"/>
        <v>&lt;Valeur name="datevaleur"&gt;2019/03/14&lt;/Valeur&gt;</v>
      </c>
      <c r="AC147" t="str">
        <f t="shared" si="38"/>
        <v>&lt;Valeur name="compte"&gt;83&lt;/Valeur&gt;</v>
      </c>
      <c r="AD147" t="str">
        <f t="shared" si="39"/>
        <v>&lt;Valeur name="description"&gt;CB 454106 LEROY2C FAM 59FAMARS&lt;/Valeur&gt;</v>
      </c>
      <c r="AE147" t="str">
        <f t="shared" si="40"/>
        <v>&lt;Valeur name="valeur"&gt;10.29&lt;/Valeur&gt;</v>
      </c>
      <c r="AF147" t="str">
        <f t="shared" si="41"/>
        <v>&lt;Valeur name="compta"&gt;1&lt;/Valeur&gt;</v>
      </c>
      <c r="AG147" t="str">
        <f t="shared" si="42"/>
        <v>&lt;Valeur name="tvapct"&gt;20&lt;/Valeur&gt;</v>
      </c>
      <c r="AH147" t="str">
        <f t="shared" si="43"/>
        <v>&lt;Valeur name="tva"&gt;1.715&lt;/Valeur&gt;</v>
      </c>
      <c r="AL147" t="str">
        <f t="shared" si="44"/>
        <v>&lt;Insert&gt;&lt;Valeur name="no"&gt;146&lt;/Valeur&gt;&lt;Valeur name="ecriturebanque"&gt;138&lt;/Valeur&gt;&lt;Valeur name="datevaleur"&gt;2019/03/14&lt;/Valeur&gt;&lt;Valeur name="compte"&gt;83&lt;/Valeur&gt;&lt;Valeur name="description"&gt;CB 454106 LEROY2C FAM 59FAMARS&lt;/Valeur&gt;&lt;Valeur name="valeur"&gt;10.29&lt;/Valeur&gt;&lt;Valeur name="compta"&gt;1&lt;/Valeur&gt;&lt;Valeur name="tvapct"&gt;20&lt;/Valeur&gt;&lt;Valeur name="tva"&gt;1.715&lt;/Valeur&gt;&lt;/Insert&gt;</v>
      </c>
    </row>
    <row r="148" spans="1:38" x14ac:dyDescent="0.25">
      <c r="A148">
        <v>139</v>
      </c>
      <c r="B148">
        <f>IF(A148&lt;&gt;"",VLOOKUP(A148,Banque!B:D,3,FALSE),1)</f>
        <v>0</v>
      </c>
      <c r="C148" s="1">
        <v>43538</v>
      </c>
      <c r="D148" t="s">
        <v>379</v>
      </c>
      <c r="E148" t="s">
        <v>65</v>
      </c>
      <c r="F148" t="s">
        <v>66</v>
      </c>
      <c r="H148" s="10">
        <v>6486</v>
      </c>
      <c r="I148" s="11">
        <f t="shared" si="30"/>
        <v>-1081</v>
      </c>
      <c r="K148">
        <v>147</v>
      </c>
      <c r="L148">
        <v>139</v>
      </c>
      <c r="M148" s="16" t="s">
        <v>879</v>
      </c>
      <c r="N148">
        <f>IFERROR(VLOOKUP(D148,tab!A:B,2,FALSE),1)</f>
        <v>4</v>
      </c>
      <c r="O148" t="str">
        <f t="shared" si="31"/>
        <v>VIR TRESORERIE ARRAS MUNICIP / FAC. AF244-1 DU 29/11/2018PROTOT</v>
      </c>
      <c r="P148" s="14">
        <f t="shared" si="32"/>
        <v>6486</v>
      </c>
      <c r="Q148" s="14">
        <f t="shared" si="33"/>
        <v>0</v>
      </c>
      <c r="R148" s="14">
        <v>20</v>
      </c>
      <c r="S148" s="14">
        <f t="shared" si="34"/>
        <v>-1081</v>
      </c>
      <c r="Z148" t="str">
        <f t="shared" si="35"/>
        <v>&lt;Valeur name="no"&gt;147&lt;/Valeur&gt;</v>
      </c>
      <c r="AA148" t="str">
        <f t="shared" si="36"/>
        <v>&lt;Valeur name="ecriturebanque"&gt;139&lt;/Valeur&gt;</v>
      </c>
      <c r="AB148" t="str">
        <f t="shared" si="37"/>
        <v>&lt;Valeur name="datevaleur"&gt;2019/03/14&lt;/Valeur&gt;</v>
      </c>
      <c r="AC148" t="str">
        <f t="shared" si="38"/>
        <v>&lt;Valeur name="compte"&gt;4&lt;/Valeur&gt;</v>
      </c>
      <c r="AD148" t="str">
        <f t="shared" si="39"/>
        <v>&lt;Valeur name="description"&gt;VIR TRESORERIE ARRAS MUNICIP / FAC. AF244-1 DU 29/11/2018PROTOT&lt;/Valeur&gt;</v>
      </c>
      <c r="AE148" t="str">
        <f t="shared" si="40"/>
        <v>&lt;Valeur name="valeur"&gt;6486&lt;/Valeur&gt;</v>
      </c>
      <c r="AF148" t="str">
        <f t="shared" si="41"/>
        <v>&lt;Valeur name="compta"&gt;0&lt;/Valeur&gt;</v>
      </c>
      <c r="AG148" t="str">
        <f t="shared" si="42"/>
        <v>&lt;Valeur name="tvapct"&gt;20&lt;/Valeur&gt;</v>
      </c>
      <c r="AH148" t="str">
        <f t="shared" si="43"/>
        <v>&lt;Valeur name="tva"&gt;-1081&lt;/Valeur&gt;</v>
      </c>
      <c r="AL148" t="str">
        <f t="shared" si="44"/>
        <v>&lt;Insert&gt;&lt;Valeur name="no"&gt;147&lt;/Valeur&gt;&lt;Valeur name="ecriturebanque"&gt;139&lt;/Valeur&gt;&lt;Valeur name="datevaleur"&gt;2019/03/14&lt;/Valeur&gt;&lt;Valeur name="compte"&gt;4&lt;/Valeur&gt;&lt;Valeur name="description"&gt;VIR TRESORERIE ARRAS MUNICIP / FAC. AF244-1 DU 29/11/2018PROTOT&lt;/Valeur&gt;&lt;Valeur name="valeur"&gt;6486&lt;/Valeur&gt;&lt;Valeur name="compta"&gt;0&lt;/Valeur&gt;&lt;Valeur name="tvapct"&gt;20&lt;/Valeur&gt;&lt;Valeur name="tva"&gt;-1081&lt;/Valeur&gt;&lt;/Insert&gt;</v>
      </c>
    </row>
    <row r="149" spans="1:38" x14ac:dyDescent="0.25">
      <c r="A149">
        <v>140</v>
      </c>
      <c r="B149">
        <f>IF(A149&lt;&gt;"",VLOOKUP(A149,Banque!B:D,3,FALSE),1)</f>
        <v>1</v>
      </c>
      <c r="C149" s="1">
        <v>43538</v>
      </c>
      <c r="D149" t="s">
        <v>257</v>
      </c>
      <c r="E149" t="s">
        <v>31</v>
      </c>
      <c r="G149" s="10">
        <v>0.21</v>
      </c>
      <c r="I149" s="11">
        <f t="shared" si="30"/>
        <v>3.5000000000000003E-2</v>
      </c>
      <c r="K149">
        <v>148</v>
      </c>
      <c r="L149">
        <v>140</v>
      </c>
      <c r="M149" s="16" t="s">
        <v>879</v>
      </c>
      <c r="N149">
        <f>IFERROR(VLOOKUP(D149,tab!A:B,2,FALSE),1)</f>
        <v>18</v>
      </c>
      <c r="O149" t="str">
        <f t="shared" si="31"/>
        <v>FRAIS E-VIR SEPA VERS EEE</v>
      </c>
      <c r="P149" s="14">
        <f t="shared" si="32"/>
        <v>0.21</v>
      </c>
      <c r="Q149" s="14">
        <f t="shared" si="33"/>
        <v>1</v>
      </c>
      <c r="R149" s="14">
        <v>20</v>
      </c>
      <c r="S149" s="14">
        <f t="shared" si="34"/>
        <v>3.5000000000000003E-2</v>
      </c>
      <c r="Z149" t="str">
        <f t="shared" si="35"/>
        <v>&lt;Valeur name="no"&gt;148&lt;/Valeur&gt;</v>
      </c>
      <c r="AA149" t="str">
        <f t="shared" si="36"/>
        <v>&lt;Valeur name="ecriturebanque"&gt;140&lt;/Valeur&gt;</v>
      </c>
      <c r="AB149" t="str">
        <f t="shared" si="37"/>
        <v>&lt;Valeur name="datevaleur"&gt;2019/03/14&lt;/Valeur&gt;</v>
      </c>
      <c r="AC149" t="str">
        <f t="shared" si="38"/>
        <v>&lt;Valeur name="compte"&gt;18&lt;/Valeur&gt;</v>
      </c>
      <c r="AD149" t="str">
        <f t="shared" si="39"/>
        <v>&lt;Valeur name="description"&gt;FRAIS E-VIR SEPA VERS EEE&lt;/Valeur&gt;</v>
      </c>
      <c r="AE149" t="str">
        <f t="shared" si="40"/>
        <v>&lt;Valeur name="valeur"&gt;0.21&lt;/Valeur&gt;</v>
      </c>
      <c r="AF149" t="str">
        <f t="shared" si="41"/>
        <v>&lt;Valeur name="compta"&gt;1&lt;/Valeur&gt;</v>
      </c>
      <c r="AG149" t="str">
        <f t="shared" si="42"/>
        <v>&lt;Valeur name="tvapct"&gt;20&lt;/Valeur&gt;</v>
      </c>
      <c r="AH149" t="str">
        <f t="shared" si="43"/>
        <v>&lt;Valeur name="tva"&gt;0.035&lt;/Valeur&gt;</v>
      </c>
      <c r="AL149" t="str">
        <f t="shared" si="44"/>
        <v>&lt;Insert&gt;&lt;Valeur name="no"&gt;148&lt;/Valeur&gt;&lt;Valeur name="ecriturebanque"&gt;140&lt;/Valeur&gt;&lt;Valeur name="datevaleur"&gt;2019/03/14&lt;/Valeur&gt;&lt;Valeur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150" spans="1:38" x14ac:dyDescent="0.25">
      <c r="B150">
        <f>IF(A150&lt;&gt;"",VLOOKUP(A150,Banque!B:D,3,FALSE),1)</f>
        <v>1</v>
      </c>
      <c r="C150" s="1">
        <v>43539</v>
      </c>
      <c r="D150" t="s">
        <v>268</v>
      </c>
      <c r="G150" s="10">
        <v>666.31</v>
      </c>
      <c r="I150" s="11">
        <f t="shared" si="30"/>
        <v>111.05166666666662</v>
      </c>
      <c r="K150">
        <v>149</v>
      </c>
      <c r="L150">
        <v>141</v>
      </c>
      <c r="M150" s="16" t="s">
        <v>905</v>
      </c>
      <c r="N150">
        <f>IFERROR(VLOOKUP(D150,tab!A:B,2,FALSE),1)</f>
        <v>106</v>
      </c>
      <c r="O150" t="str">
        <f t="shared" si="31"/>
        <v/>
      </c>
      <c r="P150" s="14">
        <f t="shared" si="32"/>
        <v>666.31</v>
      </c>
      <c r="Q150" s="14">
        <f t="shared" si="33"/>
        <v>1</v>
      </c>
      <c r="R150" s="14">
        <v>20</v>
      </c>
      <c r="S150" s="14">
        <f t="shared" si="34"/>
        <v>111.05166666666662</v>
      </c>
      <c r="Z150" t="str">
        <f t="shared" si="35"/>
        <v>&lt;Valeur name="no"&gt;149&lt;/Valeur&gt;</v>
      </c>
      <c r="AA150" t="str">
        <f t="shared" si="36"/>
        <v>&lt;Valeur name="ecriturebanque"&gt;141&lt;/Valeur&gt;</v>
      </c>
      <c r="AB150" t="str">
        <f t="shared" si="37"/>
        <v>&lt;Valeur name="datevaleur"&gt;2019/03/15&lt;/Valeur&gt;</v>
      </c>
      <c r="AC150" t="str">
        <f t="shared" si="38"/>
        <v>&lt;Valeur name="compte"&gt;106&lt;/Valeur&gt;</v>
      </c>
      <c r="AD150" t="str">
        <f t="shared" si="39"/>
        <v>&lt;Valeur name="description"&gt;&lt;/Valeur&gt;</v>
      </c>
      <c r="AE150" t="str">
        <f t="shared" si="40"/>
        <v>&lt;Valeur name="valeur"&gt;666.31&lt;/Valeur&gt;</v>
      </c>
      <c r="AF150" t="str">
        <f t="shared" si="41"/>
        <v>&lt;Valeur name="compta"&gt;1&lt;/Valeur&gt;</v>
      </c>
      <c r="AG150" t="str">
        <f t="shared" si="42"/>
        <v>&lt;Valeur name="tvapct"&gt;20&lt;/Valeur&gt;</v>
      </c>
      <c r="AH150" t="str">
        <f t="shared" si="43"/>
        <v>&lt;Valeur name="tva"&gt;111.051666666667&lt;/Valeur&gt;</v>
      </c>
      <c r="AL150" t="str">
        <f t="shared" si="44"/>
        <v>&lt;Insert&gt;&lt;Valeur name="no"&gt;149&lt;/Valeur&gt;&lt;Valeur name="ecriturebanque"&gt;141&lt;/Valeur&gt;&lt;Valeur name="datevaleur"&gt;2019/03/15&lt;/Valeur&gt;&lt;Valeur name="compte"&gt;106&lt;/Valeur&gt;&lt;Valeur name="description"&gt;&lt;/Valeur&gt;&lt;Valeur name="valeur"&gt;666.31&lt;/Valeur&gt;&lt;Valeur name="compta"&gt;1&lt;/Valeur&gt;&lt;Valeur name="tvapct"&gt;20&lt;/Valeur&gt;&lt;Valeur name="tva"&gt;111.051666666667&lt;/Valeur&gt;&lt;/Insert&gt;</v>
      </c>
    </row>
    <row r="151" spans="1:38" x14ac:dyDescent="0.25">
      <c r="B151">
        <f>IF(A151&lt;&gt;"",VLOOKUP(A151,Banque!B:D,3,FALSE),1)</f>
        <v>1</v>
      </c>
      <c r="C151" s="1">
        <v>43539</v>
      </c>
      <c r="D151" t="s">
        <v>295</v>
      </c>
      <c r="G151" s="10">
        <v>2170.4</v>
      </c>
      <c r="I151" s="11">
        <f t="shared" si="30"/>
        <v>361.73333333333335</v>
      </c>
      <c r="K151">
        <v>150</v>
      </c>
      <c r="L151">
        <v>141</v>
      </c>
      <c r="M151" s="16" t="s">
        <v>905</v>
      </c>
      <c r="N151">
        <f>IFERROR(VLOOKUP(D151,tab!A:B,2,FALSE),1)</f>
        <v>117</v>
      </c>
      <c r="O151" t="str">
        <f t="shared" si="31"/>
        <v/>
      </c>
      <c r="P151" s="14">
        <f t="shared" si="32"/>
        <v>2170.4</v>
      </c>
      <c r="Q151" s="14">
        <f t="shared" si="33"/>
        <v>1</v>
      </c>
      <c r="R151" s="14">
        <v>20</v>
      </c>
      <c r="S151" s="14">
        <f t="shared" si="34"/>
        <v>361.73333333333335</v>
      </c>
      <c r="Z151" t="str">
        <f t="shared" si="35"/>
        <v>&lt;Valeur name="no"&gt;150&lt;/Valeur&gt;</v>
      </c>
      <c r="AA151" t="str">
        <f t="shared" si="36"/>
        <v>&lt;Valeur name="ecriturebanque"&gt;141&lt;/Valeur&gt;</v>
      </c>
      <c r="AB151" t="str">
        <f t="shared" si="37"/>
        <v>&lt;Valeur name="datevaleur"&gt;2019/03/15&lt;/Valeur&gt;</v>
      </c>
      <c r="AC151" t="str">
        <f t="shared" si="38"/>
        <v>&lt;Valeur name="compte"&gt;117&lt;/Valeur&gt;</v>
      </c>
      <c r="AD151" t="str">
        <f t="shared" si="39"/>
        <v>&lt;Valeur name="description"&gt;&lt;/Valeur&gt;</v>
      </c>
      <c r="AE151" t="str">
        <f t="shared" si="40"/>
        <v>&lt;Valeur name="valeur"&gt;2170.4&lt;/Valeur&gt;</v>
      </c>
      <c r="AF151" t="str">
        <f t="shared" si="41"/>
        <v>&lt;Valeur name="compta"&gt;1&lt;/Valeur&gt;</v>
      </c>
      <c r="AG151" t="str">
        <f t="shared" si="42"/>
        <v>&lt;Valeur name="tvapct"&gt;20&lt;/Valeur&gt;</v>
      </c>
      <c r="AH151" t="str">
        <f t="shared" si="43"/>
        <v>&lt;Valeur name="tva"&gt;361.733333333333&lt;/Valeur&gt;</v>
      </c>
      <c r="AL151" t="str">
        <f t="shared" si="44"/>
        <v>&lt;Insert&gt;&lt;Valeur name="no"&gt;150&lt;/Valeur&gt;&lt;Valeur name="ecriturebanque"&gt;141&lt;/Valeur&gt;&lt;Valeur name="datevaleur"&gt;2019/03/15&lt;/Valeur&gt;&lt;Valeur name="compte"&gt;117&lt;/Valeur&gt;&lt;Valeur name="description"&gt;&lt;/Valeur&gt;&lt;Valeur name="valeur"&gt;2170.4&lt;/Valeur&gt;&lt;Valeur name="compta"&gt;1&lt;/Valeur&gt;&lt;Valeur name="tvapct"&gt;20&lt;/Valeur&gt;&lt;Valeur name="tva"&gt;361.733333333333&lt;/Valeur&gt;&lt;/Insert&gt;</v>
      </c>
    </row>
    <row r="152" spans="1:38" x14ac:dyDescent="0.25">
      <c r="A152">
        <v>142</v>
      </c>
      <c r="B152">
        <f>IF(A152&lt;&gt;"",VLOOKUP(A152,Banque!B:D,3,FALSE),1)</f>
        <v>1</v>
      </c>
      <c r="C152" s="1">
        <v>43539</v>
      </c>
      <c r="D152" t="s">
        <v>267</v>
      </c>
      <c r="E152" t="s">
        <v>52</v>
      </c>
      <c r="G152" s="10">
        <v>162</v>
      </c>
      <c r="I152" s="11">
        <f t="shared" si="30"/>
        <v>27</v>
      </c>
      <c r="K152">
        <v>151</v>
      </c>
      <c r="L152">
        <v>142</v>
      </c>
      <c r="M152" s="16" t="s">
        <v>905</v>
      </c>
      <c r="N152">
        <f>IFERROR(VLOOKUP(D152,tab!A:B,2,FALSE),1)</f>
        <v>12</v>
      </c>
      <c r="O152" t="str">
        <f t="shared" si="31"/>
        <v>PRLV SEPA MMA IARD SA-MMA IARD</v>
      </c>
      <c r="P152" s="14">
        <f t="shared" si="32"/>
        <v>162</v>
      </c>
      <c r="Q152" s="14">
        <f t="shared" si="33"/>
        <v>1</v>
      </c>
      <c r="R152" s="14">
        <v>20</v>
      </c>
      <c r="S152" s="14">
        <f t="shared" si="34"/>
        <v>27</v>
      </c>
      <c r="Z152" t="str">
        <f t="shared" si="35"/>
        <v>&lt;Valeur name="no"&gt;151&lt;/Valeur&gt;</v>
      </c>
      <c r="AA152" t="str">
        <f t="shared" si="36"/>
        <v>&lt;Valeur name="ecriturebanque"&gt;142&lt;/Valeur&gt;</v>
      </c>
      <c r="AB152" t="str">
        <f t="shared" si="37"/>
        <v>&lt;Valeur name="datevaleur"&gt;2019/03/15&lt;/Valeur&gt;</v>
      </c>
      <c r="AC152" t="str">
        <f t="shared" si="38"/>
        <v>&lt;Valeur name="compte"&gt;12&lt;/Valeur&gt;</v>
      </c>
      <c r="AD152" t="str">
        <f t="shared" si="39"/>
        <v>&lt;Valeur name="description"&gt;PRLV SEPA MMA IARD SA-MMA IARD&lt;/Valeur&gt;</v>
      </c>
      <c r="AE152" t="str">
        <f t="shared" si="40"/>
        <v>&lt;Valeur name="valeur"&gt;162&lt;/Valeur&gt;</v>
      </c>
      <c r="AF152" t="str">
        <f t="shared" si="41"/>
        <v>&lt;Valeur name="compta"&gt;1&lt;/Valeur&gt;</v>
      </c>
      <c r="AG152" t="str">
        <f t="shared" si="42"/>
        <v>&lt;Valeur name="tvapct"&gt;20&lt;/Valeur&gt;</v>
      </c>
      <c r="AH152" t="str">
        <f t="shared" si="43"/>
        <v>&lt;Valeur name="tva"&gt;27&lt;/Valeur&gt;</v>
      </c>
      <c r="AL152" t="str">
        <f t="shared" si="44"/>
        <v>&lt;Insert&gt;&lt;Valeur name="no"&gt;151&lt;/Valeur&gt;&lt;Valeur name="ecriturebanque"&gt;142&lt;/Valeur&gt;&lt;Valeur name="datevaleur"&gt;2019/03/15&lt;/Valeur&gt;&lt;Valeur name="compte"&gt;12&lt;/Valeur&gt;&lt;Valeur name="description"&gt;PRLV SEPA MMA IARD SA-MMA IARD&lt;/Valeur&gt;&lt;Valeur name="valeur"&gt;162&lt;/Valeur&gt;&lt;Valeur name="compta"&gt;1&lt;/Valeur&gt;&lt;Valeur name="tvapct"&gt;20&lt;/Valeur&gt;&lt;Valeur name="tva"&gt;27&lt;/Valeur&gt;&lt;/Insert&gt;</v>
      </c>
    </row>
    <row r="153" spans="1:38" x14ac:dyDescent="0.25">
      <c r="A153">
        <v>143</v>
      </c>
      <c r="B153">
        <f>IF(A153&lt;&gt;"",VLOOKUP(A153,Banque!B:D,3,FALSE),1)</f>
        <v>1</v>
      </c>
      <c r="C153" s="1">
        <v>43539</v>
      </c>
      <c r="D153" t="s">
        <v>257</v>
      </c>
      <c r="E153" t="s">
        <v>31</v>
      </c>
      <c r="G153" s="10">
        <v>0.21</v>
      </c>
      <c r="I153" s="11">
        <f t="shared" si="30"/>
        <v>3.5000000000000003E-2</v>
      </c>
      <c r="K153">
        <v>152</v>
      </c>
      <c r="L153">
        <v>143</v>
      </c>
      <c r="M153" s="16" t="s">
        <v>905</v>
      </c>
      <c r="N153">
        <f>IFERROR(VLOOKUP(D153,tab!A:B,2,FALSE),1)</f>
        <v>18</v>
      </c>
      <c r="O153" t="str">
        <f t="shared" si="31"/>
        <v>FRAIS E-VIR SEPA VERS EEE</v>
      </c>
      <c r="P153" s="14">
        <f t="shared" si="32"/>
        <v>0.21</v>
      </c>
      <c r="Q153" s="14">
        <f t="shared" si="33"/>
        <v>1</v>
      </c>
      <c r="R153" s="14">
        <v>20</v>
      </c>
      <c r="S153" s="14">
        <f t="shared" si="34"/>
        <v>3.5000000000000003E-2</v>
      </c>
      <c r="Z153" t="str">
        <f t="shared" si="35"/>
        <v>&lt;Valeur name="no"&gt;152&lt;/Valeur&gt;</v>
      </c>
      <c r="AA153" t="str">
        <f t="shared" si="36"/>
        <v>&lt;Valeur name="ecriturebanque"&gt;143&lt;/Valeur&gt;</v>
      </c>
      <c r="AB153" t="str">
        <f t="shared" si="37"/>
        <v>&lt;Valeur name="datevaleur"&gt;2019/03/15&lt;/Valeur&gt;</v>
      </c>
      <c r="AC153" t="str">
        <f t="shared" si="38"/>
        <v>&lt;Valeur name="compte"&gt;18&lt;/Valeur&gt;</v>
      </c>
      <c r="AD153" t="str">
        <f t="shared" si="39"/>
        <v>&lt;Valeur name="description"&gt;FRAIS E-VIR SEPA VERS EEE&lt;/Valeur&gt;</v>
      </c>
      <c r="AE153" t="str">
        <f t="shared" si="40"/>
        <v>&lt;Valeur name="valeur"&gt;0.21&lt;/Valeur&gt;</v>
      </c>
      <c r="AF153" t="str">
        <f t="shared" si="41"/>
        <v>&lt;Valeur name="compta"&gt;1&lt;/Valeur&gt;</v>
      </c>
      <c r="AG153" t="str">
        <f t="shared" si="42"/>
        <v>&lt;Valeur name="tvapct"&gt;20&lt;/Valeur&gt;</v>
      </c>
      <c r="AH153" t="str">
        <f t="shared" si="43"/>
        <v>&lt;Valeur name="tva"&gt;0.035&lt;/Valeur&gt;</v>
      </c>
      <c r="AL153" t="str">
        <f t="shared" si="44"/>
        <v>&lt;Insert&gt;&lt;Valeur name="no"&gt;152&lt;/Valeur&gt;&lt;Valeur name="ecriturebanque"&gt;143&lt;/Valeur&gt;&lt;Valeur name="datevaleur"&gt;2019/03/15&lt;/Valeur&gt;&lt;Valeur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154" spans="1:38" x14ac:dyDescent="0.25">
      <c r="A154">
        <v>144</v>
      </c>
      <c r="B154">
        <f>IF(A154&lt;&gt;"",VLOOKUP(A154,Banque!B:D,3,FALSE),1)</f>
        <v>1</v>
      </c>
      <c r="C154" s="1">
        <v>43539</v>
      </c>
      <c r="D154" t="s">
        <v>257</v>
      </c>
      <c r="E154" t="s">
        <v>31</v>
      </c>
      <c r="G154" s="10">
        <v>0.21</v>
      </c>
      <c r="I154" s="11">
        <f t="shared" si="30"/>
        <v>3.5000000000000003E-2</v>
      </c>
      <c r="K154">
        <v>153</v>
      </c>
      <c r="L154">
        <v>144</v>
      </c>
      <c r="M154" s="16" t="s">
        <v>905</v>
      </c>
      <c r="N154">
        <f>IFERROR(VLOOKUP(D154,tab!A:B,2,FALSE),1)</f>
        <v>18</v>
      </c>
      <c r="O154" t="str">
        <f t="shared" si="31"/>
        <v>FRAIS E-VIR SEPA VERS EEE</v>
      </c>
      <c r="P154" s="14">
        <f t="shared" si="32"/>
        <v>0.21</v>
      </c>
      <c r="Q154" s="14">
        <f t="shared" si="33"/>
        <v>1</v>
      </c>
      <c r="R154" s="14">
        <v>20</v>
      </c>
      <c r="S154" s="14">
        <f t="shared" si="34"/>
        <v>3.5000000000000003E-2</v>
      </c>
      <c r="Z154" t="str">
        <f t="shared" si="35"/>
        <v>&lt;Valeur name="no"&gt;153&lt;/Valeur&gt;</v>
      </c>
      <c r="AA154" t="str">
        <f t="shared" si="36"/>
        <v>&lt;Valeur name="ecriturebanque"&gt;144&lt;/Valeur&gt;</v>
      </c>
      <c r="AB154" t="str">
        <f t="shared" si="37"/>
        <v>&lt;Valeur name="datevaleur"&gt;2019/03/15&lt;/Valeur&gt;</v>
      </c>
      <c r="AC154" t="str">
        <f t="shared" si="38"/>
        <v>&lt;Valeur name="compte"&gt;18&lt;/Valeur&gt;</v>
      </c>
      <c r="AD154" t="str">
        <f t="shared" si="39"/>
        <v>&lt;Valeur name="description"&gt;FRAIS E-VIR SEPA VERS EEE&lt;/Valeur&gt;</v>
      </c>
      <c r="AE154" t="str">
        <f t="shared" si="40"/>
        <v>&lt;Valeur name="valeur"&gt;0.21&lt;/Valeur&gt;</v>
      </c>
      <c r="AF154" t="str">
        <f t="shared" si="41"/>
        <v>&lt;Valeur name="compta"&gt;1&lt;/Valeur&gt;</v>
      </c>
      <c r="AG154" t="str">
        <f t="shared" si="42"/>
        <v>&lt;Valeur name="tvapct"&gt;20&lt;/Valeur&gt;</v>
      </c>
      <c r="AH154" t="str">
        <f t="shared" si="43"/>
        <v>&lt;Valeur name="tva"&gt;0.035&lt;/Valeur&gt;</v>
      </c>
      <c r="AL154" t="str">
        <f t="shared" si="44"/>
        <v>&lt;Insert&gt;&lt;Valeur name="no"&gt;153&lt;/Valeur&gt;&lt;Valeur name="ecriturebanque"&gt;144&lt;/Valeur&gt;&lt;Valeur name="datevaleur"&gt;2019/03/15&lt;/Valeur&gt;&lt;Valeur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155" spans="1:38" x14ac:dyDescent="0.25">
      <c r="A155">
        <v>145</v>
      </c>
      <c r="B155">
        <f>IF(A155&lt;&gt;"",VLOOKUP(A155,Banque!B:D,3,FALSE),1)</f>
        <v>0</v>
      </c>
      <c r="C155" s="1">
        <v>43542</v>
      </c>
      <c r="D155" t="s">
        <v>265</v>
      </c>
      <c r="E155" t="s">
        <v>40</v>
      </c>
      <c r="G155" s="10">
        <v>1488</v>
      </c>
      <c r="I155" s="11">
        <f t="shared" si="30"/>
        <v>248</v>
      </c>
      <c r="K155">
        <v>154</v>
      </c>
      <c r="L155">
        <v>145</v>
      </c>
      <c r="M155" s="16" t="s">
        <v>903</v>
      </c>
      <c r="N155">
        <f>IFERROR(VLOOKUP(D155,tab!A:B,2,FALSE),1)</f>
        <v>70</v>
      </c>
      <c r="O155" t="str">
        <f t="shared" si="31"/>
        <v>E-VIR SEPA Hedon Vds + Thery</v>
      </c>
      <c r="P155" s="14">
        <f t="shared" si="32"/>
        <v>1488</v>
      </c>
      <c r="Q155" s="14">
        <f t="shared" si="33"/>
        <v>0</v>
      </c>
      <c r="R155" s="14">
        <v>20</v>
      </c>
      <c r="S155" s="14">
        <f t="shared" si="34"/>
        <v>248</v>
      </c>
      <c r="Z155" t="str">
        <f t="shared" si="35"/>
        <v>&lt;Valeur name="no"&gt;154&lt;/Valeur&gt;</v>
      </c>
      <c r="AA155" t="str">
        <f t="shared" si="36"/>
        <v>&lt;Valeur name="ecriturebanque"&gt;145&lt;/Valeur&gt;</v>
      </c>
      <c r="AB155" t="str">
        <f t="shared" si="37"/>
        <v>&lt;Valeur name="datevaleur"&gt;2019/03/18&lt;/Valeur&gt;</v>
      </c>
      <c r="AC155" t="str">
        <f t="shared" si="38"/>
        <v>&lt;Valeur name="compte"&gt;70&lt;/Valeur&gt;</v>
      </c>
      <c r="AD155" t="str">
        <f t="shared" si="39"/>
        <v>&lt;Valeur name="description"&gt;E-VIR SEPA Hedon Vds + Thery&lt;/Valeur&gt;</v>
      </c>
      <c r="AE155" t="str">
        <f t="shared" si="40"/>
        <v>&lt;Valeur name="valeur"&gt;1488&lt;/Valeur&gt;</v>
      </c>
      <c r="AF155" t="str">
        <f t="shared" si="41"/>
        <v>&lt;Valeur name="compta"&gt;0&lt;/Valeur&gt;</v>
      </c>
      <c r="AG155" t="str">
        <f t="shared" si="42"/>
        <v>&lt;Valeur name="tvapct"&gt;20&lt;/Valeur&gt;</v>
      </c>
      <c r="AH155" t="str">
        <f t="shared" si="43"/>
        <v>&lt;Valeur name="tva"&gt;248&lt;/Valeur&gt;</v>
      </c>
      <c r="AL155" t="str">
        <f t="shared" si="44"/>
        <v>&lt;Insert&gt;&lt;Valeur name="no"&gt;154&lt;/Valeur&gt;&lt;Valeur name="ecriturebanque"&gt;145&lt;/Valeur&gt;&lt;Valeur name="datevaleur"&gt;2019/03/18&lt;/Valeur&gt;&lt;Valeur name="compte"&gt;70&lt;/Valeur&gt;&lt;Valeur name="description"&gt;E-VIR SEPA Hedon Vds + Thery&lt;/Valeur&gt;&lt;Valeur name="valeur"&gt;1488&lt;/Valeur&gt;&lt;Valeur name="compta"&gt;0&lt;/Valeur&gt;&lt;Valeur name="tvapct"&gt;20&lt;/Valeur&gt;&lt;Valeur name="tva"&gt;248&lt;/Valeur&gt;&lt;/Insert&gt;</v>
      </c>
    </row>
    <row r="156" spans="1:38" x14ac:dyDescent="0.25">
      <c r="A156">
        <v>146</v>
      </c>
      <c r="B156">
        <f>IF(A156&lt;&gt;"",VLOOKUP(A156,Banque!B:D,3,FALSE),1)</f>
        <v>1</v>
      </c>
      <c r="C156" s="1">
        <v>43542</v>
      </c>
      <c r="D156" t="s">
        <v>376</v>
      </c>
      <c r="E156" t="s">
        <v>42</v>
      </c>
      <c r="G156" s="10">
        <v>9.99</v>
      </c>
      <c r="I156" s="11">
        <f t="shared" si="30"/>
        <v>1.6649999999999991</v>
      </c>
      <c r="K156">
        <v>155</v>
      </c>
      <c r="L156">
        <v>146</v>
      </c>
      <c r="M156" s="16" t="s">
        <v>903</v>
      </c>
      <c r="N156">
        <f>IFERROR(VLOOKUP(D156,tab!A:B,2,FALSE),1)</f>
        <v>69</v>
      </c>
      <c r="O156" t="str">
        <f t="shared" si="31"/>
        <v>CB 548222 GOOGLE GOOG GB   9,99</v>
      </c>
      <c r="P156" s="14">
        <f t="shared" si="32"/>
        <v>9.99</v>
      </c>
      <c r="Q156" s="14">
        <f t="shared" si="33"/>
        <v>1</v>
      </c>
      <c r="R156" s="14">
        <v>20</v>
      </c>
      <c r="S156" s="14">
        <f t="shared" si="34"/>
        <v>1.6649999999999991</v>
      </c>
      <c r="Z156" t="str">
        <f t="shared" si="35"/>
        <v>&lt;Valeur name="no"&gt;155&lt;/Valeur&gt;</v>
      </c>
      <c r="AA156" t="str">
        <f t="shared" si="36"/>
        <v>&lt;Valeur name="ecriturebanque"&gt;146&lt;/Valeur&gt;</v>
      </c>
      <c r="AB156" t="str">
        <f t="shared" si="37"/>
        <v>&lt;Valeur name="datevaleur"&gt;2019/03/18&lt;/Valeur&gt;</v>
      </c>
      <c r="AC156" t="str">
        <f t="shared" si="38"/>
        <v>&lt;Valeur name="compte"&gt;69&lt;/Valeur&gt;</v>
      </c>
      <c r="AD156" t="str">
        <f t="shared" si="39"/>
        <v>&lt;Valeur name="description"&gt;CB 548222 GOOGLE GOOG GB   9,99&lt;/Valeur&gt;</v>
      </c>
      <c r="AE156" t="str">
        <f t="shared" si="40"/>
        <v>&lt;Valeur name="valeur"&gt;9.99&lt;/Valeur&gt;</v>
      </c>
      <c r="AF156" t="str">
        <f t="shared" si="41"/>
        <v>&lt;Valeur name="compta"&gt;1&lt;/Valeur&gt;</v>
      </c>
      <c r="AG156" t="str">
        <f t="shared" si="42"/>
        <v>&lt;Valeur name="tvapct"&gt;20&lt;/Valeur&gt;</v>
      </c>
      <c r="AH156" t="str">
        <f t="shared" si="43"/>
        <v>&lt;Valeur name="tva"&gt;1.665&lt;/Valeur&gt;</v>
      </c>
      <c r="AL156" t="str">
        <f t="shared" si="44"/>
        <v>&lt;Insert&gt;&lt;Valeur name="no"&gt;155&lt;/Valeur&gt;&lt;Valeur name="ecriturebanque"&gt;146&lt;/Valeur&gt;&lt;Valeur name="datevaleur"&gt;2019/03/18&lt;/Valeur&gt;&lt;Valeur name="compte"&gt;69&lt;/Valeur&gt;&lt;Valeur name="description"&gt;CB 548222 GOOGLE GOOG GB   9,99&lt;/Valeur&gt;&lt;Valeur name="valeur"&gt;9.99&lt;/Valeur&gt;&lt;Valeur name="compta"&gt;1&lt;/Valeur&gt;&lt;Valeur name="tvapct"&gt;20&lt;/Valeur&gt;&lt;Valeur name="tva"&gt;1.665&lt;/Valeur&gt;&lt;/Insert&gt;</v>
      </c>
    </row>
    <row r="157" spans="1:38" x14ac:dyDescent="0.25">
      <c r="A157">
        <v>147</v>
      </c>
      <c r="B157">
        <f>IF(A157&lt;&gt;"",VLOOKUP(A157,Banque!B:D,3,FALSE),1)</f>
        <v>1</v>
      </c>
      <c r="C157" s="1">
        <v>43542</v>
      </c>
      <c r="D157" t="s">
        <v>254</v>
      </c>
      <c r="E157" t="s">
        <v>11</v>
      </c>
      <c r="G157" s="10">
        <v>11</v>
      </c>
      <c r="I157" s="11">
        <f t="shared" si="30"/>
        <v>1.8333333333333321</v>
      </c>
      <c r="K157">
        <v>156</v>
      </c>
      <c r="L157">
        <v>147</v>
      </c>
      <c r="M157" s="16" t="s">
        <v>903</v>
      </c>
      <c r="N157">
        <f>IFERROR(VLOOKUP(D157,tab!A:B,2,FALSE),1)</f>
        <v>27</v>
      </c>
      <c r="O157" t="str">
        <f t="shared" si="31"/>
        <v>CB 548222 SARRASINE   59FAMARS</v>
      </c>
      <c r="P157" s="14">
        <f t="shared" si="32"/>
        <v>11</v>
      </c>
      <c r="Q157" s="14">
        <f t="shared" si="33"/>
        <v>1</v>
      </c>
      <c r="R157" s="14">
        <v>20</v>
      </c>
      <c r="S157" s="14">
        <f t="shared" si="34"/>
        <v>1.8333333333333321</v>
      </c>
      <c r="Z157" t="str">
        <f t="shared" si="35"/>
        <v>&lt;Valeur name="no"&gt;156&lt;/Valeur&gt;</v>
      </c>
      <c r="AA157" t="str">
        <f t="shared" si="36"/>
        <v>&lt;Valeur name="ecriturebanque"&gt;147&lt;/Valeur&gt;</v>
      </c>
      <c r="AB157" t="str">
        <f t="shared" si="37"/>
        <v>&lt;Valeur name="datevaleur"&gt;2019/03/18&lt;/Valeur&gt;</v>
      </c>
      <c r="AC157" t="str">
        <f t="shared" si="38"/>
        <v>&lt;Valeur name="compte"&gt;27&lt;/Valeur&gt;</v>
      </c>
      <c r="AD157" t="str">
        <f t="shared" si="39"/>
        <v>&lt;Valeur name="description"&gt;CB 548222 SARRASINE   59FAMARS&lt;/Valeur&gt;</v>
      </c>
      <c r="AE157" t="str">
        <f t="shared" si="40"/>
        <v>&lt;Valeur name="valeur"&gt;11&lt;/Valeur&gt;</v>
      </c>
      <c r="AF157" t="str">
        <f t="shared" si="41"/>
        <v>&lt;Valeur name="compta"&gt;1&lt;/Valeur&gt;</v>
      </c>
      <c r="AG157" t="str">
        <f t="shared" si="42"/>
        <v>&lt;Valeur name="tvapct"&gt;20&lt;/Valeur&gt;</v>
      </c>
      <c r="AH157" t="str">
        <f t="shared" si="43"/>
        <v>&lt;Valeur name="tva"&gt;1.83333333333333&lt;/Valeur&gt;</v>
      </c>
      <c r="AL157" t="str">
        <f t="shared" si="44"/>
        <v>&lt;Insert&gt;&lt;Valeur name="no"&gt;156&lt;/Valeur&gt;&lt;Valeur name="ecriturebanque"&gt;147&lt;/Valeur&gt;&lt;Valeur name="datevaleur"&gt;2019/03/18&lt;/Valeur&gt;&lt;Valeur name="compte"&gt;27&lt;/Valeur&gt;&lt;Valeur name="description"&gt;CB 548222 SARRASINE   59FAMARS&lt;/Valeur&gt;&lt;Valeur name="valeur"&gt;11&lt;/Valeur&gt;&lt;Valeur name="compta"&gt;1&lt;/Valeur&gt;&lt;Valeur name="tvapct"&gt;20&lt;/Valeur&gt;&lt;Valeur name="tva"&gt;1.83333333333333&lt;/Valeur&gt;&lt;/Insert&gt;</v>
      </c>
    </row>
    <row r="158" spans="1:38" x14ac:dyDescent="0.25">
      <c r="A158">
        <v>148</v>
      </c>
      <c r="B158">
        <f>IF(A158&lt;&gt;"",VLOOKUP(A158,Banque!B:D,3,FALSE),1)</f>
        <v>1</v>
      </c>
      <c r="C158" s="1">
        <v>43542</v>
      </c>
      <c r="D158" t="s">
        <v>253</v>
      </c>
      <c r="E158" t="s">
        <v>45</v>
      </c>
      <c r="G158" s="10">
        <v>79.17</v>
      </c>
      <c r="I158" s="11">
        <f t="shared" si="30"/>
        <v>13.194999999999993</v>
      </c>
      <c r="K158">
        <v>157</v>
      </c>
      <c r="L158">
        <v>148</v>
      </c>
      <c r="M158" s="16" t="s">
        <v>903</v>
      </c>
      <c r="N158">
        <f>IFERROR(VLOOKUP(D158,tab!A:B,2,FALSE),1)</f>
        <v>13</v>
      </c>
      <c r="O158" t="str">
        <f t="shared" si="31"/>
        <v>CB 548222 SA DISTRIFI 59LILLE</v>
      </c>
      <c r="P158" s="14">
        <f t="shared" si="32"/>
        <v>79.17</v>
      </c>
      <c r="Q158" s="14">
        <f t="shared" si="33"/>
        <v>1</v>
      </c>
      <c r="R158" s="14">
        <v>20</v>
      </c>
      <c r="S158" s="14">
        <f t="shared" si="34"/>
        <v>13.194999999999993</v>
      </c>
      <c r="Z158" t="str">
        <f t="shared" si="35"/>
        <v>&lt;Valeur name="no"&gt;157&lt;/Valeur&gt;</v>
      </c>
      <c r="AA158" t="str">
        <f t="shared" si="36"/>
        <v>&lt;Valeur name="ecriturebanque"&gt;148&lt;/Valeur&gt;</v>
      </c>
      <c r="AB158" t="str">
        <f t="shared" si="37"/>
        <v>&lt;Valeur name="datevaleur"&gt;2019/03/18&lt;/Valeur&gt;</v>
      </c>
      <c r="AC158" t="str">
        <f t="shared" si="38"/>
        <v>&lt;Valeur name="compte"&gt;13&lt;/Valeur&gt;</v>
      </c>
      <c r="AD158" t="str">
        <f t="shared" si="39"/>
        <v>&lt;Valeur name="description"&gt;CB 548222 SA DISTRIFI 59LILLE&lt;/Valeur&gt;</v>
      </c>
      <c r="AE158" t="str">
        <f t="shared" si="40"/>
        <v>&lt;Valeur name="valeur"&gt;79.17&lt;/Valeur&gt;</v>
      </c>
      <c r="AF158" t="str">
        <f t="shared" si="41"/>
        <v>&lt;Valeur name="compta"&gt;1&lt;/Valeur&gt;</v>
      </c>
      <c r="AG158" t="str">
        <f t="shared" si="42"/>
        <v>&lt;Valeur name="tvapct"&gt;20&lt;/Valeur&gt;</v>
      </c>
      <c r="AH158" t="str">
        <f t="shared" si="43"/>
        <v>&lt;Valeur name="tva"&gt;13.195&lt;/Valeur&gt;</v>
      </c>
      <c r="AL158" t="str">
        <f t="shared" si="44"/>
        <v>&lt;Insert&gt;&lt;Valeur name="no"&gt;157&lt;/Valeur&gt;&lt;Valeur name="ecriturebanque"&gt;148&lt;/Valeur&gt;&lt;Valeur name="datevaleur"&gt;2019/03/18&lt;/Valeur&gt;&lt;Valeur name="compte"&gt;13&lt;/Valeur&gt;&lt;Valeur name="description"&gt;CB 548222 SA DISTRIFI 59LILLE&lt;/Valeur&gt;&lt;Valeur name="valeur"&gt;79.17&lt;/Valeur&gt;&lt;Valeur name="compta"&gt;1&lt;/Valeur&gt;&lt;Valeur name="tvapct"&gt;20&lt;/Valeur&gt;&lt;Valeur name="tva"&gt;13.195&lt;/Valeur&gt;&lt;/Insert&gt;</v>
      </c>
    </row>
    <row r="159" spans="1:38" x14ac:dyDescent="0.25">
      <c r="A159">
        <v>149</v>
      </c>
      <c r="B159">
        <f>IF(A159&lt;&gt;"",VLOOKUP(A159,Banque!B:D,3,FALSE),1)</f>
        <v>1</v>
      </c>
      <c r="C159" s="1">
        <v>43542</v>
      </c>
      <c r="D159" t="s">
        <v>269</v>
      </c>
      <c r="E159" t="s">
        <v>47</v>
      </c>
      <c r="F159" t="s">
        <v>48</v>
      </c>
      <c r="G159" s="10">
        <v>2623</v>
      </c>
      <c r="I159" s="11">
        <f t="shared" si="30"/>
        <v>437.16666666666652</v>
      </c>
      <c r="K159">
        <v>158</v>
      </c>
      <c r="L159">
        <v>149</v>
      </c>
      <c r="M159" s="16" t="s">
        <v>903</v>
      </c>
      <c r="N159">
        <f>IFERROR(VLOOKUP(D159,tab!A:B,2,FALSE),1)</f>
        <v>14</v>
      </c>
      <c r="O159" t="str">
        <f t="shared" si="31"/>
        <v>PRLV SEPA URSSAF Nord-Pas-de-Cal / UR 317000001020473292    FEV 197</v>
      </c>
      <c r="P159" s="14">
        <f t="shared" si="32"/>
        <v>2623</v>
      </c>
      <c r="Q159" s="14">
        <f t="shared" si="33"/>
        <v>1</v>
      </c>
      <c r="R159" s="14">
        <v>20</v>
      </c>
      <c r="S159" s="14">
        <f t="shared" si="34"/>
        <v>437.16666666666652</v>
      </c>
      <c r="Z159" t="str">
        <f t="shared" si="35"/>
        <v>&lt;Valeur name="no"&gt;158&lt;/Valeur&gt;</v>
      </c>
      <c r="AA159" t="str">
        <f t="shared" si="36"/>
        <v>&lt;Valeur name="ecriturebanque"&gt;149&lt;/Valeur&gt;</v>
      </c>
      <c r="AB159" t="str">
        <f t="shared" si="37"/>
        <v>&lt;Valeur name="datevaleur"&gt;2019/03/18&lt;/Valeur&gt;</v>
      </c>
      <c r="AC159" t="str">
        <f t="shared" si="38"/>
        <v>&lt;Valeur name="compte"&gt;14&lt;/Valeur&gt;</v>
      </c>
      <c r="AD159" t="str">
        <f t="shared" si="39"/>
        <v>&lt;Valeur name="description"&gt;PRLV SEPA URSSAF Nord-Pas-de-Cal / UR 317000001020473292    FEV 197&lt;/Valeur&gt;</v>
      </c>
      <c r="AE159" t="str">
        <f t="shared" si="40"/>
        <v>&lt;Valeur name="valeur"&gt;2623&lt;/Valeur&gt;</v>
      </c>
      <c r="AF159" t="str">
        <f t="shared" si="41"/>
        <v>&lt;Valeur name="compta"&gt;1&lt;/Valeur&gt;</v>
      </c>
      <c r="AG159" t="str">
        <f t="shared" si="42"/>
        <v>&lt;Valeur name="tvapct"&gt;20&lt;/Valeur&gt;</v>
      </c>
      <c r="AH159" t="str">
        <f t="shared" si="43"/>
        <v>&lt;Valeur name="tva"&gt;437.166666666667&lt;/Valeur&gt;</v>
      </c>
      <c r="AL159" t="str">
        <f t="shared" si="44"/>
        <v>&lt;Insert&gt;&lt;Valeur name="no"&gt;158&lt;/Valeur&gt;&lt;Valeur name="ecriturebanque"&gt;149&lt;/Valeur&gt;&lt;Valeur name="datevaleur"&gt;2019/03/18&lt;/Valeur&gt;&lt;Valeur name="compte"&gt;14&lt;/Valeur&gt;&lt;Valeur name="description"&gt;PRLV SEPA URSSAF Nord-Pas-de-Cal / UR 317000001020473292    FEV 197&lt;/Valeur&gt;&lt;Valeur name="valeur"&gt;2623&lt;/Valeur&gt;&lt;Valeur name="compta"&gt;1&lt;/Valeur&gt;&lt;Valeur name="tvapct"&gt;20&lt;/Valeur&gt;&lt;Valeur name="tva"&gt;437.166666666667&lt;/Valeur&gt;&lt;/Insert&gt;</v>
      </c>
    </row>
    <row r="160" spans="1:38" x14ac:dyDescent="0.25">
      <c r="B160">
        <f>IF(A160&lt;&gt;"",VLOOKUP(A160,Banque!B:D,3,FALSE),1)</f>
        <v>1</v>
      </c>
      <c r="C160" s="1">
        <v>43543</v>
      </c>
      <c r="D160" t="s">
        <v>281</v>
      </c>
      <c r="G160" s="10">
        <v>1268.4000000000001</v>
      </c>
      <c r="I160" s="11">
        <f t="shared" si="30"/>
        <v>211.39999999999986</v>
      </c>
      <c r="K160">
        <v>159</v>
      </c>
      <c r="L160">
        <v>150</v>
      </c>
      <c r="M160" s="16" t="s">
        <v>880</v>
      </c>
      <c r="N160">
        <f>IFERROR(VLOOKUP(D160,tab!A:B,2,FALSE),1)</f>
        <v>77</v>
      </c>
      <c r="O160" t="str">
        <f t="shared" si="31"/>
        <v/>
      </c>
      <c r="P160" s="14">
        <f t="shared" si="32"/>
        <v>1268.4000000000001</v>
      </c>
      <c r="Q160" s="14">
        <f t="shared" si="33"/>
        <v>1</v>
      </c>
      <c r="R160" s="14">
        <v>20</v>
      </c>
      <c r="S160" s="14">
        <f t="shared" si="34"/>
        <v>211.39999999999986</v>
      </c>
      <c r="Z160" t="str">
        <f t="shared" si="35"/>
        <v>&lt;Valeur name="no"&gt;159&lt;/Valeur&gt;</v>
      </c>
      <c r="AA160" t="str">
        <f t="shared" si="36"/>
        <v>&lt;Valeur name="ecriturebanque"&gt;150&lt;/Valeur&gt;</v>
      </c>
      <c r="AB160" t="str">
        <f t="shared" si="37"/>
        <v>&lt;Valeur name="datevaleur"&gt;2019/03/19&lt;/Valeur&gt;</v>
      </c>
      <c r="AC160" t="str">
        <f t="shared" si="38"/>
        <v>&lt;Valeur name="compte"&gt;77&lt;/Valeur&gt;</v>
      </c>
      <c r="AD160" t="str">
        <f t="shared" si="39"/>
        <v>&lt;Valeur name="description"&gt;&lt;/Valeur&gt;</v>
      </c>
      <c r="AE160" t="str">
        <f t="shared" si="40"/>
        <v>&lt;Valeur name="valeur"&gt;1268.4&lt;/Valeur&gt;</v>
      </c>
      <c r="AF160" t="str">
        <f t="shared" si="41"/>
        <v>&lt;Valeur name="compta"&gt;1&lt;/Valeur&gt;</v>
      </c>
      <c r="AG160" t="str">
        <f t="shared" si="42"/>
        <v>&lt;Valeur name="tvapct"&gt;20&lt;/Valeur&gt;</v>
      </c>
      <c r="AH160" t="str">
        <f t="shared" si="43"/>
        <v>&lt;Valeur name="tva"&gt;211.4&lt;/Valeur&gt;</v>
      </c>
      <c r="AL160" t="str">
        <f t="shared" si="44"/>
        <v>&lt;Insert&gt;&lt;Valeur name="no"&gt;159&lt;/Valeur&gt;&lt;Valeur name="ecriturebanque"&gt;150&lt;/Valeur&gt;&lt;Valeur name="datevaleur"&gt;2019/03/19&lt;/Valeur&gt;&lt;Valeur name="compte"&gt;77&lt;/Valeur&gt;&lt;Valeur name="description"&gt;&lt;/Valeur&gt;&lt;Valeur name="valeur"&gt;1268.4&lt;/Valeur&gt;&lt;Valeur name="compta"&gt;1&lt;/Valeur&gt;&lt;Valeur name="tvapct"&gt;20&lt;/Valeur&gt;&lt;Valeur name="tva"&gt;211.4&lt;/Valeur&gt;&lt;/Insert&gt;</v>
      </c>
    </row>
    <row r="161" spans="1:38" x14ac:dyDescent="0.25">
      <c r="B161">
        <f>IF(A161&lt;&gt;"",VLOOKUP(A161,Banque!B:D,3,FALSE),1)</f>
        <v>1</v>
      </c>
      <c r="C161" s="1">
        <v>43543</v>
      </c>
      <c r="D161" t="s">
        <v>270</v>
      </c>
      <c r="G161" s="10">
        <v>1969.9</v>
      </c>
      <c r="I161" s="11">
        <f t="shared" si="30"/>
        <v>328.31666666666661</v>
      </c>
      <c r="K161">
        <v>160</v>
      </c>
      <c r="L161">
        <v>150</v>
      </c>
      <c r="M161" s="16" t="s">
        <v>880</v>
      </c>
      <c r="N161">
        <f>IFERROR(VLOOKUP(D161,tab!A:B,2,FALSE),1)</f>
        <v>110</v>
      </c>
      <c r="O161" t="str">
        <f t="shared" si="31"/>
        <v/>
      </c>
      <c r="P161" s="14">
        <f t="shared" si="32"/>
        <v>1969.9</v>
      </c>
      <c r="Q161" s="14">
        <f t="shared" si="33"/>
        <v>1</v>
      </c>
      <c r="R161" s="14">
        <v>20</v>
      </c>
      <c r="S161" s="14">
        <f t="shared" si="34"/>
        <v>328.31666666666661</v>
      </c>
      <c r="Z161" t="str">
        <f t="shared" si="35"/>
        <v>&lt;Valeur name="no"&gt;160&lt;/Valeur&gt;</v>
      </c>
      <c r="AA161" t="str">
        <f t="shared" si="36"/>
        <v>&lt;Valeur name="ecriturebanque"&gt;150&lt;/Valeur&gt;</v>
      </c>
      <c r="AB161" t="str">
        <f t="shared" si="37"/>
        <v>&lt;Valeur name="datevaleur"&gt;2019/03/19&lt;/Valeur&gt;</v>
      </c>
      <c r="AC161" t="str">
        <f t="shared" si="38"/>
        <v>&lt;Valeur name="compte"&gt;110&lt;/Valeur&gt;</v>
      </c>
      <c r="AD161" t="str">
        <f t="shared" si="39"/>
        <v>&lt;Valeur name="description"&gt;&lt;/Valeur&gt;</v>
      </c>
      <c r="AE161" t="str">
        <f t="shared" si="40"/>
        <v>&lt;Valeur name="valeur"&gt;1969.9&lt;/Valeur&gt;</v>
      </c>
      <c r="AF161" t="str">
        <f t="shared" si="41"/>
        <v>&lt;Valeur name="compta"&gt;1&lt;/Valeur&gt;</v>
      </c>
      <c r="AG161" t="str">
        <f t="shared" si="42"/>
        <v>&lt;Valeur name="tvapct"&gt;20&lt;/Valeur&gt;</v>
      </c>
      <c r="AH161" t="str">
        <f t="shared" si="43"/>
        <v>&lt;Valeur name="tva"&gt;328.316666666667&lt;/Valeur&gt;</v>
      </c>
      <c r="AL161" t="str">
        <f t="shared" si="44"/>
        <v>&lt;Insert&gt;&lt;Valeur name="no"&gt;160&lt;/Valeur&gt;&lt;Valeur name="ecriturebanque"&gt;150&lt;/Valeur&gt;&lt;Valeur name="datevaleur"&gt;2019/03/19&lt;/Valeur&gt;&lt;Valeur name="compte"&gt;110&lt;/Valeur&gt;&lt;Valeur name="description"&gt;&lt;/Valeur&gt;&lt;Valeur name="valeur"&gt;1969.9&lt;/Valeur&gt;&lt;Valeur name="compta"&gt;1&lt;/Valeur&gt;&lt;Valeur name="tvapct"&gt;20&lt;/Valeur&gt;&lt;Valeur name="tva"&gt;328.316666666667&lt;/Valeur&gt;&lt;/Insert&gt;</v>
      </c>
    </row>
    <row r="162" spans="1:38" x14ac:dyDescent="0.25">
      <c r="A162">
        <v>151</v>
      </c>
      <c r="B162">
        <f>IF(A162&lt;&gt;"",VLOOKUP(A162,Banque!B:D,3,FALSE),1)</f>
        <v>1</v>
      </c>
      <c r="C162" s="1">
        <v>43543</v>
      </c>
      <c r="D162" t="s">
        <v>254</v>
      </c>
      <c r="E162" t="s">
        <v>33</v>
      </c>
      <c r="G162" s="10">
        <v>24</v>
      </c>
      <c r="I162" s="11">
        <f t="shared" si="30"/>
        <v>4</v>
      </c>
      <c r="K162">
        <v>161</v>
      </c>
      <c r="L162">
        <v>151</v>
      </c>
      <c r="M162" s="16" t="s">
        <v>880</v>
      </c>
      <c r="N162">
        <f>IFERROR(VLOOKUP(D162,tab!A:B,2,FALSE),1)</f>
        <v>27</v>
      </c>
      <c r="O162" t="str">
        <f t="shared" si="31"/>
        <v>CB 454106 PIZZA NONNA 59VILLENEU</v>
      </c>
      <c r="P162" s="14">
        <f t="shared" si="32"/>
        <v>24</v>
      </c>
      <c r="Q162" s="14">
        <f t="shared" si="33"/>
        <v>1</v>
      </c>
      <c r="R162" s="14">
        <v>20</v>
      </c>
      <c r="S162" s="14">
        <f t="shared" si="34"/>
        <v>4</v>
      </c>
      <c r="Z162" t="str">
        <f t="shared" si="35"/>
        <v>&lt;Valeur name="no"&gt;161&lt;/Valeur&gt;</v>
      </c>
      <c r="AA162" t="str">
        <f t="shared" si="36"/>
        <v>&lt;Valeur name="ecriturebanque"&gt;151&lt;/Valeur&gt;</v>
      </c>
      <c r="AB162" t="str">
        <f t="shared" si="37"/>
        <v>&lt;Valeur name="datevaleur"&gt;2019/03/19&lt;/Valeur&gt;</v>
      </c>
      <c r="AC162" t="str">
        <f t="shared" si="38"/>
        <v>&lt;Valeur name="compte"&gt;27&lt;/Valeur&gt;</v>
      </c>
      <c r="AD162" t="str">
        <f t="shared" si="39"/>
        <v>&lt;Valeur name="description"&gt;CB 454106 PIZZA NONNA 59VILLENEU&lt;/Valeur&gt;</v>
      </c>
      <c r="AE162" t="str">
        <f t="shared" si="40"/>
        <v>&lt;Valeur name="valeur"&gt;24&lt;/Valeur&gt;</v>
      </c>
      <c r="AF162" t="str">
        <f t="shared" si="41"/>
        <v>&lt;Valeur name="compta"&gt;1&lt;/Valeur&gt;</v>
      </c>
      <c r="AG162" t="str">
        <f t="shared" si="42"/>
        <v>&lt;Valeur name="tvapct"&gt;20&lt;/Valeur&gt;</v>
      </c>
      <c r="AH162" t="str">
        <f t="shared" si="43"/>
        <v>&lt;Valeur name="tva"&gt;4&lt;/Valeur&gt;</v>
      </c>
      <c r="AL162" t="str">
        <f t="shared" si="44"/>
        <v>&lt;Insert&gt;&lt;Valeur name="no"&gt;161&lt;/Valeur&gt;&lt;Valeur name="ecriturebanque"&gt;151&lt;/Valeur&gt;&lt;Valeur name="datevaleur"&gt;2019/03/19&lt;/Valeur&gt;&lt;Valeur name="compte"&gt;27&lt;/Valeur&gt;&lt;Valeur name="description"&gt;CB 454106 PIZZA NONNA 59VILLENEU&lt;/Valeur&gt;&lt;Valeur name="valeur"&gt;24&lt;/Valeur&gt;&lt;Valeur name="compta"&gt;1&lt;/Valeur&gt;&lt;Valeur name="tvapct"&gt;20&lt;/Valeur&gt;&lt;Valeur name="tva"&gt;4&lt;/Valeur&gt;&lt;/Insert&gt;</v>
      </c>
    </row>
    <row r="163" spans="1:38" x14ac:dyDescent="0.25">
      <c r="A163">
        <v>152</v>
      </c>
      <c r="B163">
        <f>IF(A163&lt;&gt;"",VLOOKUP(A163,Banque!B:D,3,FALSE),1)</f>
        <v>0</v>
      </c>
      <c r="C163" s="1">
        <v>43543</v>
      </c>
      <c r="D163" t="s">
        <v>370</v>
      </c>
      <c r="E163" t="s">
        <v>37</v>
      </c>
      <c r="F163" t="s">
        <v>38</v>
      </c>
      <c r="H163" s="10">
        <v>7747.4</v>
      </c>
      <c r="I163" s="11">
        <f t="shared" si="30"/>
        <v>-1291.2333333333327</v>
      </c>
      <c r="K163">
        <v>162</v>
      </c>
      <c r="L163">
        <v>152</v>
      </c>
      <c r="M163" s="16" t="s">
        <v>880</v>
      </c>
      <c r="N163">
        <f>IFERROR(VLOOKUP(D163,tab!A:B,2,FALSE),1)</f>
        <v>9</v>
      </c>
      <c r="O163" t="str">
        <f t="shared" si="31"/>
        <v>VIR TRESORERIE VILLENEUVE D / FAC NoAF241-1 DU 31/01/2019VILLE</v>
      </c>
      <c r="P163" s="14">
        <f t="shared" si="32"/>
        <v>7747.4</v>
      </c>
      <c r="Q163" s="14">
        <f t="shared" si="33"/>
        <v>0</v>
      </c>
      <c r="R163" s="14">
        <v>20</v>
      </c>
      <c r="S163" s="14">
        <f t="shared" si="34"/>
        <v>-1291.2333333333327</v>
      </c>
      <c r="Z163" t="str">
        <f t="shared" si="35"/>
        <v>&lt;Valeur name="no"&gt;162&lt;/Valeur&gt;</v>
      </c>
      <c r="AA163" t="str">
        <f t="shared" si="36"/>
        <v>&lt;Valeur name="ecriturebanque"&gt;152&lt;/Valeur&gt;</v>
      </c>
      <c r="AB163" t="str">
        <f t="shared" si="37"/>
        <v>&lt;Valeur name="datevaleur"&gt;2019/03/19&lt;/Valeur&gt;</v>
      </c>
      <c r="AC163" t="str">
        <f t="shared" si="38"/>
        <v>&lt;Valeur name="compte"&gt;9&lt;/Valeur&gt;</v>
      </c>
      <c r="AD163" t="str">
        <f t="shared" si="39"/>
        <v>&lt;Valeur name="description"&gt;VIR TRESORERIE VILLENEUVE D / FAC NoAF241-1 DU 31/01/2019VILLE&lt;/Valeur&gt;</v>
      </c>
      <c r="AE163" t="str">
        <f t="shared" si="40"/>
        <v>&lt;Valeur name="valeur"&gt;7747.4&lt;/Valeur&gt;</v>
      </c>
      <c r="AF163" t="str">
        <f t="shared" si="41"/>
        <v>&lt;Valeur name="compta"&gt;0&lt;/Valeur&gt;</v>
      </c>
      <c r="AG163" t="str">
        <f t="shared" si="42"/>
        <v>&lt;Valeur name="tvapct"&gt;20&lt;/Valeur&gt;</v>
      </c>
      <c r="AH163" t="str">
        <f t="shared" si="43"/>
        <v>&lt;Valeur name="tva"&gt;-1291.23333333333&lt;/Valeur&gt;</v>
      </c>
      <c r="AL163" t="str">
        <f t="shared" si="44"/>
        <v>&lt;Insert&gt;&lt;Valeur name="no"&gt;162&lt;/Valeur&gt;&lt;Valeur name="ecriturebanque"&gt;152&lt;/Valeur&gt;&lt;Valeur name="datevaleur"&gt;2019/03/19&lt;/Valeur&gt;&lt;Valeur name="compte"&gt;9&lt;/Valeur&gt;&lt;Valeur name="description"&gt;VIR TRESORERIE VILLENEUVE D / FAC NoAF241-1 DU 31/01/2019VILLE&lt;/Valeur&gt;&lt;Valeur name="valeur"&gt;7747.4&lt;/Valeur&gt;&lt;Valeur name="compta"&gt;0&lt;/Valeur&gt;&lt;Valeur name="tvapct"&gt;20&lt;/Valeur&gt;&lt;Valeur name="tva"&gt;-1291.23333333333&lt;/Valeur&gt;&lt;/Insert&gt;</v>
      </c>
    </row>
    <row r="164" spans="1:38" x14ac:dyDescent="0.25">
      <c r="A164">
        <v>153</v>
      </c>
      <c r="B164">
        <f>IF(A164&lt;&gt;"",VLOOKUP(A164,Banque!B:D,3,FALSE),1)</f>
        <v>1</v>
      </c>
      <c r="C164" s="1">
        <v>43543</v>
      </c>
      <c r="D164" t="s">
        <v>257</v>
      </c>
      <c r="E164" t="s">
        <v>31</v>
      </c>
      <c r="G164" s="10">
        <v>0.21</v>
      </c>
      <c r="I164" s="11">
        <f t="shared" si="30"/>
        <v>3.5000000000000003E-2</v>
      </c>
      <c r="K164">
        <v>163</v>
      </c>
      <c r="L164">
        <v>153</v>
      </c>
      <c r="M164" s="16" t="s">
        <v>880</v>
      </c>
      <c r="N164">
        <f>IFERROR(VLOOKUP(D164,tab!A:B,2,FALSE),1)</f>
        <v>18</v>
      </c>
      <c r="O164" t="str">
        <f t="shared" si="31"/>
        <v>FRAIS E-VIR SEPA VERS EEE</v>
      </c>
      <c r="P164" s="14">
        <f t="shared" si="32"/>
        <v>0.21</v>
      </c>
      <c r="Q164" s="14">
        <f t="shared" si="33"/>
        <v>1</v>
      </c>
      <c r="R164" s="14">
        <v>20</v>
      </c>
      <c r="S164" s="14">
        <f t="shared" si="34"/>
        <v>3.5000000000000003E-2</v>
      </c>
      <c r="Z164" t="str">
        <f t="shared" si="35"/>
        <v>&lt;Valeur name="no"&gt;163&lt;/Valeur&gt;</v>
      </c>
      <c r="AA164" t="str">
        <f t="shared" si="36"/>
        <v>&lt;Valeur name="ecriturebanque"&gt;153&lt;/Valeur&gt;</v>
      </c>
      <c r="AB164" t="str">
        <f t="shared" si="37"/>
        <v>&lt;Valeur name="datevaleur"&gt;2019/03/19&lt;/Valeur&gt;</v>
      </c>
      <c r="AC164" t="str">
        <f t="shared" si="38"/>
        <v>&lt;Valeur name="compte"&gt;18&lt;/Valeur&gt;</v>
      </c>
      <c r="AD164" t="str">
        <f t="shared" si="39"/>
        <v>&lt;Valeur name="description"&gt;FRAIS E-VIR SEPA VERS EEE&lt;/Valeur&gt;</v>
      </c>
      <c r="AE164" t="str">
        <f t="shared" si="40"/>
        <v>&lt;Valeur name="valeur"&gt;0.21&lt;/Valeur&gt;</v>
      </c>
      <c r="AF164" t="str">
        <f t="shared" si="41"/>
        <v>&lt;Valeur name="compta"&gt;1&lt;/Valeur&gt;</v>
      </c>
      <c r="AG164" t="str">
        <f t="shared" si="42"/>
        <v>&lt;Valeur name="tvapct"&gt;20&lt;/Valeur&gt;</v>
      </c>
      <c r="AH164" t="str">
        <f t="shared" si="43"/>
        <v>&lt;Valeur name="tva"&gt;0.035&lt;/Valeur&gt;</v>
      </c>
      <c r="AL164" t="str">
        <f t="shared" si="44"/>
        <v>&lt;Insert&gt;&lt;Valeur name="no"&gt;163&lt;/Valeur&gt;&lt;Valeur name="ecriturebanque"&gt;153&lt;/Valeur&gt;&lt;Valeur name="datevaleur"&gt;2019/03/19&lt;/Valeur&gt;&lt;Valeur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165" spans="1:38" x14ac:dyDescent="0.25">
      <c r="A165">
        <v>154</v>
      </c>
      <c r="B165">
        <f>IF(A165&lt;&gt;"",VLOOKUP(A165,Banque!B:D,3,FALSE),1)</f>
        <v>1</v>
      </c>
      <c r="C165" s="1">
        <v>43544</v>
      </c>
      <c r="D165" t="s">
        <v>254</v>
      </c>
      <c r="E165" t="s">
        <v>7</v>
      </c>
      <c r="G165" s="10">
        <v>34</v>
      </c>
      <c r="I165" s="11">
        <f t="shared" si="30"/>
        <v>5.6666666666666643</v>
      </c>
      <c r="K165">
        <v>164</v>
      </c>
      <c r="L165">
        <v>154</v>
      </c>
      <c r="M165" s="16" t="s">
        <v>963</v>
      </c>
      <c r="N165">
        <f>IFERROR(VLOOKUP(D165,tab!A:B,2,FALSE),1)</f>
        <v>27</v>
      </c>
      <c r="O165" t="str">
        <f t="shared" si="31"/>
        <v>CB 454106 SNACK THIER 59BAVAY</v>
      </c>
      <c r="P165" s="14">
        <f t="shared" si="32"/>
        <v>34</v>
      </c>
      <c r="Q165" s="14">
        <f t="shared" si="33"/>
        <v>1</v>
      </c>
      <c r="R165" s="14">
        <v>20</v>
      </c>
      <c r="S165" s="14">
        <f t="shared" si="34"/>
        <v>5.6666666666666643</v>
      </c>
      <c r="Z165" t="str">
        <f t="shared" si="35"/>
        <v>&lt;Valeur name="no"&gt;164&lt;/Valeur&gt;</v>
      </c>
      <c r="AA165" t="str">
        <f t="shared" si="36"/>
        <v>&lt;Valeur name="ecriturebanque"&gt;154&lt;/Valeur&gt;</v>
      </c>
      <c r="AB165" t="str">
        <f t="shared" si="37"/>
        <v>&lt;Valeur name="datevaleur"&gt;2019/03/20&lt;/Valeur&gt;</v>
      </c>
      <c r="AC165" t="str">
        <f t="shared" si="38"/>
        <v>&lt;Valeur name="compte"&gt;27&lt;/Valeur&gt;</v>
      </c>
      <c r="AD165" t="str">
        <f t="shared" si="39"/>
        <v>&lt;Valeur name="description"&gt;CB 454106 SNACK THIER 59BAVAY&lt;/Valeur&gt;</v>
      </c>
      <c r="AE165" t="str">
        <f t="shared" si="40"/>
        <v>&lt;Valeur name="valeur"&gt;34&lt;/Valeur&gt;</v>
      </c>
      <c r="AF165" t="str">
        <f t="shared" si="41"/>
        <v>&lt;Valeur name="compta"&gt;1&lt;/Valeur&gt;</v>
      </c>
      <c r="AG165" t="str">
        <f t="shared" si="42"/>
        <v>&lt;Valeur name="tvapct"&gt;20&lt;/Valeur&gt;</v>
      </c>
      <c r="AH165" t="str">
        <f t="shared" si="43"/>
        <v>&lt;Valeur name="tva"&gt;5.66666666666666&lt;/Valeur&gt;</v>
      </c>
      <c r="AL165" t="str">
        <f t="shared" si="44"/>
        <v>&lt;Insert&gt;&lt;Valeur name="no"&gt;164&lt;/Valeur&gt;&lt;Valeur name="ecriturebanque"&gt;154&lt;/Valeur&gt;&lt;Valeur name="datevaleur"&gt;2019/03/20&lt;/Valeur&gt;&lt;Valeur name="compte"&gt;27&lt;/Valeur&gt;&lt;Valeur name="description"&gt;CB 454106 SNACK THIER 59BAVAY&lt;/Valeur&gt;&lt;Valeur name="valeur"&gt;34&lt;/Valeur&gt;&lt;Valeur name="compta"&gt;1&lt;/Valeur&gt;&lt;Valeur name="tvapct"&gt;20&lt;/Valeur&gt;&lt;Valeur name="tva"&gt;5.66666666666666&lt;/Valeur&gt;&lt;/Insert&gt;</v>
      </c>
    </row>
    <row r="166" spans="1:38" x14ac:dyDescent="0.25">
      <c r="A166">
        <v>155</v>
      </c>
      <c r="B166">
        <f>IF(A166&lt;&gt;"",VLOOKUP(A166,Banque!B:D,3,FALSE),1)</f>
        <v>1</v>
      </c>
      <c r="C166" s="1">
        <v>43544</v>
      </c>
      <c r="D166" t="s">
        <v>383</v>
      </c>
      <c r="E166" t="s">
        <v>29</v>
      </c>
      <c r="G166" s="10">
        <v>89</v>
      </c>
      <c r="I166" s="11">
        <f t="shared" si="30"/>
        <v>14.833333333333329</v>
      </c>
      <c r="K166">
        <v>165</v>
      </c>
      <c r="L166">
        <v>155</v>
      </c>
      <c r="M166" s="16" t="s">
        <v>963</v>
      </c>
      <c r="N166">
        <f>IFERROR(VLOOKUP(D166,tab!A:B,2,FALSE),1)</f>
        <v>108</v>
      </c>
      <c r="O166" t="str">
        <f t="shared" si="31"/>
        <v>CB 548222 SNCF INTERN 75PARIS 12</v>
      </c>
      <c r="P166" s="14">
        <f t="shared" si="32"/>
        <v>89</v>
      </c>
      <c r="Q166" s="14">
        <f t="shared" si="33"/>
        <v>1</v>
      </c>
      <c r="R166" s="14">
        <v>20</v>
      </c>
      <c r="S166" s="14">
        <f t="shared" si="34"/>
        <v>14.833333333333329</v>
      </c>
      <c r="Z166" t="str">
        <f t="shared" si="35"/>
        <v>&lt;Valeur name="no"&gt;165&lt;/Valeur&gt;</v>
      </c>
      <c r="AA166" t="str">
        <f t="shared" si="36"/>
        <v>&lt;Valeur name="ecriturebanque"&gt;155&lt;/Valeur&gt;</v>
      </c>
      <c r="AB166" t="str">
        <f t="shared" si="37"/>
        <v>&lt;Valeur name="datevaleur"&gt;2019/03/20&lt;/Valeur&gt;</v>
      </c>
      <c r="AC166" t="str">
        <f t="shared" si="38"/>
        <v>&lt;Valeur name="compte"&gt;108&lt;/Valeur&gt;</v>
      </c>
      <c r="AD166" t="str">
        <f t="shared" si="39"/>
        <v>&lt;Valeur name="description"&gt;CB 548222 SNCF INTERN 75PARIS 12&lt;/Valeur&gt;</v>
      </c>
      <c r="AE166" t="str">
        <f t="shared" si="40"/>
        <v>&lt;Valeur name="valeur"&gt;89&lt;/Valeur&gt;</v>
      </c>
      <c r="AF166" t="str">
        <f t="shared" si="41"/>
        <v>&lt;Valeur name="compta"&gt;1&lt;/Valeur&gt;</v>
      </c>
      <c r="AG166" t="str">
        <f t="shared" si="42"/>
        <v>&lt;Valeur name="tvapct"&gt;20&lt;/Valeur&gt;</v>
      </c>
      <c r="AH166" t="str">
        <f t="shared" si="43"/>
        <v>&lt;Valeur name="tva"&gt;14.8333333333333&lt;/Valeur&gt;</v>
      </c>
      <c r="AL166" t="str">
        <f t="shared" si="44"/>
        <v>&lt;Insert&gt;&lt;Valeur name="no"&gt;165&lt;/Valeur&gt;&lt;Valeur name="ecriturebanque"&gt;155&lt;/Valeur&gt;&lt;Valeur name="datevaleur"&gt;2019/03/20&lt;/Valeur&gt;&lt;Valeur name="compte"&gt;108&lt;/Valeur&gt;&lt;Valeur name="description"&gt;CB 548222 SNCF INTERN 75PARIS 12&lt;/Valeur&gt;&lt;Valeur name="valeur"&gt;89&lt;/Valeur&gt;&lt;Valeur name="compta"&gt;1&lt;/Valeur&gt;&lt;Valeur name="tvapct"&gt;20&lt;/Valeur&gt;&lt;Valeur name="tva"&gt;14.8333333333333&lt;/Valeur&gt;&lt;/Insert&gt;</v>
      </c>
    </row>
    <row r="167" spans="1:38" x14ac:dyDescent="0.25">
      <c r="A167">
        <v>156</v>
      </c>
      <c r="B167">
        <f>IF(A167&lt;&gt;"",VLOOKUP(A167,Banque!B:D,3,FALSE),1)</f>
        <v>1</v>
      </c>
      <c r="C167" s="1">
        <v>43544</v>
      </c>
      <c r="D167" t="s">
        <v>253</v>
      </c>
      <c r="E167" t="s">
        <v>27</v>
      </c>
      <c r="G167" s="10">
        <v>77.81</v>
      </c>
      <c r="I167" s="11">
        <f t="shared" si="30"/>
        <v>12.968333333333334</v>
      </c>
      <c r="K167">
        <v>166</v>
      </c>
      <c r="L167">
        <v>156</v>
      </c>
      <c r="M167" s="16" t="s">
        <v>963</v>
      </c>
      <c r="N167">
        <f>IFERROR(VLOOKUP(D167,tab!A:B,2,FALSE),1)</f>
        <v>13</v>
      </c>
      <c r="O167" t="str">
        <f t="shared" si="31"/>
        <v>CB 454106 CARREFOUR D 59AULNOY L</v>
      </c>
      <c r="P167" s="14">
        <f t="shared" si="32"/>
        <v>77.81</v>
      </c>
      <c r="Q167" s="14">
        <f t="shared" si="33"/>
        <v>1</v>
      </c>
      <c r="R167" s="14">
        <v>20</v>
      </c>
      <c r="S167" s="14">
        <f t="shared" si="34"/>
        <v>12.968333333333334</v>
      </c>
      <c r="Z167" t="str">
        <f t="shared" si="35"/>
        <v>&lt;Valeur name="no"&gt;166&lt;/Valeur&gt;</v>
      </c>
      <c r="AA167" t="str">
        <f t="shared" si="36"/>
        <v>&lt;Valeur name="ecriturebanque"&gt;156&lt;/Valeur&gt;</v>
      </c>
      <c r="AB167" t="str">
        <f t="shared" si="37"/>
        <v>&lt;Valeur name="datevaleur"&gt;2019/03/20&lt;/Valeur&gt;</v>
      </c>
      <c r="AC167" t="str">
        <f t="shared" si="38"/>
        <v>&lt;Valeur name="compte"&gt;13&lt;/Valeur&gt;</v>
      </c>
      <c r="AD167" t="str">
        <f t="shared" si="39"/>
        <v>&lt;Valeur name="description"&gt;CB 454106 CARREFOUR D 59AULNOY L&lt;/Valeur&gt;</v>
      </c>
      <c r="AE167" t="str">
        <f t="shared" si="40"/>
        <v>&lt;Valeur name="valeur"&gt;77.81&lt;/Valeur&gt;</v>
      </c>
      <c r="AF167" t="str">
        <f t="shared" si="41"/>
        <v>&lt;Valeur name="compta"&gt;1&lt;/Valeur&gt;</v>
      </c>
      <c r="AG167" t="str">
        <f t="shared" si="42"/>
        <v>&lt;Valeur name="tvapct"&gt;20&lt;/Valeur&gt;</v>
      </c>
      <c r="AH167" t="str">
        <f t="shared" si="43"/>
        <v>&lt;Valeur name="tva"&gt;12.9683333333333&lt;/Valeur&gt;</v>
      </c>
      <c r="AL167" t="str">
        <f t="shared" si="44"/>
        <v>&lt;Insert&gt;&lt;Valeur name="no"&gt;166&lt;/Valeur&gt;&lt;Valeur name="ecriturebanque"&gt;156&lt;/Valeur&gt;&lt;Valeur name="datevaleur"&gt;2019/03/20&lt;/Valeur&gt;&lt;Valeur name="compte"&gt;13&lt;/Valeur&gt;&lt;Valeur name="description"&gt;CB 454106 CARREFOUR D 59AULNOY L&lt;/Valeur&gt;&lt;Valeur name="valeur"&gt;77.81&lt;/Valeur&gt;&lt;Valeur name="compta"&gt;1&lt;/Valeur&gt;&lt;Valeur name="tvapct"&gt;20&lt;/Valeur&gt;&lt;Valeur name="tva"&gt;12.9683333333333&lt;/Valeur&gt;&lt;/Insert&gt;</v>
      </c>
    </row>
    <row r="168" spans="1:38" x14ac:dyDescent="0.25">
      <c r="A168">
        <v>157</v>
      </c>
      <c r="B168">
        <f>IF(A168&lt;&gt;"",VLOOKUP(A168,Banque!B:D,3,FALSE),1)</f>
        <v>1</v>
      </c>
      <c r="C168" s="1">
        <v>43545</v>
      </c>
      <c r="D168" t="s">
        <v>254</v>
      </c>
      <c r="E168" t="s">
        <v>20</v>
      </c>
      <c r="G168" s="10">
        <v>10.5</v>
      </c>
      <c r="I168" s="11">
        <f t="shared" si="30"/>
        <v>1.75</v>
      </c>
      <c r="K168">
        <v>167</v>
      </c>
      <c r="L168">
        <v>157</v>
      </c>
      <c r="M168" s="16" t="s">
        <v>964</v>
      </c>
      <c r="N168">
        <f>IFERROR(VLOOKUP(D168,tab!A:B,2,FALSE),1)</f>
        <v>27</v>
      </c>
      <c r="O168" t="str">
        <f t="shared" si="31"/>
        <v>CB 454106 SMMATCH MAG 59BAVAY</v>
      </c>
      <c r="P168" s="14">
        <f t="shared" si="32"/>
        <v>10.5</v>
      </c>
      <c r="Q168" s="14">
        <f t="shared" si="33"/>
        <v>1</v>
      </c>
      <c r="R168" s="14">
        <v>20</v>
      </c>
      <c r="S168" s="14">
        <f t="shared" si="34"/>
        <v>1.75</v>
      </c>
      <c r="Z168" t="str">
        <f t="shared" si="35"/>
        <v>&lt;Valeur name="no"&gt;167&lt;/Valeur&gt;</v>
      </c>
      <c r="AA168" t="str">
        <f t="shared" si="36"/>
        <v>&lt;Valeur name="ecriturebanque"&gt;157&lt;/Valeur&gt;</v>
      </c>
      <c r="AB168" t="str">
        <f t="shared" si="37"/>
        <v>&lt;Valeur name="datevaleur"&gt;2019/03/21&lt;/Valeur&gt;</v>
      </c>
      <c r="AC168" t="str">
        <f t="shared" si="38"/>
        <v>&lt;Valeur name="compte"&gt;27&lt;/Valeur&gt;</v>
      </c>
      <c r="AD168" t="str">
        <f t="shared" si="39"/>
        <v>&lt;Valeur name="description"&gt;CB 454106 SMMATCH MAG 59BAVAY&lt;/Valeur&gt;</v>
      </c>
      <c r="AE168" t="str">
        <f t="shared" si="40"/>
        <v>&lt;Valeur name="valeur"&gt;10.5&lt;/Valeur&gt;</v>
      </c>
      <c r="AF168" t="str">
        <f t="shared" si="41"/>
        <v>&lt;Valeur name="compta"&gt;1&lt;/Valeur&gt;</v>
      </c>
      <c r="AG168" t="str">
        <f t="shared" si="42"/>
        <v>&lt;Valeur name="tvapct"&gt;20&lt;/Valeur&gt;</v>
      </c>
      <c r="AH168" t="str">
        <f t="shared" si="43"/>
        <v>&lt;Valeur name="tva"&gt;1.75&lt;/Valeur&gt;</v>
      </c>
      <c r="AL168" t="str">
        <f t="shared" si="44"/>
        <v>&lt;Insert&gt;&lt;Valeur name="no"&gt;167&lt;/Valeur&gt;&lt;Valeur name="ecriturebanque"&gt;157&lt;/Valeur&gt;&lt;Valeur name="datevaleur"&gt;2019/03/21&lt;/Valeur&gt;&lt;Valeur name="compte"&gt;27&lt;/Valeur&gt;&lt;Valeur name="description"&gt;CB 454106 SMMATCH MAG 59BAVAY&lt;/Valeur&gt;&lt;Valeur name="valeur"&gt;10.5&lt;/Valeur&gt;&lt;Valeur name="compta"&gt;1&lt;/Valeur&gt;&lt;Valeur name="tvapct"&gt;20&lt;/Valeur&gt;&lt;Valeur name="tva"&gt;1.75&lt;/Valeur&gt;&lt;/Insert&gt;</v>
      </c>
    </row>
    <row r="169" spans="1:38" x14ac:dyDescent="0.25">
      <c r="A169">
        <v>158</v>
      </c>
      <c r="B169">
        <f>IF(A169&lt;&gt;"",VLOOKUP(A169,Banque!B:D,3,FALSE),1)</f>
        <v>1</v>
      </c>
      <c r="C169" s="1">
        <v>43545</v>
      </c>
      <c r="D169" t="s">
        <v>384</v>
      </c>
      <c r="E169" t="s">
        <v>18</v>
      </c>
      <c r="G169" s="10">
        <v>5.85</v>
      </c>
      <c r="I169" s="11">
        <f t="shared" si="30"/>
        <v>0.97499999999999964</v>
      </c>
      <c r="K169">
        <v>168</v>
      </c>
      <c r="L169">
        <v>158</v>
      </c>
      <c r="M169" s="16" t="s">
        <v>964</v>
      </c>
      <c r="N169">
        <f>IFERROR(VLOOKUP(D169,tab!A:B,2,FALSE),1)</f>
        <v>76</v>
      </c>
      <c r="O169" t="str">
        <f t="shared" si="31"/>
        <v>CB 454106 LA POSTE 59 59BAVAY</v>
      </c>
      <c r="P169" s="14">
        <f t="shared" si="32"/>
        <v>5.85</v>
      </c>
      <c r="Q169" s="14">
        <f t="shared" si="33"/>
        <v>1</v>
      </c>
      <c r="R169" s="14">
        <v>20</v>
      </c>
      <c r="S169" s="14">
        <f t="shared" si="34"/>
        <v>0.97499999999999964</v>
      </c>
      <c r="Z169" t="str">
        <f t="shared" si="35"/>
        <v>&lt;Valeur name="no"&gt;168&lt;/Valeur&gt;</v>
      </c>
      <c r="AA169" t="str">
        <f t="shared" si="36"/>
        <v>&lt;Valeur name="ecriturebanque"&gt;158&lt;/Valeur&gt;</v>
      </c>
      <c r="AB169" t="str">
        <f t="shared" si="37"/>
        <v>&lt;Valeur name="datevaleur"&gt;2019/03/21&lt;/Valeur&gt;</v>
      </c>
      <c r="AC169" t="str">
        <f t="shared" si="38"/>
        <v>&lt;Valeur name="compte"&gt;76&lt;/Valeur&gt;</v>
      </c>
      <c r="AD169" t="str">
        <f t="shared" si="39"/>
        <v>&lt;Valeur name="description"&gt;CB 454106 LA POSTE 59 59BAVAY&lt;/Valeur&gt;</v>
      </c>
      <c r="AE169" t="str">
        <f t="shared" si="40"/>
        <v>&lt;Valeur name="valeur"&gt;5.85&lt;/Valeur&gt;</v>
      </c>
      <c r="AF169" t="str">
        <f t="shared" si="41"/>
        <v>&lt;Valeur name="compta"&gt;1&lt;/Valeur&gt;</v>
      </c>
      <c r="AG169" t="str">
        <f t="shared" si="42"/>
        <v>&lt;Valeur name="tvapct"&gt;20&lt;/Valeur&gt;</v>
      </c>
      <c r="AH169" t="str">
        <f t="shared" si="43"/>
        <v>&lt;Valeur name="tva"&gt;0.975&lt;/Valeur&gt;</v>
      </c>
      <c r="AL169" t="str">
        <f t="shared" si="44"/>
        <v>&lt;Insert&gt;&lt;Valeur name="no"&gt;168&lt;/Valeur&gt;&lt;Valeur name="ecriturebanque"&gt;158&lt;/Valeur&gt;&lt;Valeur name="datevaleur"&gt;2019/03/21&lt;/Valeur&gt;&lt;Valeur name="compte"&gt;76&lt;/Valeur&gt;&lt;Valeur name="description"&gt;CB 454106 LA POSTE 59 59BAVAY&lt;/Valeur&gt;&lt;Valeur name="valeur"&gt;5.85&lt;/Valeur&gt;&lt;Valeur name="compta"&gt;1&lt;/Valeur&gt;&lt;Valeur name="tvapct"&gt;20&lt;/Valeur&gt;&lt;Valeur name="tva"&gt;0.975&lt;/Valeur&gt;&lt;/Insert&gt;</v>
      </c>
    </row>
    <row r="170" spans="1:38" x14ac:dyDescent="0.25">
      <c r="A170">
        <v>159</v>
      </c>
      <c r="B170">
        <f>IF(A170&lt;&gt;"",VLOOKUP(A170,Banque!B:D,3,FALSE),1)</f>
        <v>1</v>
      </c>
      <c r="C170" s="1">
        <v>43545</v>
      </c>
      <c r="D170" t="s">
        <v>383</v>
      </c>
      <c r="E170" t="s">
        <v>24</v>
      </c>
      <c r="G170" s="10">
        <v>63</v>
      </c>
      <c r="I170" s="11">
        <f t="shared" si="30"/>
        <v>10.5</v>
      </c>
      <c r="K170">
        <v>169</v>
      </c>
      <c r="L170">
        <v>159</v>
      </c>
      <c r="M170" s="16" t="s">
        <v>964</v>
      </c>
      <c r="N170">
        <f>IFERROR(VLOOKUP(D170,tab!A:B,2,FALSE),1)</f>
        <v>108</v>
      </c>
      <c r="O170" t="str">
        <f t="shared" si="31"/>
        <v>CB 548222 SNCF        75PARIS 10</v>
      </c>
      <c r="P170" s="14">
        <f t="shared" si="32"/>
        <v>63</v>
      </c>
      <c r="Q170" s="14">
        <f t="shared" si="33"/>
        <v>1</v>
      </c>
      <c r="R170" s="14">
        <v>20</v>
      </c>
      <c r="S170" s="14">
        <f t="shared" si="34"/>
        <v>10.5</v>
      </c>
      <c r="Z170" t="str">
        <f t="shared" si="35"/>
        <v>&lt;Valeur name="no"&gt;169&lt;/Valeur&gt;</v>
      </c>
      <c r="AA170" t="str">
        <f t="shared" si="36"/>
        <v>&lt;Valeur name="ecriturebanque"&gt;159&lt;/Valeur&gt;</v>
      </c>
      <c r="AB170" t="str">
        <f t="shared" si="37"/>
        <v>&lt;Valeur name="datevaleur"&gt;2019/03/21&lt;/Valeur&gt;</v>
      </c>
      <c r="AC170" t="str">
        <f t="shared" si="38"/>
        <v>&lt;Valeur name="compte"&gt;108&lt;/Valeur&gt;</v>
      </c>
      <c r="AD170" t="str">
        <f t="shared" si="39"/>
        <v>&lt;Valeur name="description"&gt;CB 548222 SNCF        75PARIS 10&lt;/Valeur&gt;</v>
      </c>
      <c r="AE170" t="str">
        <f t="shared" si="40"/>
        <v>&lt;Valeur name="valeur"&gt;63&lt;/Valeur&gt;</v>
      </c>
      <c r="AF170" t="str">
        <f t="shared" si="41"/>
        <v>&lt;Valeur name="compta"&gt;1&lt;/Valeur&gt;</v>
      </c>
      <c r="AG170" t="str">
        <f t="shared" si="42"/>
        <v>&lt;Valeur name="tvapct"&gt;20&lt;/Valeur&gt;</v>
      </c>
      <c r="AH170" t="str">
        <f t="shared" si="43"/>
        <v>&lt;Valeur name="tva"&gt;10.5&lt;/Valeur&gt;</v>
      </c>
      <c r="AL170" t="str">
        <f t="shared" si="44"/>
        <v>&lt;Insert&gt;&lt;Valeur name="no"&gt;169&lt;/Valeur&gt;&lt;Valeur name="ecriturebanque"&gt;159&lt;/Valeur&gt;&lt;Valeur name="datevaleur"&gt;2019/03/21&lt;/Valeur&gt;&lt;Valeur name="compte"&gt;108&lt;/Valeur&gt;&lt;Valeur name="description"&gt;CB 548222 SNCF        75PARIS 10&lt;/Valeur&gt;&lt;Valeur name="valeur"&gt;63&lt;/Valeur&gt;&lt;Valeur name="compta"&gt;1&lt;/Valeur&gt;&lt;Valeur name="tvapct"&gt;20&lt;/Valeur&gt;&lt;Valeur name="tva"&gt;10.5&lt;/Valeur&gt;&lt;/Insert&gt;</v>
      </c>
    </row>
    <row r="171" spans="1:38" x14ac:dyDescent="0.25">
      <c r="A171">
        <v>160</v>
      </c>
      <c r="B171">
        <f>IF(A171&lt;&gt;"",VLOOKUP(A171,Banque!B:D,3,FALSE),1)</f>
        <v>1</v>
      </c>
      <c r="C171" s="1">
        <v>43545</v>
      </c>
      <c r="D171" t="s">
        <v>254</v>
      </c>
      <c r="E171" t="s">
        <v>22</v>
      </c>
      <c r="G171" s="10">
        <v>10.55</v>
      </c>
      <c r="I171" s="11">
        <f t="shared" si="30"/>
        <v>1.7583333333333329</v>
      </c>
      <c r="K171">
        <v>170</v>
      </c>
      <c r="L171">
        <v>160</v>
      </c>
      <c r="M171" s="16" t="s">
        <v>964</v>
      </c>
      <c r="N171">
        <f>IFERROR(VLOOKUP(D171,tab!A:B,2,FALSE),1)</f>
        <v>27</v>
      </c>
      <c r="O171" t="str">
        <f t="shared" si="31"/>
        <v>CB 548222 ECG17285PAU 75PARIS</v>
      </c>
      <c r="P171" s="14">
        <f t="shared" si="32"/>
        <v>10.55</v>
      </c>
      <c r="Q171" s="14">
        <f t="shared" si="33"/>
        <v>1</v>
      </c>
      <c r="R171" s="14">
        <v>20</v>
      </c>
      <c r="S171" s="14">
        <f t="shared" si="34"/>
        <v>1.7583333333333329</v>
      </c>
      <c r="Z171" t="str">
        <f t="shared" si="35"/>
        <v>&lt;Valeur name="no"&gt;170&lt;/Valeur&gt;</v>
      </c>
      <c r="AA171" t="str">
        <f t="shared" si="36"/>
        <v>&lt;Valeur name="ecriturebanque"&gt;160&lt;/Valeur&gt;</v>
      </c>
      <c r="AB171" t="str">
        <f t="shared" si="37"/>
        <v>&lt;Valeur name="datevaleur"&gt;2019/03/21&lt;/Valeur&gt;</v>
      </c>
      <c r="AC171" t="str">
        <f t="shared" si="38"/>
        <v>&lt;Valeur name="compte"&gt;27&lt;/Valeur&gt;</v>
      </c>
      <c r="AD171" t="str">
        <f t="shared" si="39"/>
        <v>&lt;Valeur name="description"&gt;CB 548222 ECG17285PAU 75PARIS&lt;/Valeur&gt;</v>
      </c>
      <c r="AE171" t="str">
        <f t="shared" si="40"/>
        <v>&lt;Valeur name="valeur"&gt;10.55&lt;/Valeur&gt;</v>
      </c>
      <c r="AF171" t="str">
        <f t="shared" si="41"/>
        <v>&lt;Valeur name="compta"&gt;1&lt;/Valeur&gt;</v>
      </c>
      <c r="AG171" t="str">
        <f t="shared" si="42"/>
        <v>&lt;Valeur name="tvapct"&gt;20&lt;/Valeur&gt;</v>
      </c>
      <c r="AH171" t="str">
        <f t="shared" si="43"/>
        <v>&lt;Valeur name="tva"&gt;1.75833333333333&lt;/Valeur&gt;</v>
      </c>
      <c r="AL171" t="str">
        <f t="shared" si="44"/>
        <v>&lt;Insert&gt;&lt;Valeur name="no"&gt;170&lt;/Valeur&gt;&lt;Valeur name="ecriturebanque"&gt;160&lt;/Valeur&gt;&lt;Valeur name="datevaleur"&gt;2019/03/21&lt;/Valeur&gt;&lt;Valeur name="compte"&gt;27&lt;/Valeur&gt;&lt;Valeur name="description"&gt;CB 548222 ECG17285PAU 75PARIS&lt;/Valeur&gt;&lt;Valeur name="valeur"&gt;10.55&lt;/Valeur&gt;&lt;Valeur name="compta"&gt;1&lt;/Valeur&gt;&lt;Valeur name="tvapct"&gt;20&lt;/Valeur&gt;&lt;Valeur name="tva"&gt;1.75833333333333&lt;/Valeur&gt;&lt;/Insert&gt;</v>
      </c>
    </row>
    <row r="172" spans="1:38" x14ac:dyDescent="0.25">
      <c r="A172">
        <v>161</v>
      </c>
      <c r="B172">
        <f>IF(A172&lt;&gt;"",VLOOKUP(A172,Banque!B:D,3,FALSE),1)</f>
        <v>1</v>
      </c>
      <c r="C172" s="1">
        <v>43545</v>
      </c>
      <c r="D172" t="s">
        <v>269</v>
      </c>
      <c r="E172" t="s">
        <v>15</v>
      </c>
      <c r="F172" t="s">
        <v>16</v>
      </c>
      <c r="G172" s="10">
        <v>154</v>
      </c>
      <c r="I172" s="11">
        <f t="shared" si="30"/>
        <v>25.666666666666657</v>
      </c>
      <c r="K172">
        <v>171</v>
      </c>
      <c r="L172">
        <v>161</v>
      </c>
      <c r="M172" s="16" t="s">
        <v>964</v>
      </c>
      <c r="N172">
        <f>IFERROR(VLOOKUP(D172,tab!A:B,2,FALSE),1)</f>
        <v>14</v>
      </c>
      <c r="O172" t="str">
        <f t="shared" si="31"/>
        <v>PRLV B2B DGFIP / PASDSN15032019-022019-7945135310</v>
      </c>
      <c r="P172" s="14">
        <f t="shared" si="32"/>
        <v>154</v>
      </c>
      <c r="Q172" s="14">
        <f t="shared" si="33"/>
        <v>1</v>
      </c>
      <c r="R172" s="14">
        <v>20</v>
      </c>
      <c r="S172" s="14">
        <f t="shared" si="34"/>
        <v>25.666666666666657</v>
      </c>
      <c r="Z172" t="str">
        <f t="shared" si="35"/>
        <v>&lt;Valeur name="no"&gt;171&lt;/Valeur&gt;</v>
      </c>
      <c r="AA172" t="str">
        <f t="shared" si="36"/>
        <v>&lt;Valeur name="ecriturebanque"&gt;161&lt;/Valeur&gt;</v>
      </c>
      <c r="AB172" t="str">
        <f t="shared" si="37"/>
        <v>&lt;Valeur name="datevaleur"&gt;2019/03/21&lt;/Valeur&gt;</v>
      </c>
      <c r="AC172" t="str">
        <f t="shared" si="38"/>
        <v>&lt;Valeur name="compte"&gt;14&lt;/Valeur&gt;</v>
      </c>
      <c r="AD172" t="str">
        <f t="shared" si="39"/>
        <v>&lt;Valeur name="description"&gt;PRLV B2B DGFIP / PASDSN15032019-022019-7945135310&lt;/Valeur&gt;</v>
      </c>
      <c r="AE172" t="str">
        <f t="shared" si="40"/>
        <v>&lt;Valeur name="valeur"&gt;154&lt;/Valeur&gt;</v>
      </c>
      <c r="AF172" t="str">
        <f t="shared" si="41"/>
        <v>&lt;Valeur name="compta"&gt;1&lt;/Valeur&gt;</v>
      </c>
      <c r="AG172" t="str">
        <f t="shared" si="42"/>
        <v>&lt;Valeur name="tvapct"&gt;20&lt;/Valeur&gt;</v>
      </c>
      <c r="AH172" t="str">
        <f t="shared" si="43"/>
        <v>&lt;Valeur name="tva"&gt;25.6666666666667&lt;/Valeur&gt;</v>
      </c>
      <c r="AL172" t="str">
        <f t="shared" si="44"/>
        <v>&lt;Insert&gt;&lt;Valeur name="no"&gt;171&lt;/Valeur&gt;&lt;Valeur name="ecriturebanque"&gt;161&lt;/Valeur&gt;&lt;Valeur name="datevaleur"&gt;2019/03/21&lt;/Valeur&gt;&lt;Valeur name="compte"&gt;14&lt;/Valeur&gt;&lt;Valeur name="description"&gt;PRLV B2B DGFIP / PASDSN15032019-022019-7945135310&lt;/Valeur&gt;&lt;Valeur name="valeur"&gt;154&lt;/Valeur&gt;&lt;Valeur name="compta"&gt;1&lt;/Valeur&gt;&lt;Valeur name="tvapct"&gt;20&lt;/Valeur&gt;&lt;Valeur name="tva"&gt;25.6666666666667&lt;/Valeur&gt;&lt;/Insert&gt;</v>
      </c>
    </row>
    <row r="173" spans="1:38" x14ac:dyDescent="0.25">
      <c r="A173">
        <v>162</v>
      </c>
      <c r="B173">
        <f>IF(A173&lt;&gt;"",VLOOKUP(A173,Banque!B:D,3,FALSE),1)</f>
        <v>0</v>
      </c>
      <c r="C173" s="1">
        <v>43549</v>
      </c>
      <c r="D173" t="s">
        <v>277</v>
      </c>
      <c r="E173" t="s">
        <v>13</v>
      </c>
      <c r="G173" s="10">
        <v>13.73</v>
      </c>
      <c r="I173" s="11">
        <f t="shared" si="30"/>
        <v>2.2883333333333322</v>
      </c>
      <c r="K173">
        <v>172</v>
      </c>
      <c r="L173">
        <v>162</v>
      </c>
      <c r="M173" s="16" t="s">
        <v>965</v>
      </c>
      <c r="N173">
        <f>IFERROR(VLOOKUP(D173,tab!A:B,2,FALSE),1)</f>
        <v>62</v>
      </c>
      <c r="O173" t="str">
        <f t="shared" si="31"/>
        <v>RELEVE LCR DU  180319  CONFORME</v>
      </c>
      <c r="P173" s="14">
        <f t="shared" si="32"/>
        <v>13.73</v>
      </c>
      <c r="Q173" s="14">
        <f t="shared" si="33"/>
        <v>0</v>
      </c>
      <c r="R173" s="14">
        <v>20</v>
      </c>
      <c r="S173" s="14">
        <f t="shared" si="34"/>
        <v>2.2883333333333322</v>
      </c>
      <c r="Z173" t="str">
        <f t="shared" si="35"/>
        <v>&lt;Valeur name="no"&gt;172&lt;/Valeur&gt;</v>
      </c>
      <c r="AA173" t="str">
        <f t="shared" si="36"/>
        <v>&lt;Valeur name="ecriturebanque"&gt;162&lt;/Valeur&gt;</v>
      </c>
      <c r="AB173" t="str">
        <f t="shared" si="37"/>
        <v>&lt;Valeur name="datevaleur"&gt;2019/03/25&lt;/Valeur&gt;</v>
      </c>
      <c r="AC173" t="str">
        <f t="shared" si="38"/>
        <v>&lt;Valeur name="compte"&gt;62&lt;/Valeur&gt;</v>
      </c>
      <c r="AD173" t="str">
        <f t="shared" si="39"/>
        <v>&lt;Valeur name="description"&gt;RELEVE LCR DU  180319  CONFORME&lt;/Valeur&gt;</v>
      </c>
      <c r="AE173" t="str">
        <f t="shared" si="40"/>
        <v>&lt;Valeur name="valeur"&gt;13.73&lt;/Valeur&gt;</v>
      </c>
      <c r="AF173" t="str">
        <f t="shared" si="41"/>
        <v>&lt;Valeur name="compta"&gt;0&lt;/Valeur&gt;</v>
      </c>
      <c r="AG173" t="str">
        <f t="shared" si="42"/>
        <v>&lt;Valeur name="tvapct"&gt;20&lt;/Valeur&gt;</v>
      </c>
      <c r="AH173" t="str">
        <f t="shared" si="43"/>
        <v>&lt;Valeur name="tva"&gt;2.28833333333333&lt;/Valeur&gt;</v>
      </c>
      <c r="AL173" t="str">
        <f t="shared" si="44"/>
        <v>&lt;Insert&gt;&lt;Valeur name="no"&gt;172&lt;/Valeur&gt;&lt;Valeur name="ecriturebanque"&gt;162&lt;/Valeur&gt;&lt;Valeur name="datevaleur"&gt;2019/03/25&lt;/Valeur&gt;&lt;Valeur name="compte"&gt;62&lt;/Valeur&gt;&lt;Valeur name="description"&gt;RELEVE LCR DU  180319  CONFORME&lt;/Valeur&gt;&lt;Valeur name="valeur"&gt;13.73&lt;/Valeur&gt;&lt;Valeur name="compta"&gt;0&lt;/Valeur&gt;&lt;Valeur name="tvapct"&gt;20&lt;/Valeur&gt;&lt;Valeur name="tva"&gt;2.28833333333333&lt;/Valeur&gt;&lt;/Insert&gt;</v>
      </c>
    </row>
    <row r="174" spans="1:38" x14ac:dyDescent="0.25">
      <c r="A174">
        <v>163</v>
      </c>
      <c r="B174">
        <f>IF(A174&lt;&gt;"",VLOOKUP(A174,Banque!B:D,3,FALSE),1)</f>
        <v>1</v>
      </c>
      <c r="C174" s="1">
        <v>43549</v>
      </c>
      <c r="D174" t="s">
        <v>254</v>
      </c>
      <c r="E174" t="s">
        <v>11</v>
      </c>
      <c r="G174" s="10">
        <v>12.2</v>
      </c>
      <c r="I174" s="11">
        <f t="shared" si="30"/>
        <v>2.0333333333333332</v>
      </c>
      <c r="K174">
        <v>173</v>
      </c>
      <c r="L174">
        <v>163</v>
      </c>
      <c r="M174" s="16" t="s">
        <v>965</v>
      </c>
      <c r="N174">
        <f>IFERROR(VLOOKUP(D174,tab!A:B,2,FALSE),1)</f>
        <v>27</v>
      </c>
      <c r="O174" t="str">
        <f t="shared" si="31"/>
        <v>CB 548222 SARRASINE   59FAMARS</v>
      </c>
      <c r="P174" s="14">
        <f t="shared" si="32"/>
        <v>12.2</v>
      </c>
      <c r="Q174" s="14">
        <f t="shared" si="33"/>
        <v>1</v>
      </c>
      <c r="R174" s="14">
        <v>20</v>
      </c>
      <c r="S174" s="14">
        <f t="shared" si="34"/>
        <v>2.0333333333333332</v>
      </c>
      <c r="Z174" t="str">
        <f t="shared" si="35"/>
        <v>&lt;Valeur name="no"&gt;173&lt;/Valeur&gt;</v>
      </c>
      <c r="AA174" t="str">
        <f t="shared" si="36"/>
        <v>&lt;Valeur name="ecriturebanque"&gt;163&lt;/Valeur&gt;</v>
      </c>
      <c r="AB174" t="str">
        <f t="shared" si="37"/>
        <v>&lt;Valeur name="datevaleur"&gt;2019/03/25&lt;/Valeur&gt;</v>
      </c>
      <c r="AC174" t="str">
        <f t="shared" si="38"/>
        <v>&lt;Valeur name="compte"&gt;27&lt;/Valeur&gt;</v>
      </c>
      <c r="AD174" t="str">
        <f t="shared" si="39"/>
        <v>&lt;Valeur name="description"&gt;CB 548222 SARRASINE   59FAMARS&lt;/Valeur&gt;</v>
      </c>
      <c r="AE174" t="str">
        <f t="shared" si="40"/>
        <v>&lt;Valeur name="valeur"&gt;12.2&lt;/Valeur&gt;</v>
      </c>
      <c r="AF174" t="str">
        <f t="shared" si="41"/>
        <v>&lt;Valeur name="compta"&gt;1&lt;/Valeur&gt;</v>
      </c>
      <c r="AG174" t="str">
        <f t="shared" si="42"/>
        <v>&lt;Valeur name="tvapct"&gt;20&lt;/Valeur&gt;</v>
      </c>
      <c r="AH174" t="str">
        <f t="shared" si="43"/>
        <v>&lt;Valeur name="tva"&gt;2.03333333333333&lt;/Valeur&gt;</v>
      </c>
      <c r="AL174" t="str">
        <f t="shared" si="44"/>
        <v>&lt;Insert&gt;&lt;Valeur name="no"&gt;173&lt;/Valeur&gt;&lt;Valeur name="ecriturebanque"&gt;163&lt;/Valeur&gt;&lt;Valeur name="datevaleur"&gt;2019/03/25&lt;/Valeur&gt;&lt;Valeur name="compte"&gt;27&lt;/Valeur&gt;&lt;Valeur name="description"&gt;CB 548222 SARRASINE   59FAMARS&lt;/Valeur&gt;&lt;Valeur name="valeur"&gt;12.2&lt;/Valeur&gt;&lt;Valeur name="compta"&gt;1&lt;/Valeur&gt;&lt;Valeur name="tvapct"&gt;20&lt;/Valeur&gt;&lt;Valeur name="tva"&gt;2.03333333333333&lt;/Valeur&gt;&lt;/Insert&gt;</v>
      </c>
    </row>
    <row r="175" spans="1:38" x14ac:dyDescent="0.25">
      <c r="A175">
        <v>164</v>
      </c>
      <c r="B175">
        <f>IF(A175&lt;&gt;"",VLOOKUP(A175,Banque!B:D,3,FALSE),1)</f>
        <v>1</v>
      </c>
      <c r="C175" s="1">
        <v>43550</v>
      </c>
      <c r="D175" t="s">
        <v>253</v>
      </c>
      <c r="E175" t="s">
        <v>9</v>
      </c>
      <c r="G175" s="10">
        <v>82.96</v>
      </c>
      <c r="I175" s="11">
        <f t="shared" si="30"/>
        <v>13.826666666666668</v>
      </c>
      <c r="K175">
        <v>174</v>
      </c>
      <c r="L175">
        <v>164</v>
      </c>
      <c r="M175" s="16" t="s">
        <v>966</v>
      </c>
      <c r="N175">
        <f>IFERROR(VLOOKUP(D175,tab!A:B,2,FALSE),1)</f>
        <v>13</v>
      </c>
      <c r="O175" t="str">
        <f t="shared" si="31"/>
        <v>CB 548222 DAC AUCHAN  59VALENCIE</v>
      </c>
      <c r="P175" s="14">
        <f t="shared" si="32"/>
        <v>82.96</v>
      </c>
      <c r="Q175" s="14">
        <f t="shared" si="33"/>
        <v>1</v>
      </c>
      <c r="R175" s="14">
        <v>20</v>
      </c>
      <c r="S175" s="14">
        <f t="shared" si="34"/>
        <v>13.826666666666668</v>
      </c>
      <c r="Z175" t="str">
        <f t="shared" si="35"/>
        <v>&lt;Valeur name="no"&gt;174&lt;/Valeur&gt;</v>
      </c>
      <c r="AA175" t="str">
        <f t="shared" si="36"/>
        <v>&lt;Valeur name="ecriturebanque"&gt;164&lt;/Valeur&gt;</v>
      </c>
      <c r="AB175" t="str">
        <f t="shared" si="37"/>
        <v>&lt;Valeur name="datevaleur"&gt;2019/03/26&lt;/Valeur&gt;</v>
      </c>
      <c r="AC175" t="str">
        <f t="shared" si="38"/>
        <v>&lt;Valeur name="compte"&gt;13&lt;/Valeur&gt;</v>
      </c>
      <c r="AD175" t="str">
        <f t="shared" si="39"/>
        <v>&lt;Valeur name="description"&gt;CB 548222 DAC AUCHAN  59VALENCIE&lt;/Valeur&gt;</v>
      </c>
      <c r="AE175" t="str">
        <f t="shared" si="40"/>
        <v>&lt;Valeur name="valeur"&gt;82.96&lt;/Valeur&gt;</v>
      </c>
      <c r="AF175" t="str">
        <f t="shared" si="41"/>
        <v>&lt;Valeur name="compta"&gt;1&lt;/Valeur&gt;</v>
      </c>
      <c r="AG175" t="str">
        <f t="shared" si="42"/>
        <v>&lt;Valeur name="tvapct"&gt;20&lt;/Valeur&gt;</v>
      </c>
      <c r="AH175" t="str">
        <f t="shared" si="43"/>
        <v>&lt;Valeur name="tva"&gt;13.8266666666667&lt;/Valeur&gt;</v>
      </c>
      <c r="AL175" t="str">
        <f t="shared" si="44"/>
        <v>&lt;Insert&gt;&lt;Valeur name="no"&gt;174&lt;/Valeur&gt;&lt;Valeur name="ecriturebanque"&gt;164&lt;/Valeur&gt;&lt;Valeur name="datevaleur"&gt;2019/03/26&lt;/Valeur&gt;&lt;Valeur name="compte"&gt;13&lt;/Valeur&gt;&lt;Valeur name="description"&gt;CB 548222 DAC AUCHAN  59VALENCIE&lt;/Valeur&gt;&lt;Valeur name="valeur"&gt;82.96&lt;/Valeur&gt;&lt;Valeur name="compta"&gt;1&lt;/Valeur&gt;&lt;Valeur name="tvapct"&gt;20&lt;/Valeur&gt;&lt;Valeur name="tva"&gt;13.8266666666667&lt;/Valeur&gt;&lt;/Insert&gt;</v>
      </c>
    </row>
    <row r="176" spans="1:38" x14ac:dyDescent="0.25">
      <c r="A176">
        <v>165</v>
      </c>
      <c r="B176">
        <f>IF(A176&lt;&gt;"",VLOOKUP(A176,Banque!B:D,3,FALSE),1)</f>
        <v>1</v>
      </c>
      <c r="C176" s="1">
        <v>43550</v>
      </c>
      <c r="D176" t="s">
        <v>254</v>
      </c>
      <c r="E176" t="s">
        <v>7</v>
      </c>
      <c r="G176" s="10">
        <v>30.9</v>
      </c>
      <c r="I176" s="11">
        <f t="shared" si="30"/>
        <v>5.1499999999999986</v>
      </c>
      <c r="K176">
        <v>175</v>
      </c>
      <c r="L176">
        <v>165</v>
      </c>
      <c r="M176" s="16" t="s">
        <v>966</v>
      </c>
      <c r="N176">
        <f>IFERROR(VLOOKUP(D176,tab!A:B,2,FALSE),1)</f>
        <v>27</v>
      </c>
      <c r="O176" t="str">
        <f t="shared" si="31"/>
        <v>CB 454106 SNACK THIER 59BAVAY</v>
      </c>
      <c r="P176" s="14">
        <f t="shared" si="32"/>
        <v>30.9</v>
      </c>
      <c r="Q176" s="14">
        <f t="shared" si="33"/>
        <v>1</v>
      </c>
      <c r="R176" s="14">
        <v>20</v>
      </c>
      <c r="S176" s="14">
        <f t="shared" si="34"/>
        <v>5.1499999999999986</v>
      </c>
      <c r="Z176" t="str">
        <f t="shared" si="35"/>
        <v>&lt;Valeur name="no"&gt;175&lt;/Valeur&gt;</v>
      </c>
      <c r="AA176" t="str">
        <f t="shared" si="36"/>
        <v>&lt;Valeur name="ecriturebanque"&gt;165&lt;/Valeur&gt;</v>
      </c>
      <c r="AB176" t="str">
        <f t="shared" si="37"/>
        <v>&lt;Valeur name="datevaleur"&gt;2019/03/26&lt;/Valeur&gt;</v>
      </c>
      <c r="AC176" t="str">
        <f t="shared" si="38"/>
        <v>&lt;Valeur name="compte"&gt;27&lt;/Valeur&gt;</v>
      </c>
      <c r="AD176" t="str">
        <f t="shared" si="39"/>
        <v>&lt;Valeur name="description"&gt;CB 454106 SNACK THIER 59BAVAY&lt;/Valeur&gt;</v>
      </c>
      <c r="AE176" t="str">
        <f t="shared" si="40"/>
        <v>&lt;Valeur name="valeur"&gt;30.9&lt;/Valeur&gt;</v>
      </c>
      <c r="AF176" t="str">
        <f t="shared" si="41"/>
        <v>&lt;Valeur name="compta"&gt;1&lt;/Valeur&gt;</v>
      </c>
      <c r="AG176" t="str">
        <f t="shared" si="42"/>
        <v>&lt;Valeur name="tvapct"&gt;20&lt;/Valeur&gt;</v>
      </c>
      <c r="AH176" t="str">
        <f t="shared" si="43"/>
        <v>&lt;Valeur name="tva"&gt;5.15&lt;/Valeur&gt;</v>
      </c>
      <c r="AL176" t="str">
        <f t="shared" si="44"/>
        <v>&lt;Insert&gt;&lt;Valeur name="no"&gt;175&lt;/Valeur&gt;&lt;Valeur name="ecriturebanque"&gt;165&lt;/Valeur&gt;&lt;Valeur name="datevaleur"&gt;2019/03/26&lt;/Valeur&gt;&lt;Valeur name="compte"&gt;27&lt;/Valeur&gt;&lt;Valeur name="description"&gt;CB 454106 SNACK THIER 59BAVAY&lt;/Valeur&gt;&lt;Valeur name="valeur"&gt;30.9&lt;/Valeur&gt;&lt;Valeur name="compta"&gt;1&lt;/Valeur&gt;&lt;Valeur name="tvapct"&gt;20&lt;/Valeur&gt;&lt;Valeur name="tva"&gt;5.15&lt;/Valeur&gt;&lt;/Insert&gt;</v>
      </c>
    </row>
    <row r="177" spans="1:38" x14ac:dyDescent="0.25">
      <c r="A177">
        <v>166</v>
      </c>
      <c r="B177">
        <f>IF(A177&lt;&gt;"",VLOOKUP(A177,Banque!B:D,3,FALSE),1)</f>
        <v>1</v>
      </c>
      <c r="C177" s="1">
        <v>43551</v>
      </c>
      <c r="D177" t="s">
        <v>253</v>
      </c>
      <c r="E177" t="s">
        <v>142</v>
      </c>
      <c r="G177" s="10">
        <v>71.89</v>
      </c>
      <c r="I177" s="11">
        <f t="shared" si="30"/>
        <v>11.981666666666662</v>
      </c>
      <c r="K177">
        <v>176</v>
      </c>
      <c r="L177">
        <v>166</v>
      </c>
      <c r="M177" s="16" t="s">
        <v>967</v>
      </c>
      <c r="N177">
        <f>IFERROR(VLOOKUP(D177,tab!A:B,2,FALSE),1)</f>
        <v>13</v>
      </c>
      <c r="O177" t="str">
        <f t="shared" si="31"/>
        <v>CB 454106 DAC SM MATC 59BAVAY</v>
      </c>
      <c r="P177" s="14">
        <f t="shared" si="32"/>
        <v>71.89</v>
      </c>
      <c r="Q177" s="14">
        <f t="shared" si="33"/>
        <v>1</v>
      </c>
      <c r="R177" s="14">
        <v>20</v>
      </c>
      <c r="S177" s="14">
        <f t="shared" si="34"/>
        <v>11.981666666666662</v>
      </c>
      <c r="Z177" t="str">
        <f t="shared" si="35"/>
        <v>&lt;Valeur name="no"&gt;176&lt;/Valeur&gt;</v>
      </c>
      <c r="AA177" t="str">
        <f t="shared" si="36"/>
        <v>&lt;Valeur name="ecriturebanque"&gt;166&lt;/Valeur&gt;</v>
      </c>
      <c r="AB177" t="str">
        <f t="shared" si="37"/>
        <v>&lt;Valeur name="datevaleur"&gt;2019/03/27&lt;/Valeur&gt;</v>
      </c>
      <c r="AC177" t="str">
        <f t="shared" si="38"/>
        <v>&lt;Valeur name="compte"&gt;13&lt;/Valeur&gt;</v>
      </c>
      <c r="AD177" t="str">
        <f t="shared" si="39"/>
        <v>&lt;Valeur name="description"&gt;CB 454106 DAC SM MATC 59BAVAY&lt;/Valeur&gt;</v>
      </c>
      <c r="AE177" t="str">
        <f t="shared" si="40"/>
        <v>&lt;Valeur name="valeur"&gt;71.89&lt;/Valeur&gt;</v>
      </c>
      <c r="AF177" t="str">
        <f t="shared" si="41"/>
        <v>&lt;Valeur name="compta"&gt;1&lt;/Valeur&gt;</v>
      </c>
      <c r="AG177" t="str">
        <f t="shared" si="42"/>
        <v>&lt;Valeur name="tvapct"&gt;20&lt;/Valeur&gt;</v>
      </c>
      <c r="AH177" t="str">
        <f t="shared" si="43"/>
        <v>&lt;Valeur name="tva"&gt;11.9816666666667&lt;/Valeur&gt;</v>
      </c>
      <c r="AL177" t="str">
        <f t="shared" si="44"/>
        <v>&lt;Insert&gt;&lt;Valeur name="no"&gt;176&lt;/Valeur&gt;&lt;Valeur name="ecriturebanque"&gt;166&lt;/Valeur&gt;&lt;Valeur name="datevaleur"&gt;2019/03/27&lt;/Valeur&gt;&lt;Valeur name="compte"&gt;13&lt;/Valeur&gt;&lt;Valeur name="description"&gt;CB 454106 DAC SM MATC 59BAVAY&lt;/Valeur&gt;&lt;Valeur name="valeur"&gt;71.89&lt;/Valeur&gt;&lt;Valeur name="compta"&gt;1&lt;/Valeur&gt;&lt;Valeur name="tvapct"&gt;20&lt;/Valeur&gt;&lt;Valeur name="tva"&gt;11.9816666666667&lt;/Valeur&gt;&lt;/Insert&gt;</v>
      </c>
    </row>
    <row r="178" spans="1:38" x14ac:dyDescent="0.25">
      <c r="A178">
        <v>167</v>
      </c>
      <c r="B178">
        <f>IF(A178&lt;&gt;"",VLOOKUP(A178,Banque!B:D,3,FALSE),1)</f>
        <v>1</v>
      </c>
      <c r="C178" s="1">
        <v>43551</v>
      </c>
      <c r="D178" t="s">
        <v>272</v>
      </c>
      <c r="E178" t="s">
        <v>15</v>
      </c>
      <c r="F178" t="s">
        <v>387</v>
      </c>
      <c r="G178" s="10">
        <v>4845</v>
      </c>
      <c r="I178" s="11">
        <f t="shared" si="30"/>
        <v>807.5</v>
      </c>
      <c r="K178">
        <v>177</v>
      </c>
      <c r="L178">
        <v>167</v>
      </c>
      <c r="M178" s="16" t="s">
        <v>967</v>
      </c>
      <c r="N178">
        <f>IFERROR(VLOOKUP(D178,tab!A:B,2,FALSE),1)</f>
        <v>29</v>
      </c>
      <c r="O178" t="str">
        <f t="shared" si="31"/>
        <v>PRLV B2B DGFIP / TVA1-032019-3310CA3</v>
      </c>
      <c r="P178" s="14">
        <f t="shared" si="32"/>
        <v>4845</v>
      </c>
      <c r="Q178" s="14">
        <f t="shared" si="33"/>
        <v>1</v>
      </c>
      <c r="R178" s="14">
        <v>20</v>
      </c>
      <c r="S178" s="14">
        <f t="shared" si="34"/>
        <v>807.5</v>
      </c>
      <c r="Z178" t="str">
        <f t="shared" si="35"/>
        <v>&lt;Valeur name="no"&gt;177&lt;/Valeur&gt;</v>
      </c>
      <c r="AA178" t="str">
        <f t="shared" si="36"/>
        <v>&lt;Valeur name="ecriturebanque"&gt;167&lt;/Valeur&gt;</v>
      </c>
      <c r="AB178" t="str">
        <f t="shared" si="37"/>
        <v>&lt;Valeur name="datevaleur"&gt;2019/03/27&lt;/Valeur&gt;</v>
      </c>
      <c r="AC178" t="str">
        <f t="shared" si="38"/>
        <v>&lt;Valeur name="compte"&gt;29&lt;/Valeur&gt;</v>
      </c>
      <c r="AD178" t="str">
        <f t="shared" si="39"/>
        <v>&lt;Valeur name="description"&gt;PRLV B2B DGFIP / TVA1-032019-3310CA3&lt;/Valeur&gt;</v>
      </c>
      <c r="AE178" t="str">
        <f t="shared" si="40"/>
        <v>&lt;Valeur name="valeur"&gt;4845&lt;/Valeur&gt;</v>
      </c>
      <c r="AF178" t="str">
        <f t="shared" si="41"/>
        <v>&lt;Valeur name="compta"&gt;1&lt;/Valeur&gt;</v>
      </c>
      <c r="AG178" t="str">
        <f t="shared" si="42"/>
        <v>&lt;Valeur name="tvapct"&gt;20&lt;/Valeur&gt;</v>
      </c>
      <c r="AH178" t="str">
        <f t="shared" si="43"/>
        <v>&lt;Valeur name="tva"&gt;807.5&lt;/Valeur&gt;</v>
      </c>
      <c r="AL178" t="str">
        <f t="shared" si="44"/>
        <v>&lt;Insert&gt;&lt;Valeur name="no"&gt;177&lt;/Valeur&gt;&lt;Valeur name="ecriturebanque"&gt;167&lt;/Valeur&gt;&lt;Valeur name="datevaleur"&gt;2019/03/27&lt;/Valeur&gt;&lt;Valeur name="compte"&gt;29&lt;/Valeur&gt;&lt;Valeur name="description"&gt;PRLV B2B DGFIP / TVA1-032019-3310CA3&lt;/Valeur&gt;&lt;Valeur name="valeur"&gt;4845&lt;/Valeur&gt;&lt;Valeur name="compta"&gt;1&lt;/Valeur&gt;&lt;Valeur name="tvapct"&gt;20&lt;/Valeur&gt;&lt;Valeur name="tva"&gt;807.5&lt;/Valeur&gt;&lt;/Insert&gt;</v>
      </c>
    </row>
    <row r="179" spans="1:38" x14ac:dyDescent="0.25">
      <c r="A179">
        <v>168</v>
      </c>
      <c r="B179">
        <f>IF(A179&lt;&gt;"",VLOOKUP(A179,Banque!B:D,3,FALSE),1)</f>
        <v>0</v>
      </c>
      <c r="C179" s="1">
        <v>43551</v>
      </c>
      <c r="D179" t="s">
        <v>431</v>
      </c>
      <c r="E179" t="s">
        <v>144</v>
      </c>
      <c r="H179" s="10">
        <v>2400</v>
      </c>
      <c r="I179" s="11">
        <f t="shared" si="30"/>
        <v>-400</v>
      </c>
      <c r="K179">
        <v>178</v>
      </c>
      <c r="L179">
        <v>168</v>
      </c>
      <c r="M179" s="16" t="s">
        <v>967</v>
      </c>
      <c r="N179">
        <f>IFERROR(VLOOKUP(D179,tab!A:B,2,FALSE),1)</f>
        <v>8</v>
      </c>
      <c r="O179" t="str">
        <f t="shared" si="31"/>
        <v>REMISE CHEQUES</v>
      </c>
      <c r="P179" s="14">
        <f t="shared" si="32"/>
        <v>2400</v>
      </c>
      <c r="Q179" s="14">
        <f t="shared" si="33"/>
        <v>0</v>
      </c>
      <c r="R179" s="14">
        <v>20</v>
      </c>
      <c r="S179" s="14">
        <f t="shared" si="34"/>
        <v>-400</v>
      </c>
      <c r="Z179" t="str">
        <f t="shared" si="35"/>
        <v>&lt;Valeur name="no"&gt;178&lt;/Valeur&gt;</v>
      </c>
      <c r="AA179" t="str">
        <f t="shared" si="36"/>
        <v>&lt;Valeur name="ecriturebanque"&gt;168&lt;/Valeur&gt;</v>
      </c>
      <c r="AB179" t="str">
        <f t="shared" si="37"/>
        <v>&lt;Valeur name="datevaleur"&gt;2019/03/27&lt;/Valeur&gt;</v>
      </c>
      <c r="AC179" t="str">
        <f t="shared" si="38"/>
        <v>&lt;Valeur name="compte"&gt;8&lt;/Valeur&gt;</v>
      </c>
      <c r="AD179" t="str">
        <f t="shared" si="39"/>
        <v>&lt;Valeur name="description"&gt;REMISE CHEQUES&lt;/Valeur&gt;</v>
      </c>
      <c r="AE179" t="str">
        <f t="shared" si="40"/>
        <v>&lt;Valeur name="valeur"&gt;2400&lt;/Valeur&gt;</v>
      </c>
      <c r="AF179" t="str">
        <f t="shared" si="41"/>
        <v>&lt;Valeur name="compta"&gt;0&lt;/Valeur&gt;</v>
      </c>
      <c r="AG179" t="str">
        <f t="shared" si="42"/>
        <v>&lt;Valeur name="tvapct"&gt;20&lt;/Valeur&gt;</v>
      </c>
      <c r="AH179" t="str">
        <f t="shared" si="43"/>
        <v>&lt;Valeur name="tva"&gt;-400&lt;/Valeur&gt;</v>
      </c>
      <c r="AL179" t="str">
        <f t="shared" si="44"/>
        <v>&lt;Insert&gt;&lt;Valeur name="no"&gt;178&lt;/Valeur&gt;&lt;Valeur name="ecriturebanque"&gt;168&lt;/Valeur&gt;&lt;Valeur name="datevaleur"&gt;2019/03/27&lt;/Valeur&gt;&lt;Valeur name="compte"&gt;8&lt;/Valeur&gt;&lt;Valeur name="description"&gt;REMISE CHEQUES&lt;/Valeur&gt;&lt;Valeur name="valeur"&gt;2400&lt;/Valeur&gt;&lt;Valeur name="compta"&gt;0&lt;/Valeur&gt;&lt;Valeur name="tvapct"&gt;20&lt;/Valeur&gt;&lt;Valeur name="tva"&gt;-400&lt;/Valeur&gt;&lt;/Insert&gt;</v>
      </c>
    </row>
    <row r="180" spans="1:38" x14ac:dyDescent="0.25">
      <c r="A180">
        <v>169</v>
      </c>
      <c r="B180">
        <f>IF(A180&lt;&gt;"",VLOOKUP(A180,Banque!B:D,3,FALSE),1)</f>
        <v>0</v>
      </c>
      <c r="C180" s="1">
        <v>43552</v>
      </c>
      <c r="D180" t="s">
        <v>423</v>
      </c>
      <c r="E180" t="s">
        <v>305</v>
      </c>
      <c r="G180" s="10">
        <v>300</v>
      </c>
      <c r="I180" s="11">
        <f t="shared" si="30"/>
        <v>50</v>
      </c>
      <c r="K180">
        <v>179</v>
      </c>
      <c r="L180">
        <v>169</v>
      </c>
      <c r="M180" s="16" t="s">
        <v>911</v>
      </c>
      <c r="N180">
        <f>IFERROR(VLOOKUP(D180,tab!A:B,2,FALSE),1)</f>
        <v>78</v>
      </c>
      <c r="O180" t="str">
        <f t="shared" si="31"/>
        <v>E-VIR SEPA LD ACCESS</v>
      </c>
      <c r="P180" s="14">
        <f t="shared" si="32"/>
        <v>300</v>
      </c>
      <c r="Q180" s="14">
        <f t="shared" si="33"/>
        <v>0</v>
      </c>
      <c r="R180" s="14">
        <v>20</v>
      </c>
      <c r="S180" s="14">
        <f t="shared" si="34"/>
        <v>50</v>
      </c>
      <c r="Z180" t="str">
        <f t="shared" si="35"/>
        <v>&lt;Valeur name="no"&gt;179&lt;/Valeur&gt;</v>
      </c>
      <c r="AA180" t="str">
        <f t="shared" si="36"/>
        <v>&lt;Valeur name="ecriturebanque"&gt;169&lt;/Valeur&gt;</v>
      </c>
      <c r="AB180" t="str">
        <f t="shared" si="37"/>
        <v>&lt;Valeur name="datevaleur"&gt;2019/03/28&lt;/Valeur&gt;</v>
      </c>
      <c r="AC180" t="str">
        <f t="shared" si="38"/>
        <v>&lt;Valeur name="compte"&gt;78&lt;/Valeur&gt;</v>
      </c>
      <c r="AD180" t="str">
        <f t="shared" si="39"/>
        <v>&lt;Valeur name="description"&gt;E-VIR SEPA LD ACCESS&lt;/Valeur&gt;</v>
      </c>
      <c r="AE180" t="str">
        <f t="shared" si="40"/>
        <v>&lt;Valeur name="valeur"&gt;300&lt;/Valeur&gt;</v>
      </c>
      <c r="AF180" t="str">
        <f t="shared" si="41"/>
        <v>&lt;Valeur name="compta"&gt;0&lt;/Valeur&gt;</v>
      </c>
      <c r="AG180" t="str">
        <f t="shared" si="42"/>
        <v>&lt;Valeur name="tvapct"&gt;20&lt;/Valeur&gt;</v>
      </c>
      <c r="AH180" t="str">
        <f t="shared" si="43"/>
        <v>&lt;Valeur name="tva"&gt;50&lt;/Valeur&gt;</v>
      </c>
      <c r="AL180" t="str">
        <f t="shared" si="44"/>
        <v>&lt;Insert&gt;&lt;Valeur name="no"&gt;179&lt;/Valeur&gt;&lt;Valeur name="ecriturebanque"&gt;169&lt;/Valeur&gt;&lt;Valeur name="datevaleur"&gt;2019/03/28&lt;/Valeur&gt;&lt;Valeur name="compte"&gt;78&lt;/Valeur&gt;&lt;Valeur name="description"&gt;E-VIR SEPA LD ACCESS&lt;/Valeur&gt;&lt;Valeur name="valeur"&gt;300&lt;/Valeur&gt;&lt;Valeur name="compta"&gt;0&lt;/Valeur&gt;&lt;Valeur name="tvapct"&gt;20&lt;/Valeur&gt;&lt;Valeur name="tva"&gt;50&lt;/Valeur&gt;&lt;/Insert&gt;</v>
      </c>
    </row>
    <row r="181" spans="1:38" x14ac:dyDescent="0.25">
      <c r="A181">
        <v>170</v>
      </c>
      <c r="B181">
        <f>IF(A181&lt;&gt;"",VLOOKUP(A181,Banque!B:D,3,FALSE),1)</f>
        <v>1</v>
      </c>
      <c r="C181" s="1">
        <v>43552</v>
      </c>
      <c r="D181" t="s">
        <v>256</v>
      </c>
      <c r="E181" t="s">
        <v>391</v>
      </c>
      <c r="G181" s="10">
        <v>1550</v>
      </c>
      <c r="I181" s="11">
        <f t="shared" si="30"/>
        <v>258.33333333333326</v>
      </c>
      <c r="K181">
        <v>180</v>
      </c>
      <c r="L181">
        <v>170</v>
      </c>
      <c r="M181" s="16" t="s">
        <v>911</v>
      </c>
      <c r="N181">
        <f>IFERROR(VLOOKUP(D181,tab!A:B,2,FALSE),1)</f>
        <v>28</v>
      </c>
      <c r="O181" t="str">
        <f t="shared" si="31"/>
        <v>E-VIR SEPA Salaire Hutin 03/19</v>
      </c>
      <c r="P181" s="14">
        <f t="shared" si="32"/>
        <v>1550</v>
      </c>
      <c r="Q181" s="14">
        <f t="shared" si="33"/>
        <v>1</v>
      </c>
      <c r="R181" s="14">
        <v>20</v>
      </c>
      <c r="S181" s="14">
        <f t="shared" si="34"/>
        <v>258.33333333333326</v>
      </c>
      <c r="Z181" t="str">
        <f t="shared" si="35"/>
        <v>&lt;Valeur name="no"&gt;180&lt;/Valeur&gt;</v>
      </c>
      <c r="AA181" t="str">
        <f t="shared" si="36"/>
        <v>&lt;Valeur name="ecriturebanque"&gt;170&lt;/Valeur&gt;</v>
      </c>
      <c r="AB181" t="str">
        <f t="shared" si="37"/>
        <v>&lt;Valeur name="datevaleur"&gt;2019/03/28&lt;/Valeur&gt;</v>
      </c>
      <c r="AC181" t="str">
        <f t="shared" si="38"/>
        <v>&lt;Valeur name="compte"&gt;28&lt;/Valeur&gt;</v>
      </c>
      <c r="AD181" t="str">
        <f t="shared" si="39"/>
        <v>&lt;Valeur name="description"&gt;E-VIR SEPA Salaire Hutin 03/19&lt;/Valeur&gt;</v>
      </c>
      <c r="AE181" t="str">
        <f t="shared" si="40"/>
        <v>&lt;Valeur name="valeur"&gt;1550&lt;/Valeur&gt;</v>
      </c>
      <c r="AF181" t="str">
        <f t="shared" si="41"/>
        <v>&lt;Valeur name="compta"&gt;1&lt;/Valeur&gt;</v>
      </c>
      <c r="AG181" t="str">
        <f t="shared" si="42"/>
        <v>&lt;Valeur name="tvapct"&gt;20&lt;/Valeur&gt;</v>
      </c>
      <c r="AH181" t="str">
        <f t="shared" si="43"/>
        <v>&lt;Valeur name="tva"&gt;258.333333333333&lt;/Valeur&gt;</v>
      </c>
      <c r="AL181" t="str">
        <f t="shared" si="44"/>
        <v>&lt;Insert&gt;&lt;Valeur name="no"&gt;180&lt;/Valeur&gt;&lt;Valeur name="ecriturebanque"&gt;170&lt;/Valeur&gt;&lt;Valeur name="datevaleur"&gt;2019/03/28&lt;/Valeur&gt;&lt;Valeur name="compte"&gt;28&lt;/Valeur&gt;&lt;Valeur name="description"&gt;E-VIR SEPA Salaire Hutin 03/19&lt;/Valeur&gt;&lt;Valeur name="valeur"&gt;1550&lt;/Valeur&gt;&lt;Valeur name="compta"&gt;1&lt;/Valeur&gt;&lt;Valeur name="tvapct"&gt;20&lt;/Valeur&gt;&lt;Valeur name="tva"&gt;258.333333333333&lt;/Valeur&gt;&lt;/Insert&gt;</v>
      </c>
    </row>
    <row r="182" spans="1:38" x14ac:dyDescent="0.25">
      <c r="A182">
        <v>171</v>
      </c>
      <c r="B182">
        <f>IF(A182&lt;&gt;"",VLOOKUP(A182,Banque!B:D,3,FALSE),1)</f>
        <v>1</v>
      </c>
      <c r="C182" s="1">
        <v>43552</v>
      </c>
      <c r="D182" t="s">
        <v>256</v>
      </c>
      <c r="E182" t="s">
        <v>393</v>
      </c>
      <c r="G182" s="10">
        <v>1196.3499999999999</v>
      </c>
      <c r="I182" s="11">
        <f t="shared" si="30"/>
        <v>199.39166666666665</v>
      </c>
      <c r="K182">
        <v>181</v>
      </c>
      <c r="L182">
        <v>171</v>
      </c>
      <c r="M182" s="16" t="s">
        <v>911</v>
      </c>
      <c r="N182">
        <f>IFERROR(VLOOKUP(D182,tab!A:B,2,FALSE),1)</f>
        <v>28</v>
      </c>
      <c r="O182" t="str">
        <f t="shared" si="31"/>
        <v>E-VIR SEPA Salaire Lefort 03/19</v>
      </c>
      <c r="P182" s="14">
        <f t="shared" si="32"/>
        <v>1196.3499999999999</v>
      </c>
      <c r="Q182" s="14">
        <f t="shared" si="33"/>
        <v>1</v>
      </c>
      <c r="R182" s="14">
        <v>20</v>
      </c>
      <c r="S182" s="14">
        <f t="shared" si="34"/>
        <v>199.39166666666665</v>
      </c>
      <c r="Z182" t="str">
        <f t="shared" si="35"/>
        <v>&lt;Valeur name="no"&gt;181&lt;/Valeur&gt;</v>
      </c>
      <c r="AA182" t="str">
        <f t="shared" si="36"/>
        <v>&lt;Valeur name="ecriturebanque"&gt;171&lt;/Valeur&gt;</v>
      </c>
      <c r="AB182" t="str">
        <f t="shared" si="37"/>
        <v>&lt;Valeur name="datevaleur"&gt;2019/03/28&lt;/Valeur&gt;</v>
      </c>
      <c r="AC182" t="str">
        <f t="shared" si="38"/>
        <v>&lt;Valeur name="compte"&gt;28&lt;/Valeur&gt;</v>
      </c>
      <c r="AD182" t="str">
        <f t="shared" si="39"/>
        <v>&lt;Valeur name="description"&gt;E-VIR SEPA Salaire Lefort 03/19&lt;/Valeur&gt;</v>
      </c>
      <c r="AE182" t="str">
        <f t="shared" si="40"/>
        <v>&lt;Valeur name="valeur"&gt;1196.35&lt;/Valeur&gt;</v>
      </c>
      <c r="AF182" t="str">
        <f t="shared" si="41"/>
        <v>&lt;Valeur name="compta"&gt;1&lt;/Valeur&gt;</v>
      </c>
      <c r="AG182" t="str">
        <f t="shared" si="42"/>
        <v>&lt;Valeur name="tvapct"&gt;20&lt;/Valeur&gt;</v>
      </c>
      <c r="AH182" t="str">
        <f t="shared" si="43"/>
        <v>&lt;Valeur name="tva"&gt;199.391666666667&lt;/Valeur&gt;</v>
      </c>
      <c r="AL182" t="str">
        <f t="shared" si="44"/>
        <v>&lt;Insert&gt;&lt;Valeur name="no"&gt;181&lt;/Valeur&gt;&lt;Valeur name="ecriturebanque"&gt;171&lt;/Valeur&gt;&lt;Valeur name="datevaleur"&gt;2019/03/28&lt;/Valeur&gt;&lt;Valeur name="compte"&gt;28&lt;/Valeur&gt;&lt;Valeur name="description"&gt;E-VIR SEPA Salaire Lefort 03/19&lt;/Valeur&gt;&lt;Valeur name="valeur"&gt;1196.35&lt;/Valeur&gt;&lt;Valeur name="compta"&gt;1&lt;/Valeur&gt;&lt;Valeur name="tvapct"&gt;20&lt;/Valeur&gt;&lt;Valeur name="tva"&gt;199.391666666667&lt;/Valeur&gt;&lt;/Insert&gt;</v>
      </c>
    </row>
    <row r="183" spans="1:38" x14ac:dyDescent="0.25">
      <c r="A183">
        <v>172</v>
      </c>
      <c r="B183">
        <f>IF(A183&lt;&gt;"",VLOOKUP(A183,Banque!B:D,3,FALSE),1)</f>
        <v>1</v>
      </c>
      <c r="C183" s="1">
        <v>43552</v>
      </c>
      <c r="D183" t="s">
        <v>256</v>
      </c>
      <c r="E183" t="s">
        <v>395</v>
      </c>
      <c r="G183" s="10">
        <v>754.01</v>
      </c>
      <c r="I183" s="11">
        <f t="shared" si="30"/>
        <v>125.66833333333329</v>
      </c>
      <c r="K183">
        <v>182</v>
      </c>
      <c r="L183">
        <v>172</v>
      </c>
      <c r="M183" s="16" t="s">
        <v>911</v>
      </c>
      <c r="N183">
        <f>IFERROR(VLOOKUP(D183,tab!A:B,2,FALSE),1)</f>
        <v>28</v>
      </c>
      <c r="O183" t="str">
        <f t="shared" si="31"/>
        <v>E-VIR SEPA Salaire Gournay 03/19</v>
      </c>
      <c r="P183" s="14">
        <f t="shared" si="32"/>
        <v>754.01</v>
      </c>
      <c r="Q183" s="14">
        <f t="shared" si="33"/>
        <v>1</v>
      </c>
      <c r="R183" s="14">
        <v>20</v>
      </c>
      <c r="S183" s="14">
        <f t="shared" si="34"/>
        <v>125.66833333333329</v>
      </c>
      <c r="Z183" t="str">
        <f t="shared" si="35"/>
        <v>&lt;Valeur name="no"&gt;182&lt;/Valeur&gt;</v>
      </c>
      <c r="AA183" t="str">
        <f t="shared" si="36"/>
        <v>&lt;Valeur name="ecriturebanque"&gt;172&lt;/Valeur&gt;</v>
      </c>
      <c r="AB183" t="str">
        <f t="shared" si="37"/>
        <v>&lt;Valeur name="datevaleur"&gt;2019/03/28&lt;/Valeur&gt;</v>
      </c>
      <c r="AC183" t="str">
        <f t="shared" si="38"/>
        <v>&lt;Valeur name="compte"&gt;28&lt;/Valeur&gt;</v>
      </c>
      <c r="AD183" t="str">
        <f t="shared" si="39"/>
        <v>&lt;Valeur name="description"&gt;E-VIR SEPA Salaire Gournay 03/19&lt;/Valeur&gt;</v>
      </c>
      <c r="AE183" t="str">
        <f t="shared" si="40"/>
        <v>&lt;Valeur name="valeur"&gt;754.01&lt;/Valeur&gt;</v>
      </c>
      <c r="AF183" t="str">
        <f t="shared" si="41"/>
        <v>&lt;Valeur name="compta"&gt;1&lt;/Valeur&gt;</v>
      </c>
      <c r="AG183" t="str">
        <f t="shared" si="42"/>
        <v>&lt;Valeur name="tvapct"&gt;20&lt;/Valeur&gt;</v>
      </c>
      <c r="AH183" t="str">
        <f t="shared" si="43"/>
        <v>&lt;Valeur name="tva"&gt;125.668333333333&lt;/Valeur&gt;</v>
      </c>
      <c r="AL183" t="str">
        <f t="shared" si="44"/>
        <v>&lt;Insert&gt;&lt;Valeur name="no"&gt;182&lt;/Valeur&gt;&lt;Valeur name="ecriturebanque"&gt;172&lt;/Valeur&gt;&lt;Valeur name="datevaleur"&gt;2019/03/28&lt;/Valeur&gt;&lt;Valeur name="compte"&gt;28&lt;/Valeur&gt;&lt;Valeur name="description"&gt;E-VIR SEPA Salaire Gournay 03/19&lt;/Valeur&gt;&lt;Valeur name="valeur"&gt;754.01&lt;/Valeur&gt;&lt;Valeur name="compta"&gt;1&lt;/Valeur&gt;&lt;Valeur name="tvapct"&gt;20&lt;/Valeur&gt;&lt;Valeur name="tva"&gt;125.668333333333&lt;/Valeur&gt;&lt;/Insert&gt;</v>
      </c>
    </row>
    <row r="184" spans="1:38" x14ac:dyDescent="0.25">
      <c r="A184">
        <v>173</v>
      </c>
      <c r="B184">
        <f>IF(A184&lt;&gt;"",VLOOKUP(A184,Banque!B:D,3,FALSE),1)</f>
        <v>1</v>
      </c>
      <c r="C184" s="1">
        <v>43552</v>
      </c>
      <c r="D184" t="s">
        <v>254</v>
      </c>
      <c r="E184" t="s">
        <v>397</v>
      </c>
      <c r="G184" s="10">
        <v>24</v>
      </c>
      <c r="I184" s="11">
        <f t="shared" si="30"/>
        <v>4</v>
      </c>
      <c r="K184">
        <v>183</v>
      </c>
      <c r="L184">
        <v>173</v>
      </c>
      <c r="M184" s="16" t="s">
        <v>911</v>
      </c>
      <c r="N184">
        <f>IFERROR(VLOOKUP(D184,tab!A:B,2,FALSE),1)</f>
        <v>27</v>
      </c>
      <c r="O184" t="str">
        <f t="shared" si="31"/>
        <v>CB 454106 PIZZA   PAS 59BAVAY</v>
      </c>
      <c r="P184" s="14">
        <f t="shared" si="32"/>
        <v>24</v>
      </c>
      <c r="Q184" s="14">
        <f t="shared" si="33"/>
        <v>1</v>
      </c>
      <c r="R184" s="14">
        <v>20</v>
      </c>
      <c r="S184" s="14">
        <f t="shared" si="34"/>
        <v>4</v>
      </c>
      <c r="Z184" t="str">
        <f t="shared" si="35"/>
        <v>&lt;Valeur name="no"&gt;183&lt;/Valeur&gt;</v>
      </c>
      <c r="AA184" t="str">
        <f t="shared" si="36"/>
        <v>&lt;Valeur name="ecriturebanque"&gt;173&lt;/Valeur&gt;</v>
      </c>
      <c r="AB184" t="str">
        <f t="shared" si="37"/>
        <v>&lt;Valeur name="datevaleur"&gt;2019/03/28&lt;/Valeur&gt;</v>
      </c>
      <c r="AC184" t="str">
        <f t="shared" si="38"/>
        <v>&lt;Valeur name="compte"&gt;27&lt;/Valeur&gt;</v>
      </c>
      <c r="AD184" t="str">
        <f t="shared" si="39"/>
        <v>&lt;Valeur name="description"&gt;CB 454106 PIZZA   PAS 59BAVAY&lt;/Valeur&gt;</v>
      </c>
      <c r="AE184" t="str">
        <f t="shared" si="40"/>
        <v>&lt;Valeur name="valeur"&gt;24&lt;/Valeur&gt;</v>
      </c>
      <c r="AF184" t="str">
        <f t="shared" si="41"/>
        <v>&lt;Valeur name="compta"&gt;1&lt;/Valeur&gt;</v>
      </c>
      <c r="AG184" t="str">
        <f t="shared" si="42"/>
        <v>&lt;Valeur name="tvapct"&gt;20&lt;/Valeur&gt;</v>
      </c>
      <c r="AH184" t="str">
        <f t="shared" si="43"/>
        <v>&lt;Valeur name="tva"&gt;4&lt;/Valeur&gt;</v>
      </c>
      <c r="AL184" t="str">
        <f t="shared" si="44"/>
        <v>&lt;Insert&gt;&lt;Valeur name="no"&gt;183&lt;/Valeur&gt;&lt;Valeur name="ecriturebanque"&gt;173&lt;/Valeur&gt;&lt;Valeur name="datevaleur"&gt;2019/03/28&lt;/Valeur&gt;&lt;Valeur name="compte"&gt;27&lt;/Valeur&gt;&lt;Valeur name="description"&gt;CB 454106 PIZZA   PAS 59BAVAY&lt;/Valeur&gt;&lt;Valeur name="valeur"&gt;24&lt;/Valeur&gt;&lt;Valeur name="compta"&gt;1&lt;/Valeur&gt;&lt;Valeur name="tvapct"&gt;20&lt;/Valeur&gt;&lt;Valeur name="tva"&gt;4&lt;/Valeur&gt;&lt;/Insert&gt;</v>
      </c>
    </row>
    <row r="185" spans="1:38" x14ac:dyDescent="0.25">
      <c r="A185">
        <v>174</v>
      </c>
      <c r="B185">
        <f>IF(A185&lt;&gt;"",VLOOKUP(A185,Banque!B:D,3,FALSE),1)</f>
        <v>1</v>
      </c>
      <c r="C185" s="1">
        <v>43553</v>
      </c>
      <c r="D185" t="s">
        <v>257</v>
      </c>
      <c r="E185" t="s">
        <v>307</v>
      </c>
      <c r="G185" s="10">
        <v>54</v>
      </c>
      <c r="I185" s="11">
        <f t="shared" si="30"/>
        <v>9</v>
      </c>
      <c r="K185">
        <v>184</v>
      </c>
      <c r="L185">
        <v>174</v>
      </c>
      <c r="M185" s="16" t="s">
        <v>888</v>
      </c>
      <c r="N185">
        <f>IFERROR(VLOOKUP(D185,tab!A:B,2,FALSE),1)</f>
        <v>18</v>
      </c>
      <c r="O185" t="str">
        <f t="shared" si="31"/>
        <v>INFORMATION CAUTION</v>
      </c>
      <c r="P185" s="14">
        <f t="shared" si="32"/>
        <v>54</v>
      </c>
      <c r="Q185" s="14">
        <f t="shared" si="33"/>
        <v>1</v>
      </c>
      <c r="R185" s="14">
        <v>20</v>
      </c>
      <c r="S185" s="14">
        <f t="shared" si="34"/>
        <v>9</v>
      </c>
      <c r="Z185" t="str">
        <f t="shared" si="35"/>
        <v>&lt;Valeur name="no"&gt;184&lt;/Valeur&gt;</v>
      </c>
      <c r="AA185" t="str">
        <f t="shared" si="36"/>
        <v>&lt;Valeur name="ecriturebanque"&gt;174&lt;/Valeur&gt;</v>
      </c>
      <c r="AB185" t="str">
        <f t="shared" si="37"/>
        <v>&lt;Valeur name="datevaleur"&gt;2019/03/29&lt;/Valeur&gt;</v>
      </c>
      <c r="AC185" t="str">
        <f t="shared" si="38"/>
        <v>&lt;Valeur name="compte"&gt;18&lt;/Valeur&gt;</v>
      </c>
      <c r="AD185" t="str">
        <f t="shared" si="39"/>
        <v>&lt;Valeur name="description"&gt;INFORMATION CAUTION&lt;/Valeur&gt;</v>
      </c>
      <c r="AE185" t="str">
        <f t="shared" si="40"/>
        <v>&lt;Valeur name="valeur"&gt;54&lt;/Valeur&gt;</v>
      </c>
      <c r="AF185" t="str">
        <f t="shared" si="41"/>
        <v>&lt;Valeur name="compta"&gt;1&lt;/Valeur&gt;</v>
      </c>
      <c r="AG185" t="str">
        <f t="shared" si="42"/>
        <v>&lt;Valeur name="tvapct"&gt;20&lt;/Valeur&gt;</v>
      </c>
      <c r="AH185" t="str">
        <f t="shared" si="43"/>
        <v>&lt;Valeur name="tva"&gt;9&lt;/Valeur&gt;</v>
      </c>
      <c r="AL185" t="str">
        <f t="shared" si="44"/>
        <v>&lt;Insert&gt;&lt;Valeur name="no"&gt;184&lt;/Valeur&gt;&lt;Valeur name="ecriturebanque"&gt;174&lt;/Valeur&gt;&lt;Valeur name="datevaleur"&gt;2019/03/29&lt;/Valeur&gt;&lt;Valeur name="compte"&gt;18&lt;/Valeur&gt;&lt;Valeur name="description"&gt;INFORMATION CAUTION&lt;/Valeur&gt;&lt;Valeur name="valeur"&gt;54&lt;/Valeur&gt;&lt;Valeur name="compta"&gt;1&lt;/Valeur&gt;&lt;Valeur name="tvapct"&gt;20&lt;/Valeur&gt;&lt;Valeur name="tva"&gt;9&lt;/Valeur&gt;&lt;/Insert&gt;</v>
      </c>
    </row>
    <row r="186" spans="1:38" x14ac:dyDescent="0.25">
      <c r="A186">
        <v>175</v>
      </c>
      <c r="B186">
        <f>IF(A186&lt;&gt;"",VLOOKUP(A186,Banque!B:D,3,FALSE),1)</f>
        <v>0</v>
      </c>
      <c r="C186" s="1">
        <v>43553</v>
      </c>
      <c r="D186" t="s">
        <v>297</v>
      </c>
      <c r="E186" t="s">
        <v>306</v>
      </c>
      <c r="G186" s="10">
        <v>37</v>
      </c>
      <c r="I186" s="11">
        <f t="shared" si="30"/>
        <v>6.1666666666666643</v>
      </c>
      <c r="K186">
        <v>185</v>
      </c>
      <c r="L186">
        <v>175</v>
      </c>
      <c r="M186" s="16" t="s">
        <v>888</v>
      </c>
      <c r="N186">
        <f>IFERROR(VLOOKUP(D186,tab!A:B,2,FALSE),1)</f>
        <v>48</v>
      </c>
      <c r="O186" t="str">
        <f t="shared" si="31"/>
        <v>CHEQUE  N 1000066</v>
      </c>
      <c r="P186" s="14">
        <f t="shared" si="32"/>
        <v>37</v>
      </c>
      <c r="Q186" s="14">
        <f t="shared" si="33"/>
        <v>0</v>
      </c>
      <c r="R186" s="14">
        <v>20</v>
      </c>
      <c r="S186" s="14">
        <f t="shared" si="34"/>
        <v>6.1666666666666643</v>
      </c>
      <c r="Z186" t="str">
        <f t="shared" si="35"/>
        <v>&lt;Valeur name="no"&gt;185&lt;/Valeur&gt;</v>
      </c>
      <c r="AA186" t="str">
        <f t="shared" si="36"/>
        <v>&lt;Valeur name="ecriturebanque"&gt;175&lt;/Valeur&gt;</v>
      </c>
      <c r="AB186" t="str">
        <f t="shared" si="37"/>
        <v>&lt;Valeur name="datevaleur"&gt;2019/03/29&lt;/Valeur&gt;</v>
      </c>
      <c r="AC186" t="str">
        <f t="shared" si="38"/>
        <v>&lt;Valeur name="compte"&gt;48&lt;/Valeur&gt;</v>
      </c>
      <c r="AD186" t="str">
        <f t="shared" si="39"/>
        <v>&lt;Valeur name="description"&gt;CHEQUE  N 1000066&lt;/Valeur&gt;</v>
      </c>
      <c r="AE186" t="str">
        <f t="shared" si="40"/>
        <v>&lt;Valeur name="valeur"&gt;37&lt;/Valeur&gt;</v>
      </c>
      <c r="AF186" t="str">
        <f t="shared" si="41"/>
        <v>&lt;Valeur name="compta"&gt;0&lt;/Valeur&gt;</v>
      </c>
      <c r="AG186" t="str">
        <f t="shared" si="42"/>
        <v>&lt;Valeur name="tvapct"&gt;20&lt;/Valeur&gt;</v>
      </c>
      <c r="AH186" t="str">
        <f t="shared" si="43"/>
        <v>&lt;Valeur name="tva"&gt;6.16666666666666&lt;/Valeur&gt;</v>
      </c>
      <c r="AL186" t="str">
        <f t="shared" si="44"/>
        <v>&lt;Insert&gt;&lt;Valeur name="no"&gt;185&lt;/Valeur&gt;&lt;Valeur name="ecriturebanque"&gt;175&lt;/Valeur&gt;&lt;Valeur name="datevaleur"&gt;2019/03/29&lt;/Valeur&gt;&lt;Valeur name="compte"&gt;48&lt;/Valeur&gt;&lt;Valeur name="description"&gt;CHEQUE  N 1000066&lt;/Valeur&gt;&lt;Valeur name="valeur"&gt;37&lt;/Valeur&gt;&lt;Valeur name="compta"&gt;0&lt;/Valeur&gt;&lt;Valeur name="tvapct"&gt;20&lt;/Valeur&gt;&lt;Valeur name="tva"&gt;6.16666666666666&lt;/Valeur&gt;&lt;/Insert&gt;</v>
      </c>
    </row>
    <row r="187" spans="1:38" x14ac:dyDescent="0.25">
      <c r="A187">
        <v>176</v>
      </c>
      <c r="B187">
        <f>IF(A187&lt;&gt;"",VLOOKUP(A187,Banque!B:D,3,FALSE),1)</f>
        <v>0</v>
      </c>
      <c r="C187" s="1">
        <v>43553</v>
      </c>
      <c r="D187" t="s">
        <v>379</v>
      </c>
      <c r="E187" t="s">
        <v>65</v>
      </c>
      <c r="F187" t="s">
        <v>401</v>
      </c>
      <c r="H187" s="10">
        <v>5592</v>
      </c>
      <c r="I187" s="11">
        <f t="shared" ref="I187:I249" si="45">IF(G187&gt;0,G187-(G187/TVA),-(H187-(H187/TVA)))</f>
        <v>-932</v>
      </c>
      <c r="K187">
        <v>186</v>
      </c>
      <c r="L187">
        <v>176</v>
      </c>
      <c r="M187" s="16" t="s">
        <v>888</v>
      </c>
      <c r="N187">
        <f>IFERROR(VLOOKUP(D187,tab!A:B,2,FALSE),1)</f>
        <v>4</v>
      </c>
      <c r="O187" t="str">
        <f t="shared" si="31"/>
        <v>VIR TRESORERIE ARRAS MUNICIP / FAC. AF250-1 DU 28/02/2019REGLET</v>
      </c>
      <c r="P187" s="14">
        <f t="shared" si="32"/>
        <v>5592</v>
      </c>
      <c r="Q187" s="14">
        <f t="shared" si="33"/>
        <v>0</v>
      </c>
      <c r="R187" s="14">
        <v>20</v>
      </c>
      <c r="S187" s="14">
        <f t="shared" si="34"/>
        <v>-932</v>
      </c>
      <c r="Z187" t="str">
        <f t="shared" si="35"/>
        <v>&lt;Valeur name="no"&gt;186&lt;/Valeur&gt;</v>
      </c>
      <c r="AA187" t="str">
        <f t="shared" si="36"/>
        <v>&lt;Valeur name="ecriturebanque"&gt;176&lt;/Valeur&gt;</v>
      </c>
      <c r="AB187" t="str">
        <f t="shared" si="37"/>
        <v>&lt;Valeur name="datevaleur"&gt;2019/03/29&lt;/Valeur&gt;</v>
      </c>
      <c r="AC187" t="str">
        <f t="shared" si="38"/>
        <v>&lt;Valeur name="compte"&gt;4&lt;/Valeur&gt;</v>
      </c>
      <c r="AD187" t="str">
        <f t="shared" si="39"/>
        <v>&lt;Valeur name="description"&gt;VIR TRESORERIE ARRAS MUNICIP / FAC. AF250-1 DU 28/02/2019REGLET&lt;/Valeur&gt;</v>
      </c>
      <c r="AE187" t="str">
        <f t="shared" si="40"/>
        <v>&lt;Valeur name="valeur"&gt;5592&lt;/Valeur&gt;</v>
      </c>
      <c r="AF187" t="str">
        <f t="shared" si="41"/>
        <v>&lt;Valeur name="compta"&gt;0&lt;/Valeur&gt;</v>
      </c>
      <c r="AG187" t="str">
        <f t="shared" si="42"/>
        <v>&lt;Valeur name="tvapct"&gt;20&lt;/Valeur&gt;</v>
      </c>
      <c r="AH187" t="str">
        <f t="shared" si="43"/>
        <v>&lt;Valeur name="tva"&gt;-932&lt;/Valeur&gt;</v>
      </c>
      <c r="AL187" t="str">
        <f t="shared" si="44"/>
        <v>&lt;Insert&gt;&lt;Valeur name="no"&gt;186&lt;/Valeur&gt;&lt;Valeur name="ecriturebanque"&gt;176&lt;/Valeur&gt;&lt;Valeur name="datevaleur"&gt;2019/03/29&lt;/Valeur&gt;&lt;Valeur name="compte"&gt;4&lt;/Valeur&gt;&lt;Valeur name="description"&gt;VIR TRESORERIE ARRAS MUNICIP / FAC. AF250-1 DU 28/02/2019REGLET&lt;/Valeur&gt;&lt;Valeur name="valeur"&gt;5592&lt;/Valeur&gt;&lt;Valeur name="compta"&gt;0&lt;/Valeur&gt;&lt;Valeur name="tvapct"&gt;20&lt;/Valeur&gt;&lt;Valeur name="tva"&gt;-932&lt;/Valeur&gt;&lt;/Insert&gt;</v>
      </c>
    </row>
    <row r="188" spans="1:38" x14ac:dyDescent="0.25">
      <c r="A188">
        <v>177</v>
      </c>
      <c r="B188">
        <f>IF(A188&lt;&gt;"",VLOOKUP(A188,Banque!B:D,3,FALSE),1)</f>
        <v>0</v>
      </c>
      <c r="C188" s="1">
        <v>43553</v>
      </c>
      <c r="D188" t="s">
        <v>379</v>
      </c>
      <c r="E188" t="s">
        <v>65</v>
      </c>
      <c r="F188" t="s">
        <v>403</v>
      </c>
      <c r="H188" s="10">
        <v>23210.29</v>
      </c>
      <c r="I188" s="11">
        <f t="shared" si="45"/>
        <v>-3868.3816666666644</v>
      </c>
      <c r="K188">
        <v>187</v>
      </c>
      <c r="L188">
        <v>177</v>
      </c>
      <c r="M188" s="16" t="s">
        <v>888</v>
      </c>
      <c r="N188">
        <f>IFERROR(VLOOKUP(D188,tab!A:B,2,FALSE),1)</f>
        <v>4</v>
      </c>
      <c r="O188" t="str">
        <f t="shared" si="31"/>
        <v>VIR TRESORERIE ARRAS MUNICIP / FAC. situation 7 DU 12/03/2019LO</v>
      </c>
      <c r="P188" s="14">
        <f t="shared" si="32"/>
        <v>23210.29</v>
      </c>
      <c r="Q188" s="14">
        <f t="shared" si="33"/>
        <v>0</v>
      </c>
      <c r="R188" s="14">
        <v>20</v>
      </c>
      <c r="S188" s="14">
        <f t="shared" si="34"/>
        <v>-3868.3816666666644</v>
      </c>
      <c r="Z188" t="str">
        <f t="shared" si="35"/>
        <v>&lt;Valeur name="no"&gt;187&lt;/Valeur&gt;</v>
      </c>
      <c r="AA188" t="str">
        <f t="shared" si="36"/>
        <v>&lt;Valeur name="ecriturebanque"&gt;177&lt;/Valeur&gt;</v>
      </c>
      <c r="AB188" t="str">
        <f t="shared" si="37"/>
        <v>&lt;Valeur name="datevaleur"&gt;2019/03/29&lt;/Valeur&gt;</v>
      </c>
      <c r="AC188" t="str">
        <f t="shared" si="38"/>
        <v>&lt;Valeur name="compte"&gt;4&lt;/Valeur&gt;</v>
      </c>
      <c r="AD188" t="str">
        <f t="shared" si="39"/>
        <v>&lt;Valeur name="description"&gt;VIR TRESORERIE ARRAS MUNICIP / FAC. situation 7 DU 12/03/2019LO&lt;/Valeur&gt;</v>
      </c>
      <c r="AE188" t="str">
        <f t="shared" si="40"/>
        <v>&lt;Valeur name="valeur"&gt;23210.29&lt;/Valeur&gt;</v>
      </c>
      <c r="AF188" t="str">
        <f t="shared" si="41"/>
        <v>&lt;Valeur name="compta"&gt;0&lt;/Valeur&gt;</v>
      </c>
      <c r="AG188" t="str">
        <f t="shared" si="42"/>
        <v>&lt;Valeur name="tvapct"&gt;20&lt;/Valeur&gt;</v>
      </c>
      <c r="AH188" t="str">
        <f t="shared" si="43"/>
        <v>&lt;Valeur name="tva"&gt;-3868.38166666666&lt;/Valeur&gt;</v>
      </c>
      <c r="AL188" t="str">
        <f t="shared" si="44"/>
        <v>&lt;Insert&gt;&lt;Valeur name="no"&gt;187&lt;/Valeur&gt;&lt;Valeur name="ecriturebanque"&gt;177&lt;/Valeur&gt;&lt;Valeur name="datevaleur"&gt;2019/03/29&lt;/Valeur&gt;&lt;Valeur name="compte"&gt;4&lt;/Valeur&gt;&lt;Valeur name="description"&gt;VIR TRESORERIE ARRAS MUNICIP / FAC. situation 7 DU 12/03/2019LO&lt;/Valeur&gt;&lt;Valeur name="valeur"&gt;23210.29&lt;/Valeur&gt;&lt;Valeur name="compta"&gt;0&lt;/Valeur&gt;&lt;Valeur name="tvapct"&gt;20&lt;/Valeur&gt;&lt;Valeur name="tva"&gt;-3868.38166666666&lt;/Valeur&gt;&lt;/Insert&gt;</v>
      </c>
    </row>
    <row r="189" spans="1:38" x14ac:dyDescent="0.25">
      <c r="A189">
        <v>178</v>
      </c>
      <c r="B189">
        <f>IF(A189&lt;&gt;"",VLOOKUP(A189,Banque!B:D,3,FALSE),1)</f>
        <v>0</v>
      </c>
      <c r="C189" s="1">
        <v>43553</v>
      </c>
      <c r="D189" t="s">
        <v>379</v>
      </c>
      <c r="E189" t="s">
        <v>65</v>
      </c>
      <c r="F189" t="s">
        <v>405</v>
      </c>
      <c r="H189" s="10">
        <v>9720</v>
      </c>
      <c r="I189" s="11">
        <f t="shared" si="45"/>
        <v>-1620</v>
      </c>
      <c r="K189">
        <v>188</v>
      </c>
      <c r="L189">
        <v>178</v>
      </c>
      <c r="M189" s="16" t="s">
        <v>888</v>
      </c>
      <c r="N189">
        <f>IFERROR(VLOOKUP(D189,tab!A:B,2,FALSE),1)</f>
        <v>4</v>
      </c>
      <c r="O189" t="str">
        <f t="shared" si="31"/>
        <v>VIR TRESORERIE ARRAS MUNICIP / FAC. AF249-1 DU 28/02/2019TABLEA</v>
      </c>
      <c r="P189" s="14">
        <f t="shared" si="32"/>
        <v>9720</v>
      </c>
      <c r="Q189" s="14">
        <f t="shared" si="33"/>
        <v>0</v>
      </c>
      <c r="R189" s="14">
        <v>20</v>
      </c>
      <c r="S189" s="14">
        <f t="shared" si="34"/>
        <v>-1620</v>
      </c>
      <c r="Z189" t="str">
        <f t="shared" si="35"/>
        <v>&lt;Valeur name="no"&gt;188&lt;/Valeur&gt;</v>
      </c>
      <c r="AA189" t="str">
        <f t="shared" si="36"/>
        <v>&lt;Valeur name="ecriturebanque"&gt;178&lt;/Valeur&gt;</v>
      </c>
      <c r="AB189" t="str">
        <f t="shared" si="37"/>
        <v>&lt;Valeur name="datevaleur"&gt;2019/03/29&lt;/Valeur&gt;</v>
      </c>
      <c r="AC189" t="str">
        <f t="shared" si="38"/>
        <v>&lt;Valeur name="compte"&gt;4&lt;/Valeur&gt;</v>
      </c>
      <c r="AD189" t="str">
        <f t="shared" si="39"/>
        <v>&lt;Valeur name="description"&gt;VIR TRESORERIE ARRAS MUNICIP / FAC. AF249-1 DU 28/02/2019TABLEA&lt;/Valeur&gt;</v>
      </c>
      <c r="AE189" t="str">
        <f t="shared" si="40"/>
        <v>&lt;Valeur name="valeur"&gt;9720&lt;/Valeur&gt;</v>
      </c>
      <c r="AF189" t="str">
        <f t="shared" si="41"/>
        <v>&lt;Valeur name="compta"&gt;0&lt;/Valeur&gt;</v>
      </c>
      <c r="AG189" t="str">
        <f t="shared" si="42"/>
        <v>&lt;Valeur name="tvapct"&gt;20&lt;/Valeur&gt;</v>
      </c>
      <c r="AH189" t="str">
        <f t="shared" si="43"/>
        <v>&lt;Valeur name="tva"&gt;-1620&lt;/Valeur&gt;</v>
      </c>
      <c r="AL189" t="str">
        <f t="shared" si="44"/>
        <v>&lt;Insert&gt;&lt;Valeur name="no"&gt;188&lt;/Valeur&gt;&lt;Valeur name="ecriturebanque"&gt;178&lt;/Valeur&gt;&lt;Valeur name="datevaleur"&gt;2019/03/29&lt;/Valeur&gt;&lt;Valeur name="compte"&gt;4&lt;/Valeur&gt;&lt;Valeur name="description"&gt;VIR TRESORERIE ARRAS MUNICIP / FAC. AF249-1 DU 28/02/2019TABLEA&lt;/Valeur&gt;&lt;Valeur name="valeur"&gt;9720&lt;/Valeur&gt;&lt;Valeur name="compta"&gt;0&lt;/Valeur&gt;&lt;Valeur name="tvapct"&gt;20&lt;/Valeur&gt;&lt;Valeur name="tva"&gt;-1620&lt;/Valeur&gt;&lt;/Insert&gt;</v>
      </c>
    </row>
    <row r="190" spans="1:38" x14ac:dyDescent="0.25">
      <c r="A190">
        <v>179</v>
      </c>
      <c r="B190">
        <f>IF(A190&lt;&gt;"",VLOOKUP(A190,Banque!B:D,3,FALSE),1)</f>
        <v>1</v>
      </c>
      <c r="C190" s="1">
        <v>43553</v>
      </c>
      <c r="D190" t="s">
        <v>257</v>
      </c>
      <c r="E190" t="s">
        <v>31</v>
      </c>
      <c r="G190" s="10">
        <v>0.21</v>
      </c>
      <c r="I190" s="11">
        <f t="shared" si="45"/>
        <v>3.5000000000000003E-2</v>
      </c>
      <c r="K190">
        <v>189</v>
      </c>
      <c r="L190">
        <v>179</v>
      </c>
      <c r="M190" s="16" t="s">
        <v>888</v>
      </c>
      <c r="N190">
        <f>IFERROR(VLOOKUP(D190,tab!A:B,2,FALSE),1)</f>
        <v>18</v>
      </c>
      <c r="O190" t="str">
        <f t="shared" si="31"/>
        <v>FRAIS E-VIR SEPA VERS EEE</v>
      </c>
      <c r="P190" s="14">
        <f t="shared" si="32"/>
        <v>0.21</v>
      </c>
      <c r="Q190" s="14">
        <f t="shared" si="33"/>
        <v>1</v>
      </c>
      <c r="R190" s="14">
        <v>20</v>
      </c>
      <c r="S190" s="14">
        <f t="shared" si="34"/>
        <v>3.5000000000000003E-2</v>
      </c>
      <c r="Z190" t="str">
        <f t="shared" si="35"/>
        <v>&lt;Valeur name="no"&gt;189&lt;/Valeur&gt;</v>
      </c>
      <c r="AA190" t="str">
        <f t="shared" si="36"/>
        <v>&lt;Valeur name="ecriturebanque"&gt;179&lt;/Valeur&gt;</v>
      </c>
      <c r="AB190" t="str">
        <f t="shared" si="37"/>
        <v>&lt;Valeur name="datevaleur"&gt;2019/03/29&lt;/Valeur&gt;</v>
      </c>
      <c r="AC190" t="str">
        <f t="shared" si="38"/>
        <v>&lt;Valeur name="compte"&gt;18&lt;/Valeur&gt;</v>
      </c>
      <c r="AD190" t="str">
        <f t="shared" si="39"/>
        <v>&lt;Valeur name="description"&gt;FRAIS E-VIR SEPA VERS EEE&lt;/Valeur&gt;</v>
      </c>
      <c r="AE190" t="str">
        <f t="shared" si="40"/>
        <v>&lt;Valeur name="valeur"&gt;0.21&lt;/Valeur&gt;</v>
      </c>
      <c r="AF190" t="str">
        <f t="shared" si="41"/>
        <v>&lt;Valeur name="compta"&gt;1&lt;/Valeur&gt;</v>
      </c>
      <c r="AG190" t="str">
        <f t="shared" si="42"/>
        <v>&lt;Valeur name="tvapct"&gt;20&lt;/Valeur&gt;</v>
      </c>
      <c r="AH190" t="str">
        <f t="shared" si="43"/>
        <v>&lt;Valeur name="tva"&gt;0.035&lt;/Valeur&gt;</v>
      </c>
      <c r="AL190" t="str">
        <f t="shared" si="44"/>
        <v>&lt;Insert&gt;&lt;Valeur name="no"&gt;189&lt;/Valeur&gt;&lt;Valeur name="ecriturebanque"&gt;179&lt;/Valeur&gt;&lt;Valeur name="datevaleur"&gt;2019/03/29&lt;/Valeur&gt;&lt;Valeur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191" spans="1:38" x14ac:dyDescent="0.25">
      <c r="A191">
        <v>180</v>
      </c>
      <c r="B191">
        <f>IF(A191&lt;&gt;"",VLOOKUP(A191,Banque!B:D,3,FALSE),1)</f>
        <v>1</v>
      </c>
      <c r="C191" s="1">
        <v>43553</v>
      </c>
      <c r="D191" t="s">
        <v>257</v>
      </c>
      <c r="E191" t="s">
        <v>31</v>
      </c>
      <c r="G191" s="10">
        <v>0.21</v>
      </c>
      <c r="I191" s="11">
        <f t="shared" si="45"/>
        <v>3.5000000000000003E-2</v>
      </c>
      <c r="K191">
        <v>190</v>
      </c>
      <c r="L191">
        <v>180</v>
      </c>
      <c r="M191" s="16" t="s">
        <v>888</v>
      </c>
      <c r="N191">
        <f>IFERROR(VLOOKUP(D191,tab!A:B,2,FALSE),1)</f>
        <v>18</v>
      </c>
      <c r="O191" t="str">
        <f t="shared" si="31"/>
        <v>FRAIS E-VIR SEPA VERS EEE</v>
      </c>
      <c r="P191" s="14">
        <f t="shared" si="32"/>
        <v>0.21</v>
      </c>
      <c r="Q191" s="14">
        <f t="shared" si="33"/>
        <v>1</v>
      </c>
      <c r="R191" s="14">
        <v>20</v>
      </c>
      <c r="S191" s="14">
        <f t="shared" si="34"/>
        <v>3.5000000000000003E-2</v>
      </c>
      <c r="Z191" t="str">
        <f t="shared" si="35"/>
        <v>&lt;Valeur name="no"&gt;190&lt;/Valeur&gt;</v>
      </c>
      <c r="AA191" t="str">
        <f t="shared" si="36"/>
        <v>&lt;Valeur name="ecriturebanque"&gt;180&lt;/Valeur&gt;</v>
      </c>
      <c r="AB191" t="str">
        <f t="shared" si="37"/>
        <v>&lt;Valeur name="datevaleur"&gt;2019/03/29&lt;/Valeur&gt;</v>
      </c>
      <c r="AC191" t="str">
        <f t="shared" si="38"/>
        <v>&lt;Valeur name="compte"&gt;18&lt;/Valeur&gt;</v>
      </c>
      <c r="AD191" t="str">
        <f t="shared" si="39"/>
        <v>&lt;Valeur name="description"&gt;FRAIS E-VIR SEPA VERS EEE&lt;/Valeur&gt;</v>
      </c>
      <c r="AE191" t="str">
        <f t="shared" si="40"/>
        <v>&lt;Valeur name="valeur"&gt;0.21&lt;/Valeur&gt;</v>
      </c>
      <c r="AF191" t="str">
        <f t="shared" si="41"/>
        <v>&lt;Valeur name="compta"&gt;1&lt;/Valeur&gt;</v>
      </c>
      <c r="AG191" t="str">
        <f t="shared" si="42"/>
        <v>&lt;Valeur name="tvapct"&gt;20&lt;/Valeur&gt;</v>
      </c>
      <c r="AH191" t="str">
        <f t="shared" si="43"/>
        <v>&lt;Valeur name="tva"&gt;0.035&lt;/Valeur&gt;</v>
      </c>
      <c r="AL191" t="str">
        <f t="shared" si="44"/>
        <v>&lt;Insert&gt;&lt;Valeur name="no"&gt;190&lt;/Valeur&gt;&lt;Valeur name="ecriturebanque"&gt;180&lt;/Valeur&gt;&lt;Valeur name="datevaleur"&gt;2019/03/29&lt;/Valeur&gt;&lt;Valeur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192" spans="1:38" x14ac:dyDescent="0.25">
      <c r="A192">
        <v>181</v>
      </c>
      <c r="B192">
        <f>IF(A192&lt;&gt;"",VLOOKUP(A192,Banque!B:D,3,FALSE),1)</f>
        <v>1</v>
      </c>
      <c r="C192" s="1">
        <v>43553</v>
      </c>
      <c r="D192" t="s">
        <v>257</v>
      </c>
      <c r="E192" t="s">
        <v>31</v>
      </c>
      <c r="G192" s="10">
        <v>0.21</v>
      </c>
      <c r="I192" s="11">
        <f t="shared" si="45"/>
        <v>3.5000000000000003E-2</v>
      </c>
      <c r="K192">
        <v>191</v>
      </c>
      <c r="L192">
        <v>181</v>
      </c>
      <c r="M192" s="16" t="s">
        <v>888</v>
      </c>
      <c r="N192">
        <f>IFERROR(VLOOKUP(D192,tab!A:B,2,FALSE),1)</f>
        <v>18</v>
      </c>
      <c r="O192" t="str">
        <f t="shared" si="31"/>
        <v>FRAIS E-VIR SEPA VERS EEE</v>
      </c>
      <c r="P192" s="14">
        <f t="shared" si="32"/>
        <v>0.21</v>
      </c>
      <c r="Q192" s="14">
        <f t="shared" si="33"/>
        <v>1</v>
      </c>
      <c r="R192" s="14">
        <v>20</v>
      </c>
      <c r="S192" s="14">
        <f t="shared" si="34"/>
        <v>3.5000000000000003E-2</v>
      </c>
      <c r="Z192" t="str">
        <f t="shared" si="35"/>
        <v>&lt;Valeur name="no"&gt;191&lt;/Valeur&gt;</v>
      </c>
      <c r="AA192" t="str">
        <f t="shared" si="36"/>
        <v>&lt;Valeur name="ecriturebanque"&gt;181&lt;/Valeur&gt;</v>
      </c>
      <c r="AB192" t="str">
        <f t="shared" si="37"/>
        <v>&lt;Valeur name="datevaleur"&gt;2019/03/29&lt;/Valeur&gt;</v>
      </c>
      <c r="AC192" t="str">
        <f t="shared" si="38"/>
        <v>&lt;Valeur name="compte"&gt;18&lt;/Valeur&gt;</v>
      </c>
      <c r="AD192" t="str">
        <f t="shared" si="39"/>
        <v>&lt;Valeur name="description"&gt;FRAIS E-VIR SEPA VERS EEE&lt;/Valeur&gt;</v>
      </c>
      <c r="AE192" t="str">
        <f t="shared" si="40"/>
        <v>&lt;Valeur name="valeur"&gt;0.21&lt;/Valeur&gt;</v>
      </c>
      <c r="AF192" t="str">
        <f t="shared" si="41"/>
        <v>&lt;Valeur name="compta"&gt;1&lt;/Valeur&gt;</v>
      </c>
      <c r="AG192" t="str">
        <f t="shared" si="42"/>
        <v>&lt;Valeur name="tvapct"&gt;20&lt;/Valeur&gt;</v>
      </c>
      <c r="AH192" t="str">
        <f t="shared" si="43"/>
        <v>&lt;Valeur name="tva"&gt;0.035&lt;/Valeur&gt;</v>
      </c>
      <c r="AL192" t="str">
        <f t="shared" si="44"/>
        <v>&lt;Insert&gt;&lt;Valeur name="no"&gt;191&lt;/Valeur&gt;&lt;Valeur name="ecriturebanque"&gt;181&lt;/Valeur&gt;&lt;Valeur name="datevaleur"&gt;2019/03/29&lt;/Valeur&gt;&lt;Valeur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193" spans="1:38" x14ac:dyDescent="0.25">
      <c r="A193">
        <v>182</v>
      </c>
      <c r="B193">
        <f>IF(A193&lt;&gt;"",VLOOKUP(A193,Banque!B:D,3,FALSE),1)</f>
        <v>1</v>
      </c>
      <c r="C193" s="1">
        <v>43553</v>
      </c>
      <c r="D193" t="s">
        <v>257</v>
      </c>
      <c r="E193" t="s">
        <v>31</v>
      </c>
      <c r="G193" s="10">
        <v>0.21</v>
      </c>
      <c r="I193" s="11">
        <f t="shared" si="45"/>
        <v>3.5000000000000003E-2</v>
      </c>
      <c r="K193">
        <v>192</v>
      </c>
      <c r="L193">
        <v>182</v>
      </c>
      <c r="M193" s="16" t="s">
        <v>888</v>
      </c>
      <c r="N193">
        <f>IFERROR(VLOOKUP(D193,tab!A:B,2,FALSE),1)</f>
        <v>18</v>
      </c>
      <c r="O193" t="str">
        <f t="shared" si="31"/>
        <v>FRAIS E-VIR SEPA VERS EEE</v>
      </c>
      <c r="P193" s="14">
        <f t="shared" si="32"/>
        <v>0.21</v>
      </c>
      <c r="Q193" s="14">
        <f t="shared" si="33"/>
        <v>1</v>
      </c>
      <c r="R193" s="14">
        <v>20</v>
      </c>
      <c r="S193" s="14">
        <f t="shared" si="34"/>
        <v>3.5000000000000003E-2</v>
      </c>
      <c r="Z193" t="str">
        <f t="shared" si="35"/>
        <v>&lt;Valeur name="no"&gt;192&lt;/Valeur&gt;</v>
      </c>
      <c r="AA193" t="str">
        <f t="shared" si="36"/>
        <v>&lt;Valeur name="ecriturebanque"&gt;182&lt;/Valeur&gt;</v>
      </c>
      <c r="AB193" t="str">
        <f t="shared" si="37"/>
        <v>&lt;Valeur name="datevaleur"&gt;2019/03/29&lt;/Valeur&gt;</v>
      </c>
      <c r="AC193" t="str">
        <f t="shared" si="38"/>
        <v>&lt;Valeur name="compte"&gt;18&lt;/Valeur&gt;</v>
      </c>
      <c r="AD193" t="str">
        <f t="shared" si="39"/>
        <v>&lt;Valeur name="description"&gt;FRAIS E-VIR SEPA VERS EEE&lt;/Valeur&gt;</v>
      </c>
      <c r="AE193" t="str">
        <f t="shared" si="40"/>
        <v>&lt;Valeur name="valeur"&gt;0.21&lt;/Valeur&gt;</v>
      </c>
      <c r="AF193" t="str">
        <f t="shared" si="41"/>
        <v>&lt;Valeur name="compta"&gt;1&lt;/Valeur&gt;</v>
      </c>
      <c r="AG193" t="str">
        <f t="shared" si="42"/>
        <v>&lt;Valeur name="tvapct"&gt;20&lt;/Valeur&gt;</v>
      </c>
      <c r="AH193" t="str">
        <f t="shared" si="43"/>
        <v>&lt;Valeur name="tva"&gt;0.035&lt;/Valeur&gt;</v>
      </c>
      <c r="AL193" t="str">
        <f t="shared" si="44"/>
        <v>&lt;Insert&gt;&lt;Valeur name="no"&gt;192&lt;/Valeur&gt;&lt;Valeur name="ecriturebanque"&gt;182&lt;/Valeur&gt;&lt;Valeur name="datevaleur"&gt;2019/03/29&lt;/Valeur&gt;&lt;Valeur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194" spans="1:38" x14ac:dyDescent="0.25">
      <c r="A194">
        <v>183</v>
      </c>
      <c r="B194">
        <f>IF(A194&lt;&gt;"",VLOOKUP(A194,Banque!B:D,3,FALSE),1)</f>
        <v>1</v>
      </c>
      <c r="C194" s="1">
        <v>43556</v>
      </c>
      <c r="D194" t="s">
        <v>256</v>
      </c>
      <c r="E194" t="s">
        <v>411</v>
      </c>
      <c r="G194" s="10">
        <v>1723.78</v>
      </c>
      <c r="I194" s="11">
        <f t="shared" si="45"/>
        <v>287.29666666666662</v>
      </c>
      <c r="K194">
        <v>193</v>
      </c>
      <c r="L194">
        <v>183</v>
      </c>
      <c r="M194" s="16" t="s">
        <v>907</v>
      </c>
      <c r="N194">
        <f>IFERROR(VLOOKUP(D194,tab!A:B,2,FALSE),1)</f>
        <v>28</v>
      </c>
      <c r="O194" t="str">
        <f t="shared" ref="O194:O257" si="46">E194&amp;IF(ISBLANK(F194),""," / "&amp;F194)</f>
        <v>E-VIR SEPA Salaire Alex 03/2019</v>
      </c>
      <c r="P194" s="14">
        <f t="shared" ref="P194:P257" si="47">SUM(G194:H194)</f>
        <v>1723.78</v>
      </c>
      <c r="Q194" s="14">
        <f t="shared" ref="Q194:Q257" si="48">B194</f>
        <v>1</v>
      </c>
      <c r="R194" s="14">
        <v>20</v>
      </c>
      <c r="S194" s="14">
        <f t="shared" ref="S194:S257" si="49">I194</f>
        <v>287.29666666666662</v>
      </c>
      <c r="Z194" t="str">
        <f t="shared" ref="Z194:Z257" si="50">IF(ISBLANK($K194),"",K$1&amp;K194&amp;"&lt;/Valeur&gt;")</f>
        <v>&lt;Valeur name="no"&gt;193&lt;/Valeur&gt;</v>
      </c>
      <c r="AA194" t="str">
        <f t="shared" ref="AA194:AA257" si="51">IF(ISBLANK($K194),"",L$1&amp;L194&amp;"&lt;/Valeur&gt;")</f>
        <v>&lt;Valeur name="ecriturebanque"&gt;183&lt;/Valeur&gt;</v>
      </c>
      <c r="AB194" t="str">
        <f t="shared" ref="AB194:AB257" si="52">IF(ISBLANK($K194),"",M$1&amp;M194&amp;"&lt;/Valeur&gt;")</f>
        <v>&lt;Valeur name="datevaleur"&gt;2019/04/01&lt;/Valeur&gt;</v>
      </c>
      <c r="AC194" t="str">
        <f t="shared" ref="AC194:AC257" si="53">IF(ISBLANK($K194),"",N$1&amp;N194&amp;"&lt;/Valeur&gt;")</f>
        <v>&lt;Valeur name="compte"&gt;28&lt;/Valeur&gt;</v>
      </c>
      <c r="AD194" t="str">
        <f t="shared" ref="AD194:AD257" si="54">IF(ISBLANK($K194),"",O$1&amp;O194&amp;"&lt;/Valeur&gt;")</f>
        <v>&lt;Valeur name="description"&gt;E-VIR SEPA Salaire Alex 03/2019&lt;/Valeur&gt;</v>
      </c>
      <c r="AE194" t="str">
        <f t="shared" ref="AE194:AE257" si="55">IF(ISBLANK($K194),"",P$1&amp;P194&amp;"&lt;/Valeur&gt;")</f>
        <v>&lt;Valeur name="valeur"&gt;1723.78&lt;/Valeur&gt;</v>
      </c>
      <c r="AF194" t="str">
        <f t="shared" ref="AF194:AF257" si="56">IF(ISBLANK($K194),"",Q$1&amp;Q194&amp;"&lt;/Valeur&gt;")</f>
        <v>&lt;Valeur name="compta"&gt;1&lt;/Valeur&gt;</v>
      </c>
      <c r="AG194" t="str">
        <f t="shared" ref="AG194:AG257" si="57">IF(ISBLANK($K194),"",R$1&amp;R194&amp;"&lt;/Valeur&gt;")</f>
        <v>&lt;Valeur name="tvapct"&gt;20&lt;/Valeur&gt;</v>
      </c>
      <c r="AH194" t="str">
        <f t="shared" ref="AH194:AH257" si="58">IF(ISBLANK($K194),"",S$1&amp;S194&amp;"&lt;/Valeur&gt;")</f>
        <v>&lt;Valeur name="tva"&gt;287.296666666667&lt;/Valeur&gt;</v>
      </c>
      <c r="AL194" t="str">
        <f t="shared" si="44"/>
        <v>&lt;Insert&gt;&lt;Valeur name="no"&gt;193&lt;/Valeur&gt;&lt;Valeur name="ecriturebanque"&gt;183&lt;/Valeur&gt;&lt;Valeur name="datevaleur"&gt;2019/04/01&lt;/Valeur&gt;&lt;Valeur name="compte"&gt;28&lt;/Valeur&gt;&lt;Valeur name="description"&gt;E-VIR SEPA Salaire Alex 03/2019&lt;/Valeur&gt;&lt;Valeur name="valeur"&gt;1723.78&lt;/Valeur&gt;&lt;Valeur name="compta"&gt;1&lt;/Valeur&gt;&lt;Valeur name="tvapct"&gt;20&lt;/Valeur&gt;&lt;Valeur name="tva"&gt;287.296666666667&lt;/Valeur&gt;&lt;/Insert&gt;</v>
      </c>
    </row>
    <row r="195" spans="1:38" x14ac:dyDescent="0.25">
      <c r="B195">
        <f>IF(A195&lt;&gt;"",VLOOKUP(A195,Banque!B:D,3,FALSE),1)</f>
        <v>1</v>
      </c>
      <c r="C195" s="1">
        <v>43556</v>
      </c>
      <c r="D195" t="s">
        <v>277</v>
      </c>
      <c r="G195" s="10">
        <v>35.81</v>
      </c>
      <c r="I195" s="11">
        <f t="shared" si="45"/>
        <v>5.9683333333333337</v>
      </c>
      <c r="K195">
        <v>194</v>
      </c>
      <c r="L195">
        <v>184</v>
      </c>
      <c r="M195" s="16" t="s">
        <v>907</v>
      </c>
      <c r="N195">
        <f>IFERROR(VLOOKUP(D195,tab!A:B,2,FALSE),1)</f>
        <v>62</v>
      </c>
      <c r="O195" t="str">
        <f t="shared" si="46"/>
        <v/>
      </c>
      <c r="P195" s="14">
        <f t="shared" si="47"/>
        <v>35.81</v>
      </c>
      <c r="Q195" s="14">
        <f t="shared" si="48"/>
        <v>1</v>
      </c>
      <c r="R195" s="14">
        <v>20</v>
      </c>
      <c r="S195" s="14">
        <f t="shared" si="49"/>
        <v>5.9683333333333337</v>
      </c>
      <c r="Z195" t="str">
        <f t="shared" si="50"/>
        <v>&lt;Valeur name="no"&gt;194&lt;/Valeur&gt;</v>
      </c>
      <c r="AA195" t="str">
        <f t="shared" si="51"/>
        <v>&lt;Valeur name="ecriturebanque"&gt;184&lt;/Valeur&gt;</v>
      </c>
      <c r="AB195" t="str">
        <f t="shared" si="52"/>
        <v>&lt;Valeur name="datevaleur"&gt;2019/04/01&lt;/Valeur&gt;</v>
      </c>
      <c r="AC195" t="str">
        <f t="shared" si="53"/>
        <v>&lt;Valeur name="compte"&gt;62&lt;/Valeur&gt;</v>
      </c>
      <c r="AD195" t="str">
        <f t="shared" si="54"/>
        <v>&lt;Valeur name="description"&gt;&lt;/Valeur&gt;</v>
      </c>
      <c r="AE195" t="str">
        <f t="shared" si="55"/>
        <v>&lt;Valeur name="valeur"&gt;35.81&lt;/Valeur&gt;</v>
      </c>
      <c r="AF195" t="str">
        <f t="shared" si="56"/>
        <v>&lt;Valeur name="compta"&gt;1&lt;/Valeur&gt;</v>
      </c>
      <c r="AG195" t="str">
        <f t="shared" si="57"/>
        <v>&lt;Valeur name="tvapct"&gt;20&lt;/Valeur&gt;</v>
      </c>
      <c r="AH195" t="str">
        <f t="shared" si="58"/>
        <v>&lt;Valeur name="tva"&gt;5.96833333333333&lt;/Valeur&gt;</v>
      </c>
      <c r="AL195" t="str">
        <f t="shared" ref="AL195:AL258" si="59">IF(ISBLANK(M195),"",CONCATENATE("&lt;Insert&gt;",Z195,AA195,AB195,AC195,AD195,AE195,AF195,AG195,AH195,"&lt;/Insert&gt;"))</f>
        <v>&lt;Insert&gt;&lt;Valeur name="no"&gt;194&lt;/Valeur&gt;&lt;Valeur name="ecriturebanque"&gt;184&lt;/Valeur&gt;&lt;Valeur name="datevaleur"&gt;2019/04/01&lt;/Valeur&gt;&lt;Valeur name="compte"&gt;62&lt;/Valeur&gt;&lt;Valeur name="description"&gt;&lt;/Valeur&gt;&lt;Valeur name="valeur"&gt;35.81&lt;/Valeur&gt;&lt;Valeur name="compta"&gt;1&lt;/Valeur&gt;&lt;Valeur name="tvapct"&gt;20&lt;/Valeur&gt;&lt;Valeur name="tva"&gt;5.96833333333333&lt;/Valeur&gt;&lt;/Insert&gt;</v>
      </c>
    </row>
    <row r="196" spans="1:38" x14ac:dyDescent="0.25">
      <c r="B196">
        <f>IF(A196&lt;&gt;"",VLOOKUP(A196,Banque!B:D,3,FALSE),1)</f>
        <v>1</v>
      </c>
      <c r="C196" s="1">
        <v>43556</v>
      </c>
      <c r="D196" t="s">
        <v>275</v>
      </c>
      <c r="G196" s="10">
        <v>79.87</v>
      </c>
      <c r="I196" s="11">
        <f t="shared" si="45"/>
        <v>13.311666666666667</v>
      </c>
      <c r="K196">
        <v>195</v>
      </c>
      <c r="L196">
        <v>184</v>
      </c>
      <c r="M196" s="16" t="s">
        <v>907</v>
      </c>
      <c r="N196">
        <f>IFERROR(VLOOKUP(D196,tab!A:B,2,FALSE),1)</f>
        <v>92</v>
      </c>
      <c r="O196" t="str">
        <f t="shared" si="46"/>
        <v/>
      </c>
      <c r="P196" s="14">
        <f t="shared" si="47"/>
        <v>79.87</v>
      </c>
      <c r="Q196" s="14">
        <f t="shared" si="48"/>
        <v>1</v>
      </c>
      <c r="R196" s="14">
        <v>20</v>
      </c>
      <c r="S196" s="14">
        <f t="shared" si="49"/>
        <v>13.311666666666667</v>
      </c>
      <c r="Z196" t="str">
        <f t="shared" si="50"/>
        <v>&lt;Valeur name="no"&gt;195&lt;/Valeur&gt;</v>
      </c>
      <c r="AA196" t="str">
        <f t="shared" si="51"/>
        <v>&lt;Valeur name="ecriturebanque"&gt;184&lt;/Valeur&gt;</v>
      </c>
      <c r="AB196" t="str">
        <f t="shared" si="52"/>
        <v>&lt;Valeur name="datevaleur"&gt;2019/04/01&lt;/Valeur&gt;</v>
      </c>
      <c r="AC196" t="str">
        <f t="shared" si="53"/>
        <v>&lt;Valeur name="compte"&gt;92&lt;/Valeur&gt;</v>
      </c>
      <c r="AD196" t="str">
        <f t="shared" si="54"/>
        <v>&lt;Valeur name="description"&gt;&lt;/Valeur&gt;</v>
      </c>
      <c r="AE196" t="str">
        <f t="shared" si="55"/>
        <v>&lt;Valeur name="valeur"&gt;79.87&lt;/Valeur&gt;</v>
      </c>
      <c r="AF196" t="str">
        <f t="shared" si="56"/>
        <v>&lt;Valeur name="compta"&gt;1&lt;/Valeur&gt;</v>
      </c>
      <c r="AG196" t="str">
        <f t="shared" si="57"/>
        <v>&lt;Valeur name="tvapct"&gt;20&lt;/Valeur&gt;</v>
      </c>
      <c r="AH196" t="str">
        <f t="shared" si="58"/>
        <v>&lt;Valeur name="tva"&gt;13.3116666666667&lt;/Valeur&gt;</v>
      </c>
      <c r="AL196" t="str">
        <f t="shared" si="59"/>
        <v>&lt;Insert&gt;&lt;Valeur name="no"&gt;195&lt;/Valeur&gt;&lt;Valeur name="ecriturebanque"&gt;184&lt;/Valeur&gt;&lt;Valeur name="datevaleur"&gt;2019/04/01&lt;/Valeur&gt;&lt;Valeur name="compte"&gt;92&lt;/Valeur&gt;&lt;Valeur name="description"&gt;&lt;/Valeur&gt;&lt;Valeur name="valeur"&gt;79.87&lt;/Valeur&gt;&lt;Valeur name="compta"&gt;1&lt;/Valeur&gt;&lt;Valeur name="tvapct"&gt;20&lt;/Valeur&gt;&lt;Valeur name="tva"&gt;13.3116666666667&lt;/Valeur&gt;&lt;/Insert&gt;</v>
      </c>
    </row>
    <row r="197" spans="1:38" x14ac:dyDescent="0.25">
      <c r="B197">
        <f>IF(A197&lt;&gt;"",VLOOKUP(A197,Banque!B:D,3,FALSE),1)</f>
        <v>1</v>
      </c>
      <c r="C197" s="1">
        <v>43556</v>
      </c>
      <c r="D197" t="s">
        <v>298</v>
      </c>
      <c r="G197" s="10">
        <v>99.26</v>
      </c>
      <c r="I197" s="11">
        <f t="shared" si="45"/>
        <v>16.543333333333337</v>
      </c>
      <c r="K197">
        <v>196</v>
      </c>
      <c r="L197">
        <v>184</v>
      </c>
      <c r="M197" s="16" t="s">
        <v>907</v>
      </c>
      <c r="N197">
        <f>IFERROR(VLOOKUP(D197,tab!A:B,2,FALSE),1)</f>
        <v>81</v>
      </c>
      <c r="O197" t="str">
        <f t="shared" si="46"/>
        <v/>
      </c>
      <c r="P197" s="14">
        <f t="shared" si="47"/>
        <v>99.26</v>
      </c>
      <c r="Q197" s="14">
        <f t="shared" si="48"/>
        <v>1</v>
      </c>
      <c r="R197" s="14">
        <v>20</v>
      </c>
      <c r="S197" s="14">
        <f t="shared" si="49"/>
        <v>16.543333333333337</v>
      </c>
      <c r="Z197" t="str">
        <f t="shared" si="50"/>
        <v>&lt;Valeur name="no"&gt;196&lt;/Valeur&gt;</v>
      </c>
      <c r="AA197" t="str">
        <f t="shared" si="51"/>
        <v>&lt;Valeur name="ecriturebanque"&gt;184&lt;/Valeur&gt;</v>
      </c>
      <c r="AB197" t="str">
        <f t="shared" si="52"/>
        <v>&lt;Valeur name="datevaleur"&gt;2019/04/01&lt;/Valeur&gt;</v>
      </c>
      <c r="AC197" t="str">
        <f t="shared" si="53"/>
        <v>&lt;Valeur name="compte"&gt;81&lt;/Valeur&gt;</v>
      </c>
      <c r="AD197" t="str">
        <f t="shared" si="54"/>
        <v>&lt;Valeur name="description"&gt;&lt;/Valeur&gt;</v>
      </c>
      <c r="AE197" t="str">
        <f t="shared" si="55"/>
        <v>&lt;Valeur name="valeur"&gt;99.26&lt;/Valeur&gt;</v>
      </c>
      <c r="AF197" t="str">
        <f t="shared" si="56"/>
        <v>&lt;Valeur name="compta"&gt;1&lt;/Valeur&gt;</v>
      </c>
      <c r="AG197" t="str">
        <f t="shared" si="57"/>
        <v>&lt;Valeur name="tvapct"&gt;20&lt;/Valeur&gt;</v>
      </c>
      <c r="AH197" t="str">
        <f t="shared" si="58"/>
        <v>&lt;Valeur name="tva"&gt;16.5433333333333&lt;/Valeur&gt;</v>
      </c>
      <c r="AL197" t="str">
        <f t="shared" si="59"/>
        <v>&lt;Insert&gt;&lt;Valeur name="no"&gt;196&lt;/Valeur&gt;&lt;Valeur name="ecriturebanque"&gt;184&lt;/Valeur&gt;&lt;Valeur name="datevaleur"&gt;2019/04/01&lt;/Valeur&gt;&lt;Valeur name="compte"&gt;81&lt;/Valeur&gt;&lt;Valeur name="description"&gt;&lt;/Valeur&gt;&lt;Valeur name="valeur"&gt;99.26&lt;/Valeur&gt;&lt;Valeur name="compta"&gt;1&lt;/Valeur&gt;&lt;Valeur name="tvapct"&gt;20&lt;/Valeur&gt;&lt;Valeur name="tva"&gt;16.5433333333333&lt;/Valeur&gt;&lt;/Insert&gt;</v>
      </c>
    </row>
    <row r="198" spans="1:38" x14ac:dyDescent="0.25">
      <c r="B198">
        <f>IF(A198&lt;&gt;"",VLOOKUP(A198,Banque!B:D,3,FALSE),1)</f>
        <v>1</v>
      </c>
      <c r="C198" s="1">
        <v>43556</v>
      </c>
      <c r="D198" t="s">
        <v>276</v>
      </c>
      <c r="G198" s="10">
        <v>236.69</v>
      </c>
      <c r="I198" s="11">
        <f t="shared" si="45"/>
        <v>39.448333333333323</v>
      </c>
      <c r="K198">
        <v>197</v>
      </c>
      <c r="L198">
        <v>184</v>
      </c>
      <c r="M198" s="16" t="s">
        <v>907</v>
      </c>
      <c r="N198">
        <f>IFERROR(VLOOKUP(D198,tab!A:B,2,FALSE),1)</f>
        <v>114</v>
      </c>
      <c r="O198" t="str">
        <f t="shared" si="46"/>
        <v/>
      </c>
      <c r="P198" s="14">
        <f t="shared" si="47"/>
        <v>236.69</v>
      </c>
      <c r="Q198" s="14">
        <f t="shared" si="48"/>
        <v>1</v>
      </c>
      <c r="R198" s="14">
        <v>20</v>
      </c>
      <c r="S198" s="14">
        <f t="shared" si="49"/>
        <v>39.448333333333323</v>
      </c>
      <c r="Z198" t="str">
        <f t="shared" si="50"/>
        <v>&lt;Valeur name="no"&gt;197&lt;/Valeur&gt;</v>
      </c>
      <c r="AA198" t="str">
        <f t="shared" si="51"/>
        <v>&lt;Valeur name="ecriturebanque"&gt;184&lt;/Valeur&gt;</v>
      </c>
      <c r="AB198" t="str">
        <f t="shared" si="52"/>
        <v>&lt;Valeur name="datevaleur"&gt;2019/04/01&lt;/Valeur&gt;</v>
      </c>
      <c r="AC198" t="str">
        <f t="shared" si="53"/>
        <v>&lt;Valeur name="compte"&gt;114&lt;/Valeur&gt;</v>
      </c>
      <c r="AD198" t="str">
        <f t="shared" si="54"/>
        <v>&lt;Valeur name="description"&gt;&lt;/Valeur&gt;</v>
      </c>
      <c r="AE198" t="str">
        <f t="shared" si="55"/>
        <v>&lt;Valeur name="valeur"&gt;236.69&lt;/Valeur&gt;</v>
      </c>
      <c r="AF198" t="str">
        <f t="shared" si="56"/>
        <v>&lt;Valeur name="compta"&gt;1&lt;/Valeur&gt;</v>
      </c>
      <c r="AG198" t="str">
        <f t="shared" si="57"/>
        <v>&lt;Valeur name="tvapct"&gt;20&lt;/Valeur&gt;</v>
      </c>
      <c r="AH198" t="str">
        <f t="shared" si="58"/>
        <v>&lt;Valeur name="tva"&gt;39.4483333333333&lt;/Valeur&gt;</v>
      </c>
      <c r="AL198" t="str">
        <f t="shared" si="59"/>
        <v>&lt;Insert&gt;&lt;Valeur name="no"&gt;197&lt;/Valeur&gt;&lt;Valeur name="ecriturebanque"&gt;184&lt;/Valeur&gt;&lt;Valeur name="datevaleur"&gt;2019/04/01&lt;/Valeur&gt;&lt;Valeur name="compte"&gt;114&lt;/Valeur&gt;&lt;Valeur name="description"&gt;&lt;/Valeur&gt;&lt;Valeur name="valeur"&gt;236.69&lt;/Valeur&gt;&lt;Valeur name="compta"&gt;1&lt;/Valeur&gt;&lt;Valeur name="tvapct"&gt;20&lt;/Valeur&gt;&lt;Valeur name="tva"&gt;39.4483333333333&lt;/Valeur&gt;&lt;/Insert&gt;</v>
      </c>
    </row>
    <row r="199" spans="1:38" x14ac:dyDescent="0.25">
      <c r="B199">
        <f>IF(A199&lt;&gt;"",VLOOKUP(A199,Banque!B:D,3,FALSE),1)</f>
        <v>1</v>
      </c>
      <c r="C199" s="1">
        <v>43556</v>
      </c>
      <c r="D199" t="s">
        <v>273</v>
      </c>
      <c r="G199" s="10">
        <v>285.91000000000003</v>
      </c>
      <c r="I199" s="11">
        <f t="shared" si="45"/>
        <v>47.651666666666671</v>
      </c>
      <c r="K199">
        <v>198</v>
      </c>
      <c r="L199">
        <v>184</v>
      </c>
      <c r="M199" s="16" t="s">
        <v>907</v>
      </c>
      <c r="N199">
        <f>IFERROR(VLOOKUP(D199,tab!A:B,2,FALSE),1)</f>
        <v>32</v>
      </c>
      <c r="O199" t="str">
        <f t="shared" si="46"/>
        <v/>
      </c>
      <c r="P199" s="14">
        <f t="shared" si="47"/>
        <v>285.91000000000003</v>
      </c>
      <c r="Q199" s="14">
        <f t="shared" si="48"/>
        <v>1</v>
      </c>
      <c r="R199" s="14">
        <v>20</v>
      </c>
      <c r="S199" s="14">
        <f t="shared" si="49"/>
        <v>47.651666666666671</v>
      </c>
      <c r="Z199" t="str">
        <f t="shared" si="50"/>
        <v>&lt;Valeur name="no"&gt;198&lt;/Valeur&gt;</v>
      </c>
      <c r="AA199" t="str">
        <f t="shared" si="51"/>
        <v>&lt;Valeur name="ecriturebanque"&gt;184&lt;/Valeur&gt;</v>
      </c>
      <c r="AB199" t="str">
        <f t="shared" si="52"/>
        <v>&lt;Valeur name="datevaleur"&gt;2019/04/01&lt;/Valeur&gt;</v>
      </c>
      <c r="AC199" t="str">
        <f t="shared" si="53"/>
        <v>&lt;Valeur name="compte"&gt;32&lt;/Valeur&gt;</v>
      </c>
      <c r="AD199" t="str">
        <f t="shared" si="54"/>
        <v>&lt;Valeur name="description"&gt;&lt;/Valeur&gt;</v>
      </c>
      <c r="AE199" t="str">
        <f t="shared" si="55"/>
        <v>&lt;Valeur name="valeur"&gt;285.91&lt;/Valeur&gt;</v>
      </c>
      <c r="AF199" t="str">
        <f t="shared" si="56"/>
        <v>&lt;Valeur name="compta"&gt;1&lt;/Valeur&gt;</v>
      </c>
      <c r="AG199" t="str">
        <f t="shared" si="57"/>
        <v>&lt;Valeur name="tvapct"&gt;20&lt;/Valeur&gt;</v>
      </c>
      <c r="AH199" t="str">
        <f t="shared" si="58"/>
        <v>&lt;Valeur name="tva"&gt;47.6516666666667&lt;/Valeur&gt;</v>
      </c>
      <c r="AL199" t="str">
        <f t="shared" si="59"/>
        <v>&lt;Insert&gt;&lt;Valeur name="no"&gt;198&lt;/Valeur&gt;&lt;Valeur name="ecriturebanque"&gt;184&lt;/Valeur&gt;&lt;Valeur name="datevaleur"&gt;2019/04/01&lt;/Valeur&gt;&lt;Valeur name="compte"&gt;32&lt;/Valeur&gt;&lt;Valeur name="description"&gt;&lt;/Valeur&gt;&lt;Valeur name="valeur"&gt;285.91&lt;/Valeur&gt;&lt;Valeur name="compta"&gt;1&lt;/Valeur&gt;&lt;Valeur name="tvapct"&gt;20&lt;/Valeur&gt;&lt;Valeur name="tva"&gt;47.6516666666667&lt;/Valeur&gt;&lt;/Insert&gt;</v>
      </c>
    </row>
    <row r="200" spans="1:38" x14ac:dyDescent="0.25">
      <c r="B200">
        <f>IF(A200&lt;&gt;"",VLOOKUP(A200,Banque!B:D,3,FALSE),1)</f>
        <v>1</v>
      </c>
      <c r="C200" s="1">
        <v>43556</v>
      </c>
      <c r="D200" t="s">
        <v>274</v>
      </c>
      <c r="G200" s="10">
        <v>753.74</v>
      </c>
      <c r="I200" s="11">
        <f t="shared" si="45"/>
        <v>125.62333333333333</v>
      </c>
      <c r="K200">
        <v>199</v>
      </c>
      <c r="L200">
        <v>184</v>
      </c>
      <c r="M200" s="16" t="s">
        <v>907</v>
      </c>
      <c r="N200">
        <f>IFERROR(VLOOKUP(D200,tab!A:B,2,FALSE),1)</f>
        <v>63</v>
      </c>
      <c r="O200" t="str">
        <f t="shared" si="46"/>
        <v/>
      </c>
      <c r="P200" s="14">
        <f t="shared" si="47"/>
        <v>753.74</v>
      </c>
      <c r="Q200" s="14">
        <f t="shared" si="48"/>
        <v>1</v>
      </c>
      <c r="R200" s="14">
        <v>20</v>
      </c>
      <c r="S200" s="14">
        <f t="shared" si="49"/>
        <v>125.62333333333333</v>
      </c>
      <c r="Z200" t="str">
        <f t="shared" si="50"/>
        <v>&lt;Valeur name="no"&gt;199&lt;/Valeur&gt;</v>
      </c>
      <c r="AA200" t="str">
        <f t="shared" si="51"/>
        <v>&lt;Valeur name="ecriturebanque"&gt;184&lt;/Valeur&gt;</v>
      </c>
      <c r="AB200" t="str">
        <f t="shared" si="52"/>
        <v>&lt;Valeur name="datevaleur"&gt;2019/04/01&lt;/Valeur&gt;</v>
      </c>
      <c r="AC200" t="str">
        <f t="shared" si="53"/>
        <v>&lt;Valeur name="compte"&gt;63&lt;/Valeur&gt;</v>
      </c>
      <c r="AD200" t="str">
        <f t="shared" si="54"/>
        <v>&lt;Valeur name="description"&gt;&lt;/Valeur&gt;</v>
      </c>
      <c r="AE200" t="str">
        <f t="shared" si="55"/>
        <v>&lt;Valeur name="valeur"&gt;753.74&lt;/Valeur&gt;</v>
      </c>
      <c r="AF200" t="str">
        <f t="shared" si="56"/>
        <v>&lt;Valeur name="compta"&gt;1&lt;/Valeur&gt;</v>
      </c>
      <c r="AG200" t="str">
        <f t="shared" si="57"/>
        <v>&lt;Valeur name="tvapct"&gt;20&lt;/Valeur&gt;</v>
      </c>
      <c r="AH200" t="str">
        <f t="shared" si="58"/>
        <v>&lt;Valeur name="tva"&gt;125.623333333333&lt;/Valeur&gt;</v>
      </c>
      <c r="AL200" t="str">
        <f t="shared" si="59"/>
        <v>&lt;Insert&gt;&lt;Valeur name="no"&gt;199&lt;/Valeur&gt;&lt;Valeur name="ecriturebanque"&gt;184&lt;/Valeur&gt;&lt;Valeur name="datevaleur"&gt;2019/04/01&lt;/Valeur&gt;&lt;Valeur name="compte"&gt;63&lt;/Valeur&gt;&lt;Valeur name="description"&gt;&lt;/Valeur&gt;&lt;Valeur name="valeur"&gt;753.74&lt;/Valeur&gt;&lt;Valeur name="compta"&gt;1&lt;/Valeur&gt;&lt;Valeur name="tvapct"&gt;20&lt;/Valeur&gt;&lt;Valeur name="tva"&gt;125.623333333333&lt;/Valeur&gt;&lt;/Insert&gt;</v>
      </c>
    </row>
    <row r="201" spans="1:38" x14ac:dyDescent="0.25">
      <c r="B201">
        <f>IF(A201&lt;&gt;"",VLOOKUP(A201,Banque!B:D,3,FALSE),1)</f>
        <v>1</v>
      </c>
      <c r="C201" s="1">
        <v>43556</v>
      </c>
      <c r="D201" t="s">
        <v>259</v>
      </c>
      <c r="G201" s="10">
        <v>1871.94</v>
      </c>
      <c r="I201" s="11">
        <f t="shared" si="45"/>
        <v>311.99</v>
      </c>
      <c r="K201">
        <v>200</v>
      </c>
      <c r="L201">
        <v>184</v>
      </c>
      <c r="M201" s="16" t="s">
        <v>907</v>
      </c>
      <c r="N201">
        <f>IFERROR(VLOOKUP(D201,tab!A:B,2,FALSE),1)</f>
        <v>72</v>
      </c>
      <c r="O201" t="str">
        <f t="shared" si="46"/>
        <v/>
      </c>
      <c r="P201" s="14">
        <f t="shared" si="47"/>
        <v>1871.94</v>
      </c>
      <c r="Q201" s="14">
        <f t="shared" si="48"/>
        <v>1</v>
      </c>
      <c r="R201" s="14">
        <v>20</v>
      </c>
      <c r="S201" s="14">
        <f t="shared" si="49"/>
        <v>311.99</v>
      </c>
      <c r="Z201" t="str">
        <f t="shared" si="50"/>
        <v>&lt;Valeur name="no"&gt;200&lt;/Valeur&gt;</v>
      </c>
      <c r="AA201" t="str">
        <f t="shared" si="51"/>
        <v>&lt;Valeur name="ecriturebanque"&gt;184&lt;/Valeur&gt;</v>
      </c>
      <c r="AB201" t="str">
        <f t="shared" si="52"/>
        <v>&lt;Valeur name="datevaleur"&gt;2019/04/01&lt;/Valeur&gt;</v>
      </c>
      <c r="AC201" t="str">
        <f t="shared" si="53"/>
        <v>&lt;Valeur name="compte"&gt;72&lt;/Valeur&gt;</v>
      </c>
      <c r="AD201" t="str">
        <f t="shared" si="54"/>
        <v>&lt;Valeur name="description"&gt;&lt;/Valeur&gt;</v>
      </c>
      <c r="AE201" t="str">
        <f t="shared" si="55"/>
        <v>&lt;Valeur name="valeur"&gt;1871.94&lt;/Valeur&gt;</v>
      </c>
      <c r="AF201" t="str">
        <f t="shared" si="56"/>
        <v>&lt;Valeur name="compta"&gt;1&lt;/Valeur&gt;</v>
      </c>
      <c r="AG201" t="str">
        <f t="shared" si="57"/>
        <v>&lt;Valeur name="tvapct"&gt;20&lt;/Valeur&gt;</v>
      </c>
      <c r="AH201" t="str">
        <f t="shared" si="58"/>
        <v>&lt;Valeur name="tva"&gt;311.99&lt;/Valeur&gt;</v>
      </c>
      <c r="AL201" t="str">
        <f t="shared" si="59"/>
        <v>&lt;Insert&gt;&lt;Valeur name="no"&gt;200&lt;/Valeur&gt;&lt;Valeur name="ecriturebanque"&gt;184&lt;/Valeur&gt;&lt;Valeur name="datevaleur"&gt;2019/04/01&lt;/Valeur&gt;&lt;Valeur name="compte"&gt;72&lt;/Valeur&gt;&lt;Valeur name="description"&gt;&lt;/Valeur&gt;&lt;Valeur name="valeur"&gt;1871.94&lt;/Valeur&gt;&lt;Valeur name="compta"&gt;1&lt;/Valeur&gt;&lt;Valeur name="tvapct"&gt;20&lt;/Valeur&gt;&lt;Valeur name="tva"&gt;311.99&lt;/Valeur&gt;&lt;/Insert&gt;</v>
      </c>
    </row>
    <row r="202" spans="1:38" x14ac:dyDescent="0.25">
      <c r="A202">
        <v>185</v>
      </c>
      <c r="B202">
        <f>IF(A202&lt;&gt;"",VLOOKUP(A202,Banque!B:D,3,FALSE),1)</f>
        <v>1</v>
      </c>
      <c r="C202" s="1">
        <v>43556</v>
      </c>
      <c r="D202" t="s">
        <v>254</v>
      </c>
      <c r="E202" t="s">
        <v>415</v>
      </c>
      <c r="G202" s="10">
        <v>7.4</v>
      </c>
      <c r="I202" s="11">
        <f t="shared" si="45"/>
        <v>1.2333333333333334</v>
      </c>
      <c r="K202">
        <v>201</v>
      </c>
      <c r="L202">
        <v>185</v>
      </c>
      <c r="M202" s="16" t="s">
        <v>907</v>
      </c>
      <c r="N202">
        <f>IFERROR(VLOOKUP(D202,tab!A:B,2,FALSE),1)</f>
        <v>27</v>
      </c>
      <c r="O202" t="str">
        <f t="shared" si="46"/>
        <v>CB 454106 GERSTEP     59WASQUEHA</v>
      </c>
      <c r="P202" s="14">
        <f t="shared" si="47"/>
        <v>7.4</v>
      </c>
      <c r="Q202" s="14">
        <f t="shared" si="48"/>
        <v>1</v>
      </c>
      <c r="R202" s="14">
        <v>20</v>
      </c>
      <c r="S202" s="14">
        <f t="shared" si="49"/>
        <v>1.2333333333333334</v>
      </c>
      <c r="Z202" t="str">
        <f t="shared" si="50"/>
        <v>&lt;Valeur name="no"&gt;201&lt;/Valeur&gt;</v>
      </c>
      <c r="AA202" t="str">
        <f t="shared" si="51"/>
        <v>&lt;Valeur name="ecriturebanque"&gt;185&lt;/Valeur&gt;</v>
      </c>
      <c r="AB202" t="str">
        <f t="shared" si="52"/>
        <v>&lt;Valeur name="datevaleur"&gt;2019/04/01&lt;/Valeur&gt;</v>
      </c>
      <c r="AC202" t="str">
        <f t="shared" si="53"/>
        <v>&lt;Valeur name="compte"&gt;27&lt;/Valeur&gt;</v>
      </c>
      <c r="AD202" t="str">
        <f t="shared" si="54"/>
        <v>&lt;Valeur name="description"&gt;CB 454106 GERSTEP     59WASQUEHA&lt;/Valeur&gt;</v>
      </c>
      <c r="AE202" t="str">
        <f t="shared" si="55"/>
        <v>&lt;Valeur name="valeur"&gt;7.4&lt;/Valeur&gt;</v>
      </c>
      <c r="AF202" t="str">
        <f t="shared" si="56"/>
        <v>&lt;Valeur name="compta"&gt;1&lt;/Valeur&gt;</v>
      </c>
      <c r="AG202" t="str">
        <f t="shared" si="57"/>
        <v>&lt;Valeur name="tvapct"&gt;20&lt;/Valeur&gt;</v>
      </c>
      <c r="AH202" t="str">
        <f t="shared" si="58"/>
        <v>&lt;Valeur name="tva"&gt;1.23333333333333&lt;/Valeur&gt;</v>
      </c>
      <c r="AL202" t="str">
        <f t="shared" si="59"/>
        <v>&lt;Insert&gt;&lt;Valeur name="no"&gt;201&lt;/Valeur&gt;&lt;Valeur name="ecriturebanque"&gt;185&lt;/Valeur&gt;&lt;Valeur name="datevaleur"&gt;2019/04/01&lt;/Valeur&gt;&lt;Valeur name="compte"&gt;27&lt;/Valeur&gt;&lt;Valeur name="description"&gt;CB 454106 GERSTEP     59WASQUEHA&lt;/Valeur&gt;&lt;Valeur name="valeur"&gt;7.4&lt;/Valeur&gt;&lt;Valeur name="compta"&gt;1&lt;/Valeur&gt;&lt;Valeur name="tvapct"&gt;20&lt;/Valeur&gt;&lt;Valeur name="tva"&gt;1.23333333333333&lt;/Valeur&gt;&lt;/Insert&gt;</v>
      </c>
    </row>
    <row r="203" spans="1:38" x14ac:dyDescent="0.25">
      <c r="A203">
        <v>186</v>
      </c>
      <c r="B203">
        <f>IF(A203&lt;&gt;"",VLOOKUP(A203,Banque!B:D,3,FALSE),1)</f>
        <v>1</v>
      </c>
      <c r="C203" s="1">
        <v>43556</v>
      </c>
      <c r="D203" t="s">
        <v>287</v>
      </c>
      <c r="E203" t="s">
        <v>153</v>
      </c>
      <c r="F203" t="s">
        <v>417</v>
      </c>
      <c r="H203" s="10">
        <v>1100</v>
      </c>
      <c r="I203" s="11">
        <f t="shared" si="45"/>
        <v>-183.33333333333326</v>
      </c>
      <c r="K203">
        <v>202</v>
      </c>
      <c r="L203">
        <v>186</v>
      </c>
      <c r="M203" s="16" t="s">
        <v>907</v>
      </c>
      <c r="N203">
        <f>IFERROR(VLOOKUP(D203,tab!A:B,2,FALSE),1)</f>
        <v>132</v>
      </c>
      <c r="O203" t="str">
        <f t="shared" si="46"/>
        <v>VIR DRFIP ILE DE FRANCE ET D / 087402054 TPEJ TPE-JA04068122740</v>
      </c>
      <c r="P203" s="14">
        <f t="shared" si="47"/>
        <v>1100</v>
      </c>
      <c r="Q203" s="14">
        <f t="shared" si="48"/>
        <v>1</v>
      </c>
      <c r="R203" s="14">
        <v>20</v>
      </c>
      <c r="S203" s="14">
        <f t="shared" si="49"/>
        <v>-183.33333333333326</v>
      </c>
      <c r="Z203" t="str">
        <f t="shared" si="50"/>
        <v>&lt;Valeur name="no"&gt;202&lt;/Valeur&gt;</v>
      </c>
      <c r="AA203" t="str">
        <f t="shared" si="51"/>
        <v>&lt;Valeur name="ecriturebanque"&gt;186&lt;/Valeur&gt;</v>
      </c>
      <c r="AB203" t="str">
        <f t="shared" si="52"/>
        <v>&lt;Valeur name="datevaleur"&gt;2019/04/01&lt;/Valeur&gt;</v>
      </c>
      <c r="AC203" t="str">
        <f t="shared" si="53"/>
        <v>&lt;Valeur name="compte"&gt;132&lt;/Valeur&gt;</v>
      </c>
      <c r="AD203" t="str">
        <f t="shared" si="54"/>
        <v>&lt;Valeur name="description"&gt;VIR DRFIP ILE DE FRANCE ET D / 087402054 TPEJ TPE-JA04068122740&lt;/Valeur&gt;</v>
      </c>
      <c r="AE203" t="str">
        <f t="shared" si="55"/>
        <v>&lt;Valeur name="valeur"&gt;1100&lt;/Valeur&gt;</v>
      </c>
      <c r="AF203" t="str">
        <f t="shared" si="56"/>
        <v>&lt;Valeur name="compta"&gt;1&lt;/Valeur&gt;</v>
      </c>
      <c r="AG203" t="str">
        <f t="shared" si="57"/>
        <v>&lt;Valeur name="tvapct"&gt;20&lt;/Valeur&gt;</v>
      </c>
      <c r="AH203" t="str">
        <f t="shared" si="58"/>
        <v>&lt;Valeur name="tva"&gt;-183.333333333333&lt;/Valeur&gt;</v>
      </c>
      <c r="AL203" t="str">
        <f t="shared" si="59"/>
        <v>&lt;Insert&gt;&lt;Valeur name="no"&gt;202&lt;/Valeur&gt;&lt;Valeur name="ecriturebanque"&gt;186&lt;/Valeur&gt;&lt;Valeur name="datevaleur"&gt;2019/04/01&lt;/Valeur&gt;&lt;Valeur name="compte"&gt;132&lt;/Valeur&gt;&lt;Valeur name="description"&gt;VIR DRFIP ILE DE FRANCE ET D / 087402054 TPEJ TPE-JA04068122740&lt;/Valeur&gt;&lt;Valeur name="valeur"&gt;1100&lt;/Valeur&gt;&lt;Valeur name="compta"&gt;1&lt;/Valeur&gt;&lt;Valeur name="tvapct"&gt;20&lt;/Valeur&gt;&lt;Valeur name="tva"&gt;-183.333333333333&lt;/Valeur&gt;&lt;/Insert&gt;</v>
      </c>
    </row>
    <row r="204" spans="1:38" x14ac:dyDescent="0.25">
      <c r="A204">
        <v>187</v>
      </c>
      <c r="B204">
        <f>IF(A204&lt;&gt;"",VLOOKUP(A204,Banque!B:D,3,FALSE),1)</f>
        <v>1</v>
      </c>
      <c r="C204" s="1">
        <v>43556</v>
      </c>
      <c r="D204" t="s">
        <v>257</v>
      </c>
      <c r="E204" t="s">
        <v>419</v>
      </c>
      <c r="G204" s="10">
        <v>59</v>
      </c>
      <c r="I204" s="11">
        <f t="shared" si="45"/>
        <v>9.8333333333333286</v>
      </c>
      <c r="K204">
        <v>203</v>
      </c>
      <c r="L204">
        <v>187</v>
      </c>
      <c r="M204" s="16" t="s">
        <v>907</v>
      </c>
      <c r="N204">
        <f>IFERROR(VLOOKUP(D204,tab!A:B,2,FALSE),1)</f>
        <v>18</v>
      </c>
      <c r="O204" t="str">
        <f t="shared" si="46"/>
        <v>OPERATION SUR CAUTION</v>
      </c>
      <c r="P204" s="14">
        <f t="shared" si="47"/>
        <v>59</v>
      </c>
      <c r="Q204" s="14">
        <f t="shared" si="48"/>
        <v>1</v>
      </c>
      <c r="R204" s="14">
        <v>20</v>
      </c>
      <c r="S204" s="14">
        <f t="shared" si="49"/>
        <v>9.8333333333333286</v>
      </c>
      <c r="Z204" t="str">
        <f t="shared" si="50"/>
        <v>&lt;Valeur name="no"&gt;203&lt;/Valeur&gt;</v>
      </c>
      <c r="AA204" t="str">
        <f t="shared" si="51"/>
        <v>&lt;Valeur name="ecriturebanque"&gt;187&lt;/Valeur&gt;</v>
      </c>
      <c r="AB204" t="str">
        <f t="shared" si="52"/>
        <v>&lt;Valeur name="datevaleur"&gt;2019/04/01&lt;/Valeur&gt;</v>
      </c>
      <c r="AC204" t="str">
        <f t="shared" si="53"/>
        <v>&lt;Valeur name="compte"&gt;18&lt;/Valeur&gt;</v>
      </c>
      <c r="AD204" t="str">
        <f t="shared" si="54"/>
        <v>&lt;Valeur name="description"&gt;OPERATION SUR CAUTION&lt;/Valeur&gt;</v>
      </c>
      <c r="AE204" t="str">
        <f t="shared" si="55"/>
        <v>&lt;Valeur name="valeur"&gt;59&lt;/Valeur&gt;</v>
      </c>
      <c r="AF204" t="str">
        <f t="shared" si="56"/>
        <v>&lt;Valeur name="compta"&gt;1&lt;/Valeur&gt;</v>
      </c>
      <c r="AG204" t="str">
        <f t="shared" si="57"/>
        <v>&lt;Valeur name="tvapct"&gt;20&lt;/Valeur&gt;</v>
      </c>
      <c r="AH204" t="str">
        <f t="shared" si="58"/>
        <v>&lt;Valeur name="tva"&gt;9.83333333333333&lt;/Valeur&gt;</v>
      </c>
      <c r="AL204" t="str">
        <f t="shared" si="59"/>
        <v>&lt;Insert&gt;&lt;Valeur name="no"&gt;203&lt;/Valeur&gt;&lt;Valeur name="ecriturebanque"&gt;187&lt;/Valeur&gt;&lt;Valeur name="datevaleur"&gt;2019/04/01&lt;/Valeur&gt;&lt;Valeur name="compte"&gt;18&lt;/Valeur&gt;&lt;Valeur name="description"&gt;OPERATION SUR CAUTION&lt;/Valeur&gt;&lt;Valeur name="valeur"&gt;59&lt;/Valeur&gt;&lt;Valeur name="compta"&gt;1&lt;/Valeur&gt;&lt;Valeur name="tvapct"&gt;20&lt;/Valeur&gt;&lt;Valeur name="tva"&gt;9.83333333333333&lt;/Valeur&gt;&lt;/Insert&gt;</v>
      </c>
    </row>
    <row r="205" spans="1:38" x14ac:dyDescent="0.25">
      <c r="A205">
        <v>188</v>
      </c>
      <c r="B205">
        <f>IF(A205&lt;&gt;"",VLOOKUP(A205,Banque!B:D,3,FALSE),1)</f>
        <v>1</v>
      </c>
      <c r="C205" s="1">
        <v>43557</v>
      </c>
      <c r="D205" t="s">
        <v>424</v>
      </c>
      <c r="E205" t="s">
        <v>421</v>
      </c>
      <c r="F205" t="s">
        <v>422</v>
      </c>
      <c r="G205" s="10">
        <v>590.44000000000005</v>
      </c>
      <c r="I205" s="11">
        <f t="shared" si="45"/>
        <v>98.406666666666638</v>
      </c>
      <c r="K205">
        <v>204</v>
      </c>
      <c r="L205">
        <v>188</v>
      </c>
      <c r="M205" s="16" t="s">
        <v>968</v>
      </c>
      <c r="N205">
        <f>IFERROR(VLOOKUP(D205,tab!A:B,2,FALSE),1)</f>
        <v>109</v>
      </c>
      <c r="O205" t="str">
        <f t="shared" si="46"/>
        <v>PRLV SEPA LEASECOM / LP2728359/218L87051, date echean</v>
      </c>
      <c r="P205" s="14">
        <f t="shared" si="47"/>
        <v>590.44000000000005</v>
      </c>
      <c r="Q205" s="14">
        <f t="shared" si="48"/>
        <v>1</v>
      </c>
      <c r="R205" s="14">
        <v>20</v>
      </c>
      <c r="S205" s="14">
        <f t="shared" si="49"/>
        <v>98.406666666666638</v>
      </c>
      <c r="Z205" t="str">
        <f t="shared" si="50"/>
        <v>&lt;Valeur name="no"&gt;204&lt;/Valeur&gt;</v>
      </c>
      <c r="AA205" t="str">
        <f t="shared" si="51"/>
        <v>&lt;Valeur name="ecriturebanque"&gt;188&lt;/Valeur&gt;</v>
      </c>
      <c r="AB205" t="str">
        <f t="shared" si="52"/>
        <v>&lt;Valeur name="datevaleur"&gt;2019/04/02&lt;/Valeur&gt;</v>
      </c>
      <c r="AC205" t="str">
        <f t="shared" si="53"/>
        <v>&lt;Valeur name="compte"&gt;109&lt;/Valeur&gt;</v>
      </c>
      <c r="AD205" t="str">
        <f t="shared" si="54"/>
        <v>&lt;Valeur name="description"&gt;PRLV SEPA LEASECOM / LP2728359/218L87051, date echean&lt;/Valeur&gt;</v>
      </c>
      <c r="AE205" t="str">
        <f t="shared" si="55"/>
        <v>&lt;Valeur name="valeur"&gt;590.44&lt;/Valeur&gt;</v>
      </c>
      <c r="AF205" t="str">
        <f t="shared" si="56"/>
        <v>&lt;Valeur name="compta"&gt;1&lt;/Valeur&gt;</v>
      </c>
      <c r="AG205" t="str">
        <f t="shared" si="57"/>
        <v>&lt;Valeur name="tvapct"&gt;20&lt;/Valeur&gt;</v>
      </c>
      <c r="AH205" t="str">
        <f t="shared" si="58"/>
        <v>&lt;Valeur name="tva"&gt;98.4066666666666&lt;/Valeur&gt;</v>
      </c>
      <c r="AL205" t="str">
        <f t="shared" si="59"/>
        <v>&lt;Insert&gt;&lt;Valeur name="no"&gt;204&lt;/Valeur&gt;&lt;Valeur name="ecriturebanque"&gt;188&lt;/Valeur&gt;&lt;Valeur name="datevaleur"&gt;2019/04/02&lt;/Valeur&gt;&lt;Valeur name="compte"&gt;109&lt;/Valeur&gt;&lt;Valeur name="description"&gt;PRLV SEPA LEASECOM / LP2728359/218L87051, date echean&lt;/Valeur&gt;&lt;Valeur name="valeur"&gt;590.44&lt;/Valeur&gt;&lt;Valeur name="compta"&gt;1&lt;/Valeur&gt;&lt;Valeur name="tvapct"&gt;20&lt;/Valeur&gt;&lt;Valeur name="tva"&gt;98.4066666666666&lt;/Valeur&gt;&lt;/Insert&gt;</v>
      </c>
    </row>
    <row r="206" spans="1:38" x14ac:dyDescent="0.25">
      <c r="A206">
        <v>189</v>
      </c>
      <c r="B206">
        <f>IF(A206&lt;&gt;"",VLOOKUP(A206,Banque!B:D,3,FALSE),1)</f>
        <v>1</v>
      </c>
      <c r="C206" s="1">
        <v>43556</v>
      </c>
      <c r="D206" t="s">
        <v>256</v>
      </c>
      <c r="E206" t="s">
        <v>441</v>
      </c>
      <c r="G206" s="10">
        <v>1600.95</v>
      </c>
      <c r="I206" s="11">
        <f t="shared" si="45"/>
        <v>266.82500000000005</v>
      </c>
      <c r="K206">
        <v>205</v>
      </c>
      <c r="L206">
        <v>189</v>
      </c>
      <c r="M206" s="16" t="s">
        <v>907</v>
      </c>
      <c r="N206">
        <f>IFERROR(VLOOKUP(D206,tab!A:B,2,FALSE),1)</f>
        <v>28</v>
      </c>
      <c r="O206" t="str">
        <f t="shared" si="46"/>
        <v>E-VIR SEPA Salaire Etienne 03/20</v>
      </c>
      <c r="P206" s="14">
        <f t="shared" si="47"/>
        <v>1600.95</v>
      </c>
      <c r="Q206" s="14">
        <f t="shared" si="48"/>
        <v>1</v>
      </c>
      <c r="R206" s="14">
        <v>20</v>
      </c>
      <c r="S206" s="14">
        <f t="shared" si="49"/>
        <v>266.82500000000005</v>
      </c>
      <c r="Z206" t="str">
        <f t="shared" si="50"/>
        <v>&lt;Valeur name="no"&gt;205&lt;/Valeur&gt;</v>
      </c>
      <c r="AA206" t="str">
        <f t="shared" si="51"/>
        <v>&lt;Valeur name="ecriturebanque"&gt;189&lt;/Valeur&gt;</v>
      </c>
      <c r="AB206" t="str">
        <f t="shared" si="52"/>
        <v>&lt;Valeur name="datevaleur"&gt;2019/04/01&lt;/Valeur&gt;</v>
      </c>
      <c r="AC206" t="str">
        <f t="shared" si="53"/>
        <v>&lt;Valeur name="compte"&gt;28&lt;/Valeur&gt;</v>
      </c>
      <c r="AD206" t="str">
        <f t="shared" si="54"/>
        <v>&lt;Valeur name="description"&gt;E-VIR SEPA Salaire Etienne 03/20&lt;/Valeur&gt;</v>
      </c>
      <c r="AE206" t="str">
        <f t="shared" si="55"/>
        <v>&lt;Valeur name="valeur"&gt;1600.95&lt;/Valeur&gt;</v>
      </c>
      <c r="AF206" t="str">
        <f t="shared" si="56"/>
        <v>&lt;Valeur name="compta"&gt;1&lt;/Valeur&gt;</v>
      </c>
      <c r="AG206" t="str">
        <f t="shared" si="57"/>
        <v>&lt;Valeur name="tvapct"&gt;20&lt;/Valeur&gt;</v>
      </c>
      <c r="AH206" t="str">
        <f t="shared" si="58"/>
        <v>&lt;Valeur name="tva"&gt;266.825&lt;/Valeur&gt;</v>
      </c>
      <c r="AL206" t="str">
        <f t="shared" si="59"/>
        <v>&lt;Insert&gt;&lt;Valeur name="no"&gt;205&lt;/Valeur&gt;&lt;Valeur name="ecriturebanque"&gt;189&lt;/Valeur&gt;&lt;Valeur name="datevaleur"&gt;2019/04/01&lt;/Valeur&gt;&lt;Valeur name="compte"&gt;28&lt;/Valeur&gt;&lt;Valeur name="description"&gt;E-VIR SEPA Salaire Etienne 03/20&lt;/Valeur&gt;&lt;Valeur name="valeur"&gt;1600.95&lt;/Valeur&gt;&lt;Valeur name="compta"&gt;1&lt;/Valeur&gt;&lt;Valeur name="tvapct"&gt;20&lt;/Valeur&gt;&lt;Valeur name="tva"&gt;266.825&lt;/Valeur&gt;&lt;/Insert&gt;</v>
      </c>
    </row>
    <row r="207" spans="1:38" x14ac:dyDescent="0.25">
      <c r="A207">
        <v>190</v>
      </c>
      <c r="B207">
        <f>IF(A207&lt;&gt;"",VLOOKUP(A207,Banque!B:D,3,FALSE),1)</f>
        <v>0</v>
      </c>
      <c r="C207" s="1">
        <v>43556</v>
      </c>
      <c r="D207" t="s">
        <v>300</v>
      </c>
      <c r="E207" t="s">
        <v>443</v>
      </c>
      <c r="G207" s="10">
        <v>310.3</v>
      </c>
      <c r="I207" s="11">
        <f t="shared" si="45"/>
        <v>51.71666666666664</v>
      </c>
      <c r="K207">
        <v>206</v>
      </c>
      <c r="L207">
        <v>190</v>
      </c>
      <c r="M207" s="16" t="s">
        <v>907</v>
      </c>
      <c r="N207">
        <f>IFERROR(VLOOKUP(D207,tab!A:B,2,FALSE),1)</f>
        <v>107</v>
      </c>
      <c r="O207" t="str">
        <f t="shared" si="46"/>
        <v>E-VIR SEPA Siligom Berlingo 1950</v>
      </c>
      <c r="P207" s="14">
        <f t="shared" si="47"/>
        <v>310.3</v>
      </c>
      <c r="Q207" s="14">
        <f t="shared" si="48"/>
        <v>0</v>
      </c>
      <c r="R207" s="14">
        <v>20</v>
      </c>
      <c r="S207" s="14">
        <f t="shared" si="49"/>
        <v>51.71666666666664</v>
      </c>
      <c r="Z207" t="str">
        <f t="shared" si="50"/>
        <v>&lt;Valeur name="no"&gt;206&lt;/Valeur&gt;</v>
      </c>
      <c r="AA207" t="str">
        <f t="shared" si="51"/>
        <v>&lt;Valeur name="ecriturebanque"&gt;190&lt;/Valeur&gt;</v>
      </c>
      <c r="AB207" t="str">
        <f t="shared" si="52"/>
        <v>&lt;Valeur name="datevaleur"&gt;2019/04/01&lt;/Valeur&gt;</v>
      </c>
      <c r="AC207" t="str">
        <f t="shared" si="53"/>
        <v>&lt;Valeur name="compte"&gt;107&lt;/Valeur&gt;</v>
      </c>
      <c r="AD207" t="str">
        <f t="shared" si="54"/>
        <v>&lt;Valeur name="description"&gt;E-VIR SEPA Siligom Berlingo 1950&lt;/Valeur&gt;</v>
      </c>
      <c r="AE207" t="str">
        <f t="shared" si="55"/>
        <v>&lt;Valeur name="valeur"&gt;310.3&lt;/Valeur&gt;</v>
      </c>
      <c r="AF207" t="str">
        <f t="shared" si="56"/>
        <v>&lt;Valeur name="compta"&gt;0&lt;/Valeur&gt;</v>
      </c>
      <c r="AG207" t="str">
        <f t="shared" si="57"/>
        <v>&lt;Valeur name="tvapct"&gt;20&lt;/Valeur&gt;</v>
      </c>
      <c r="AH207" t="str">
        <f t="shared" si="58"/>
        <v>&lt;Valeur name="tva"&gt;51.7166666666666&lt;/Valeur&gt;</v>
      </c>
      <c r="AL207" t="str">
        <f t="shared" si="59"/>
        <v>&lt;Insert&gt;&lt;Valeur name="no"&gt;206&lt;/Valeur&gt;&lt;Valeur name="ecriturebanque"&gt;190&lt;/Valeur&gt;&lt;Valeur name="datevaleur"&gt;2019/04/01&lt;/Valeur&gt;&lt;Valeur name="compte"&gt;107&lt;/Valeur&gt;&lt;Valeur name="description"&gt;E-VIR SEPA Siligom Berlingo 1950&lt;/Valeur&gt;&lt;Valeur name="valeur"&gt;310.3&lt;/Valeur&gt;&lt;Valeur name="compta"&gt;0&lt;/Valeur&gt;&lt;Valeur name="tvapct"&gt;20&lt;/Valeur&gt;&lt;Valeur name="tva"&gt;51.7166666666666&lt;/Valeur&gt;&lt;/Insert&gt;</v>
      </c>
    </row>
    <row r="208" spans="1:38" x14ac:dyDescent="0.25">
      <c r="A208">
        <v>191</v>
      </c>
      <c r="B208">
        <f>IF(A208&lt;&gt;"",VLOOKUP(A208,Banque!B:D,3,FALSE),1)</f>
        <v>0</v>
      </c>
      <c r="C208" s="1">
        <v>43556</v>
      </c>
      <c r="D208" t="s">
        <v>303</v>
      </c>
      <c r="E208" t="s">
        <v>445</v>
      </c>
      <c r="G208" s="10">
        <v>1169.4000000000001</v>
      </c>
      <c r="I208" s="11">
        <f t="shared" si="45"/>
        <v>194.89999999999998</v>
      </c>
      <c r="K208">
        <v>207</v>
      </c>
      <c r="L208">
        <v>191</v>
      </c>
      <c r="M208" s="16" t="s">
        <v>907</v>
      </c>
      <c r="N208">
        <f>IFERROR(VLOOKUP(D208,tab!A:B,2,FALSE),1)</f>
        <v>91</v>
      </c>
      <c r="O208" t="str">
        <f t="shared" si="46"/>
        <v>E-VIR SEPA Metaux Express Anor</v>
      </c>
      <c r="P208" s="14">
        <f t="shared" si="47"/>
        <v>1169.4000000000001</v>
      </c>
      <c r="Q208" s="14">
        <f t="shared" si="48"/>
        <v>0</v>
      </c>
      <c r="R208" s="14">
        <v>20</v>
      </c>
      <c r="S208" s="14">
        <f t="shared" si="49"/>
        <v>194.89999999999998</v>
      </c>
      <c r="Z208" t="str">
        <f t="shared" si="50"/>
        <v>&lt;Valeur name="no"&gt;207&lt;/Valeur&gt;</v>
      </c>
      <c r="AA208" t="str">
        <f t="shared" si="51"/>
        <v>&lt;Valeur name="ecriturebanque"&gt;191&lt;/Valeur&gt;</v>
      </c>
      <c r="AB208" t="str">
        <f t="shared" si="52"/>
        <v>&lt;Valeur name="datevaleur"&gt;2019/04/01&lt;/Valeur&gt;</v>
      </c>
      <c r="AC208" t="str">
        <f t="shared" si="53"/>
        <v>&lt;Valeur name="compte"&gt;91&lt;/Valeur&gt;</v>
      </c>
      <c r="AD208" t="str">
        <f t="shared" si="54"/>
        <v>&lt;Valeur name="description"&gt;E-VIR SEPA Metaux Express Anor&lt;/Valeur&gt;</v>
      </c>
      <c r="AE208" t="str">
        <f t="shared" si="55"/>
        <v>&lt;Valeur name="valeur"&gt;1169.4&lt;/Valeur&gt;</v>
      </c>
      <c r="AF208" t="str">
        <f t="shared" si="56"/>
        <v>&lt;Valeur name="compta"&gt;0&lt;/Valeur&gt;</v>
      </c>
      <c r="AG208" t="str">
        <f t="shared" si="57"/>
        <v>&lt;Valeur name="tvapct"&gt;20&lt;/Valeur&gt;</v>
      </c>
      <c r="AH208" t="str">
        <f t="shared" si="58"/>
        <v>&lt;Valeur name="tva"&gt;194.9&lt;/Valeur&gt;</v>
      </c>
      <c r="AL208" t="str">
        <f t="shared" si="59"/>
        <v>&lt;Insert&gt;&lt;Valeur name="no"&gt;207&lt;/Valeur&gt;&lt;Valeur name="ecriturebanque"&gt;191&lt;/Valeur&gt;&lt;Valeur name="datevaleur"&gt;2019/04/01&lt;/Valeur&gt;&lt;Valeur name="compte"&gt;91&lt;/Valeur&gt;&lt;Valeur name="description"&gt;E-VIR SEPA Metaux Express Anor&lt;/Valeur&gt;&lt;Valeur name="valeur"&gt;1169.4&lt;/Valeur&gt;&lt;Valeur name="compta"&gt;0&lt;/Valeur&gt;&lt;Valeur name="tvapct"&gt;20&lt;/Valeur&gt;&lt;Valeur name="tva"&gt;194.9&lt;/Valeur&gt;&lt;/Insert&gt;</v>
      </c>
    </row>
    <row r="209" spans="1:38" x14ac:dyDescent="0.25">
      <c r="A209">
        <v>192</v>
      </c>
      <c r="B209">
        <f>IF(A209&lt;&gt;"",VLOOKUP(A209,Banque!B:D,3,FALSE),1)</f>
        <v>0</v>
      </c>
      <c r="C209" s="1">
        <v>43556</v>
      </c>
      <c r="D209" t="s">
        <v>289</v>
      </c>
      <c r="E209" t="s">
        <v>447</v>
      </c>
      <c r="G209" s="10">
        <v>244.32</v>
      </c>
      <c r="I209" s="11">
        <f t="shared" si="45"/>
        <v>40.72</v>
      </c>
      <c r="K209">
        <v>208</v>
      </c>
      <c r="L209">
        <v>192</v>
      </c>
      <c r="M209" s="16" t="s">
        <v>907</v>
      </c>
      <c r="N209">
        <f>IFERROR(VLOOKUP(D209,tab!A:B,2,FALSE),1)</f>
        <v>57</v>
      </c>
      <c r="O209" t="str">
        <f t="shared" si="46"/>
        <v>E-VIR SEPA Dimatex Loc poste TIG</v>
      </c>
      <c r="P209" s="14">
        <f t="shared" si="47"/>
        <v>244.32</v>
      </c>
      <c r="Q209" s="14">
        <f t="shared" si="48"/>
        <v>0</v>
      </c>
      <c r="R209" s="14">
        <v>20</v>
      </c>
      <c r="S209" s="14">
        <f t="shared" si="49"/>
        <v>40.72</v>
      </c>
      <c r="Z209" t="str">
        <f t="shared" si="50"/>
        <v>&lt;Valeur name="no"&gt;208&lt;/Valeur&gt;</v>
      </c>
      <c r="AA209" t="str">
        <f t="shared" si="51"/>
        <v>&lt;Valeur name="ecriturebanque"&gt;192&lt;/Valeur&gt;</v>
      </c>
      <c r="AB209" t="str">
        <f t="shared" si="52"/>
        <v>&lt;Valeur name="datevaleur"&gt;2019/04/01&lt;/Valeur&gt;</v>
      </c>
      <c r="AC209" t="str">
        <f t="shared" si="53"/>
        <v>&lt;Valeur name="compte"&gt;57&lt;/Valeur&gt;</v>
      </c>
      <c r="AD209" t="str">
        <f t="shared" si="54"/>
        <v>&lt;Valeur name="description"&gt;E-VIR SEPA Dimatex Loc poste TIG&lt;/Valeur&gt;</v>
      </c>
      <c r="AE209" t="str">
        <f t="shared" si="55"/>
        <v>&lt;Valeur name="valeur"&gt;244.32&lt;/Valeur&gt;</v>
      </c>
      <c r="AF209" t="str">
        <f t="shared" si="56"/>
        <v>&lt;Valeur name="compta"&gt;0&lt;/Valeur&gt;</v>
      </c>
      <c r="AG209" t="str">
        <f t="shared" si="57"/>
        <v>&lt;Valeur name="tvapct"&gt;20&lt;/Valeur&gt;</v>
      </c>
      <c r="AH209" t="str">
        <f t="shared" si="58"/>
        <v>&lt;Valeur name="tva"&gt;40.72&lt;/Valeur&gt;</v>
      </c>
      <c r="AL209" t="str">
        <f t="shared" si="59"/>
        <v>&lt;Insert&gt;&lt;Valeur name="no"&gt;208&lt;/Valeur&gt;&lt;Valeur name="ecriturebanque"&gt;192&lt;/Valeur&gt;&lt;Valeur name="datevaleur"&gt;2019/04/01&lt;/Valeur&gt;&lt;Valeur name="compte"&gt;57&lt;/Valeur&gt;&lt;Valeur name="description"&gt;E-VIR SEPA Dimatex Loc poste TIG&lt;/Valeur&gt;&lt;Valeur name="valeur"&gt;244.32&lt;/Valeur&gt;&lt;Valeur name="compta"&gt;0&lt;/Valeur&gt;&lt;Valeur name="tvapct"&gt;20&lt;/Valeur&gt;&lt;Valeur name="tva"&gt;40.72&lt;/Valeur&gt;&lt;/Insert&gt;</v>
      </c>
    </row>
    <row r="210" spans="1:38" x14ac:dyDescent="0.25">
      <c r="A210">
        <v>193</v>
      </c>
      <c r="B210">
        <f>IF(A210&lt;&gt;"",VLOOKUP(A210,Banque!B:D,3,FALSE),1)</f>
        <v>0</v>
      </c>
      <c r="C210" s="1">
        <v>43556</v>
      </c>
      <c r="D210" t="s">
        <v>261</v>
      </c>
      <c r="E210" t="s">
        <v>449</v>
      </c>
      <c r="G210" s="10">
        <v>552</v>
      </c>
      <c r="I210" s="11">
        <f t="shared" si="45"/>
        <v>92</v>
      </c>
      <c r="K210">
        <v>209</v>
      </c>
      <c r="L210">
        <v>193</v>
      </c>
      <c r="M210" s="16" t="s">
        <v>907</v>
      </c>
      <c r="N210">
        <f>IFERROR(VLOOKUP(D210,tab!A:B,2,FALSE),1)</f>
        <v>53</v>
      </c>
      <c r="O210" t="str">
        <f t="shared" si="46"/>
        <v>E-VIR SEPA Dessenne Inox+Pied De</v>
      </c>
      <c r="P210" s="14">
        <f t="shared" si="47"/>
        <v>552</v>
      </c>
      <c r="Q210" s="14">
        <f t="shared" si="48"/>
        <v>0</v>
      </c>
      <c r="R210" s="14">
        <v>20</v>
      </c>
      <c r="S210" s="14">
        <f t="shared" si="49"/>
        <v>92</v>
      </c>
      <c r="Z210" t="str">
        <f t="shared" si="50"/>
        <v>&lt;Valeur name="no"&gt;209&lt;/Valeur&gt;</v>
      </c>
      <c r="AA210" t="str">
        <f t="shared" si="51"/>
        <v>&lt;Valeur name="ecriturebanque"&gt;193&lt;/Valeur&gt;</v>
      </c>
      <c r="AB210" t="str">
        <f t="shared" si="52"/>
        <v>&lt;Valeur name="datevaleur"&gt;2019/04/01&lt;/Valeur&gt;</v>
      </c>
      <c r="AC210" t="str">
        <f t="shared" si="53"/>
        <v>&lt;Valeur name="compte"&gt;53&lt;/Valeur&gt;</v>
      </c>
      <c r="AD210" t="str">
        <f t="shared" si="54"/>
        <v>&lt;Valeur name="description"&gt;E-VIR SEPA Dessenne Inox+Pied De&lt;/Valeur&gt;</v>
      </c>
      <c r="AE210" t="str">
        <f t="shared" si="55"/>
        <v>&lt;Valeur name="valeur"&gt;552&lt;/Valeur&gt;</v>
      </c>
      <c r="AF210" t="str">
        <f t="shared" si="56"/>
        <v>&lt;Valeur name="compta"&gt;0&lt;/Valeur&gt;</v>
      </c>
      <c r="AG210" t="str">
        <f t="shared" si="57"/>
        <v>&lt;Valeur name="tvapct"&gt;20&lt;/Valeur&gt;</v>
      </c>
      <c r="AH210" t="str">
        <f t="shared" si="58"/>
        <v>&lt;Valeur name="tva"&gt;92&lt;/Valeur&gt;</v>
      </c>
      <c r="AL210" t="str">
        <f t="shared" si="59"/>
        <v>&lt;Insert&gt;&lt;Valeur name="no"&gt;209&lt;/Valeur&gt;&lt;Valeur name="ecriturebanque"&gt;193&lt;/Valeur&gt;&lt;Valeur name="datevaleur"&gt;2019/04/01&lt;/Valeur&gt;&lt;Valeur name="compte"&gt;53&lt;/Valeur&gt;&lt;Valeur name="description"&gt;E-VIR SEPA Dessenne Inox+Pied De&lt;/Valeur&gt;&lt;Valeur name="valeur"&gt;552&lt;/Valeur&gt;&lt;Valeur name="compta"&gt;0&lt;/Valeur&gt;&lt;Valeur name="tvapct"&gt;20&lt;/Valeur&gt;&lt;Valeur name="tva"&gt;92&lt;/Valeur&gt;&lt;/Insert&gt;</v>
      </c>
    </row>
    <row r="211" spans="1:38" x14ac:dyDescent="0.25">
      <c r="A211">
        <v>194</v>
      </c>
      <c r="B211">
        <f>IF(A211&lt;&gt;"",VLOOKUP(A211,Banque!B:D,3,FALSE),1)</f>
        <v>0</v>
      </c>
      <c r="C211" s="1">
        <v>43556</v>
      </c>
      <c r="D211" t="s">
        <v>289</v>
      </c>
      <c r="E211" t="s">
        <v>451</v>
      </c>
      <c r="G211" s="10">
        <v>81.599999999999994</v>
      </c>
      <c r="I211" s="11">
        <f t="shared" si="45"/>
        <v>13.599999999999994</v>
      </c>
      <c r="K211">
        <v>210</v>
      </c>
      <c r="L211">
        <v>194</v>
      </c>
      <c r="M211" s="16" t="s">
        <v>907</v>
      </c>
      <c r="N211">
        <f>IFERROR(VLOOKUP(D211,tab!A:B,2,FALSE),1)</f>
        <v>57</v>
      </c>
      <c r="O211" t="str">
        <f t="shared" si="46"/>
        <v>E-VIR SEPA Dimatex fournitures</v>
      </c>
      <c r="P211" s="14">
        <f t="shared" si="47"/>
        <v>81.599999999999994</v>
      </c>
      <c r="Q211" s="14">
        <f t="shared" si="48"/>
        <v>0</v>
      </c>
      <c r="R211" s="14">
        <v>20</v>
      </c>
      <c r="S211" s="14">
        <f t="shared" si="49"/>
        <v>13.599999999999994</v>
      </c>
      <c r="Z211" t="str">
        <f t="shared" si="50"/>
        <v>&lt;Valeur name="no"&gt;210&lt;/Valeur&gt;</v>
      </c>
      <c r="AA211" t="str">
        <f t="shared" si="51"/>
        <v>&lt;Valeur name="ecriturebanque"&gt;194&lt;/Valeur&gt;</v>
      </c>
      <c r="AB211" t="str">
        <f t="shared" si="52"/>
        <v>&lt;Valeur name="datevaleur"&gt;2019/04/01&lt;/Valeur&gt;</v>
      </c>
      <c r="AC211" t="str">
        <f t="shared" si="53"/>
        <v>&lt;Valeur name="compte"&gt;57&lt;/Valeur&gt;</v>
      </c>
      <c r="AD211" t="str">
        <f t="shared" si="54"/>
        <v>&lt;Valeur name="description"&gt;E-VIR SEPA Dimatex fournitures&lt;/Valeur&gt;</v>
      </c>
      <c r="AE211" t="str">
        <f t="shared" si="55"/>
        <v>&lt;Valeur name="valeur"&gt;81.6&lt;/Valeur&gt;</v>
      </c>
      <c r="AF211" t="str">
        <f t="shared" si="56"/>
        <v>&lt;Valeur name="compta"&gt;0&lt;/Valeur&gt;</v>
      </c>
      <c r="AG211" t="str">
        <f t="shared" si="57"/>
        <v>&lt;Valeur name="tvapct"&gt;20&lt;/Valeur&gt;</v>
      </c>
      <c r="AH211" t="str">
        <f t="shared" si="58"/>
        <v>&lt;Valeur name="tva"&gt;13.6&lt;/Valeur&gt;</v>
      </c>
      <c r="AL211" t="str">
        <f t="shared" si="59"/>
        <v>&lt;Insert&gt;&lt;Valeur name="no"&gt;210&lt;/Valeur&gt;&lt;Valeur name="ecriturebanque"&gt;194&lt;/Valeur&gt;&lt;Valeur name="datevaleur"&gt;2019/04/01&lt;/Valeur&gt;&lt;Valeur name="compte"&gt;57&lt;/Valeur&gt;&lt;Valeur name="description"&gt;E-VIR SEPA Dimatex fournitures&lt;/Valeur&gt;&lt;Valeur name="valeur"&gt;81.6&lt;/Valeur&gt;&lt;Valeur name="compta"&gt;0&lt;/Valeur&gt;&lt;Valeur name="tvapct"&gt;20&lt;/Valeur&gt;&lt;Valeur name="tva"&gt;13.6&lt;/Valeur&gt;&lt;/Insert&gt;</v>
      </c>
    </row>
    <row r="212" spans="1:38" x14ac:dyDescent="0.25">
      <c r="A212">
        <v>195</v>
      </c>
      <c r="B212">
        <f>IF(A212&lt;&gt;"",VLOOKUP(A212,Banque!B:D,3,FALSE),1)</f>
        <v>0</v>
      </c>
      <c r="C212" s="1">
        <v>43556</v>
      </c>
      <c r="D212" t="s">
        <v>261</v>
      </c>
      <c r="E212" t="s">
        <v>453</v>
      </c>
      <c r="G212" s="10">
        <v>1020</v>
      </c>
      <c r="I212" s="11">
        <f t="shared" si="45"/>
        <v>170</v>
      </c>
      <c r="K212">
        <v>211</v>
      </c>
      <c r="L212">
        <v>195</v>
      </c>
      <c r="M212" s="16" t="s">
        <v>907</v>
      </c>
      <c r="N212">
        <f>IFERROR(VLOOKUP(D212,tab!A:B,2,FALSE),1)</f>
        <v>53</v>
      </c>
      <c r="O212" t="str">
        <f t="shared" si="46"/>
        <v>E-VIR SEPA Dessenne Tableau Vell</v>
      </c>
      <c r="P212" s="14">
        <f t="shared" si="47"/>
        <v>1020</v>
      </c>
      <c r="Q212" s="14">
        <f t="shared" si="48"/>
        <v>0</v>
      </c>
      <c r="R212" s="14">
        <v>20</v>
      </c>
      <c r="S212" s="14">
        <f t="shared" si="49"/>
        <v>170</v>
      </c>
      <c r="Z212" t="str">
        <f t="shared" si="50"/>
        <v>&lt;Valeur name="no"&gt;211&lt;/Valeur&gt;</v>
      </c>
      <c r="AA212" t="str">
        <f t="shared" si="51"/>
        <v>&lt;Valeur name="ecriturebanque"&gt;195&lt;/Valeur&gt;</v>
      </c>
      <c r="AB212" t="str">
        <f t="shared" si="52"/>
        <v>&lt;Valeur name="datevaleur"&gt;2019/04/01&lt;/Valeur&gt;</v>
      </c>
      <c r="AC212" t="str">
        <f t="shared" si="53"/>
        <v>&lt;Valeur name="compte"&gt;53&lt;/Valeur&gt;</v>
      </c>
      <c r="AD212" t="str">
        <f t="shared" si="54"/>
        <v>&lt;Valeur name="description"&gt;E-VIR SEPA Dessenne Tableau Vell&lt;/Valeur&gt;</v>
      </c>
      <c r="AE212" t="str">
        <f t="shared" si="55"/>
        <v>&lt;Valeur name="valeur"&gt;1020&lt;/Valeur&gt;</v>
      </c>
      <c r="AF212" t="str">
        <f t="shared" si="56"/>
        <v>&lt;Valeur name="compta"&gt;0&lt;/Valeur&gt;</v>
      </c>
      <c r="AG212" t="str">
        <f t="shared" si="57"/>
        <v>&lt;Valeur name="tvapct"&gt;20&lt;/Valeur&gt;</v>
      </c>
      <c r="AH212" t="str">
        <f t="shared" si="58"/>
        <v>&lt;Valeur name="tva"&gt;170&lt;/Valeur&gt;</v>
      </c>
      <c r="AL212" t="str">
        <f t="shared" si="59"/>
        <v>&lt;Insert&gt;&lt;Valeur name="no"&gt;211&lt;/Valeur&gt;&lt;Valeur name="ecriturebanque"&gt;195&lt;/Valeur&gt;&lt;Valeur name="datevaleur"&gt;2019/04/01&lt;/Valeur&gt;&lt;Valeur name="compte"&gt;53&lt;/Valeur&gt;&lt;Valeur name="description"&gt;E-VIR SEPA Dessenne Tableau Vell&lt;/Valeur&gt;&lt;Valeur name="valeur"&gt;1020&lt;/Valeur&gt;&lt;Valeur name="compta"&gt;0&lt;/Valeur&gt;&lt;Valeur name="tvapct"&gt;20&lt;/Valeur&gt;&lt;Valeur name="tva"&gt;170&lt;/Valeur&gt;&lt;/Insert&gt;</v>
      </c>
    </row>
    <row r="213" spans="1:38" x14ac:dyDescent="0.25">
      <c r="A213">
        <v>196</v>
      </c>
      <c r="B213">
        <f>IF(A213&lt;&gt;"",VLOOKUP(A213,Banque!B:D,3,FALSE),1)</f>
        <v>0</v>
      </c>
      <c r="C213" s="1">
        <v>43557</v>
      </c>
      <c r="D213" t="s">
        <v>299</v>
      </c>
      <c r="E213" t="s">
        <v>455</v>
      </c>
      <c r="G213" s="10">
        <v>348</v>
      </c>
      <c r="I213" s="11">
        <f t="shared" si="45"/>
        <v>58</v>
      </c>
      <c r="K213">
        <v>212</v>
      </c>
      <c r="L213">
        <v>196</v>
      </c>
      <c r="M213" s="16" t="s">
        <v>968</v>
      </c>
      <c r="N213">
        <f>IFERROR(VLOOKUP(D213,tab!A:B,2,FALSE),1)</f>
        <v>51</v>
      </c>
      <c r="O213" t="str">
        <f t="shared" si="46"/>
        <v>E-VIR SEPA Dematis</v>
      </c>
      <c r="P213" s="14">
        <f t="shared" si="47"/>
        <v>348</v>
      </c>
      <c r="Q213" s="14">
        <f t="shared" si="48"/>
        <v>0</v>
      </c>
      <c r="R213" s="14">
        <v>20</v>
      </c>
      <c r="S213" s="14">
        <f t="shared" si="49"/>
        <v>58</v>
      </c>
      <c r="Z213" t="str">
        <f t="shared" si="50"/>
        <v>&lt;Valeur name="no"&gt;212&lt;/Valeur&gt;</v>
      </c>
      <c r="AA213" t="str">
        <f t="shared" si="51"/>
        <v>&lt;Valeur name="ecriturebanque"&gt;196&lt;/Valeur&gt;</v>
      </c>
      <c r="AB213" t="str">
        <f t="shared" si="52"/>
        <v>&lt;Valeur name="datevaleur"&gt;2019/04/02&lt;/Valeur&gt;</v>
      </c>
      <c r="AC213" t="str">
        <f t="shared" si="53"/>
        <v>&lt;Valeur name="compte"&gt;51&lt;/Valeur&gt;</v>
      </c>
      <c r="AD213" t="str">
        <f t="shared" si="54"/>
        <v>&lt;Valeur name="description"&gt;E-VIR SEPA Dematis&lt;/Valeur&gt;</v>
      </c>
      <c r="AE213" t="str">
        <f t="shared" si="55"/>
        <v>&lt;Valeur name="valeur"&gt;348&lt;/Valeur&gt;</v>
      </c>
      <c r="AF213" t="str">
        <f t="shared" si="56"/>
        <v>&lt;Valeur name="compta"&gt;0&lt;/Valeur&gt;</v>
      </c>
      <c r="AG213" t="str">
        <f t="shared" si="57"/>
        <v>&lt;Valeur name="tvapct"&gt;20&lt;/Valeur&gt;</v>
      </c>
      <c r="AH213" t="str">
        <f t="shared" si="58"/>
        <v>&lt;Valeur name="tva"&gt;58&lt;/Valeur&gt;</v>
      </c>
      <c r="AL213" t="str">
        <f t="shared" si="59"/>
        <v>&lt;Insert&gt;&lt;Valeur name="no"&gt;212&lt;/Valeur&gt;&lt;Valeur name="ecriturebanque"&gt;196&lt;/Valeur&gt;&lt;Valeur name="datevaleur"&gt;2019/04/02&lt;/Valeur&gt;&lt;Valeur name="compte"&gt;51&lt;/Valeur&gt;&lt;Valeur name="description"&gt;E-VIR SEPA Dematis&lt;/Valeur&gt;&lt;Valeur name="valeur"&gt;348&lt;/Valeur&gt;&lt;Valeur name="compta"&gt;0&lt;/Valeur&gt;&lt;Valeur name="tvapct"&gt;20&lt;/Valeur&gt;&lt;Valeur name="tva"&gt;58&lt;/Valeur&gt;&lt;/Insert&gt;</v>
      </c>
    </row>
    <row r="214" spans="1:38" x14ac:dyDescent="0.25">
      <c r="A214">
        <v>197</v>
      </c>
      <c r="B214">
        <f>IF(A214&lt;&gt;"",VLOOKUP(A214,Banque!B:D,3,FALSE),1)</f>
        <v>0</v>
      </c>
      <c r="C214" s="1">
        <v>43557</v>
      </c>
      <c r="D214" t="s">
        <v>301</v>
      </c>
      <c r="E214" t="s">
        <v>457</v>
      </c>
      <c r="G214" s="10">
        <v>360.91</v>
      </c>
      <c r="I214" s="11">
        <f t="shared" si="45"/>
        <v>60.151666666666642</v>
      </c>
      <c r="K214">
        <v>213</v>
      </c>
      <c r="L214">
        <v>197</v>
      </c>
      <c r="M214" s="16" t="s">
        <v>968</v>
      </c>
      <c r="N214">
        <f>IFERROR(VLOOKUP(D214,tab!A:B,2,FALSE),1)</f>
        <v>123</v>
      </c>
      <c r="O214" t="str">
        <f t="shared" si="46"/>
        <v>E-VIR SEPA Lefevre prorata Anor</v>
      </c>
      <c r="P214" s="14">
        <f t="shared" si="47"/>
        <v>360.91</v>
      </c>
      <c r="Q214" s="14">
        <f t="shared" si="48"/>
        <v>0</v>
      </c>
      <c r="R214" s="14">
        <v>20</v>
      </c>
      <c r="S214" s="14">
        <f t="shared" si="49"/>
        <v>60.151666666666642</v>
      </c>
      <c r="Z214" t="str">
        <f t="shared" si="50"/>
        <v>&lt;Valeur name="no"&gt;213&lt;/Valeur&gt;</v>
      </c>
      <c r="AA214" t="str">
        <f t="shared" si="51"/>
        <v>&lt;Valeur name="ecriturebanque"&gt;197&lt;/Valeur&gt;</v>
      </c>
      <c r="AB214" t="str">
        <f t="shared" si="52"/>
        <v>&lt;Valeur name="datevaleur"&gt;2019/04/02&lt;/Valeur&gt;</v>
      </c>
      <c r="AC214" t="str">
        <f t="shared" si="53"/>
        <v>&lt;Valeur name="compte"&gt;123&lt;/Valeur&gt;</v>
      </c>
      <c r="AD214" t="str">
        <f t="shared" si="54"/>
        <v>&lt;Valeur name="description"&gt;E-VIR SEPA Lefevre prorata Anor&lt;/Valeur&gt;</v>
      </c>
      <c r="AE214" t="str">
        <f t="shared" si="55"/>
        <v>&lt;Valeur name="valeur"&gt;360.91&lt;/Valeur&gt;</v>
      </c>
      <c r="AF214" t="str">
        <f t="shared" si="56"/>
        <v>&lt;Valeur name="compta"&gt;0&lt;/Valeur&gt;</v>
      </c>
      <c r="AG214" t="str">
        <f t="shared" si="57"/>
        <v>&lt;Valeur name="tvapct"&gt;20&lt;/Valeur&gt;</v>
      </c>
      <c r="AH214" t="str">
        <f t="shared" si="58"/>
        <v>&lt;Valeur name="tva"&gt;60.1516666666666&lt;/Valeur&gt;</v>
      </c>
      <c r="AL214" t="str">
        <f t="shared" si="59"/>
        <v>&lt;Insert&gt;&lt;Valeur name="no"&gt;213&lt;/Valeur&gt;&lt;Valeur name="ecriturebanque"&gt;197&lt;/Valeur&gt;&lt;Valeur name="datevaleur"&gt;2019/04/02&lt;/Valeur&gt;&lt;Valeur name="compte"&gt;123&lt;/Valeur&gt;&lt;Valeur name="description"&gt;E-VIR SEPA Lefevre prorata Anor&lt;/Valeur&gt;&lt;Valeur name="valeur"&gt;360.91&lt;/Valeur&gt;&lt;Valeur name="compta"&gt;0&lt;/Valeur&gt;&lt;Valeur name="tvapct"&gt;20&lt;/Valeur&gt;&lt;Valeur name="tva"&gt;60.1516666666666&lt;/Valeur&gt;&lt;/Insert&gt;</v>
      </c>
    </row>
    <row r="215" spans="1:38" x14ac:dyDescent="0.25">
      <c r="A215">
        <v>198</v>
      </c>
      <c r="B215">
        <f>IF(A215&lt;&gt;"",VLOOKUP(A215,Banque!B:D,3,FALSE),1)</f>
        <v>0</v>
      </c>
      <c r="C215" s="1">
        <v>43557</v>
      </c>
      <c r="D215" t="s">
        <v>283</v>
      </c>
      <c r="E215" t="s">
        <v>459</v>
      </c>
      <c r="G215" s="10">
        <v>86.87</v>
      </c>
      <c r="I215" s="11">
        <f t="shared" si="45"/>
        <v>14.478333333333325</v>
      </c>
      <c r="K215">
        <v>214</v>
      </c>
      <c r="L215">
        <v>198</v>
      </c>
      <c r="M215" s="16" t="s">
        <v>968</v>
      </c>
      <c r="N215">
        <f>IFERROR(VLOOKUP(D215,tab!A:B,2,FALSE),1)</f>
        <v>124</v>
      </c>
      <c r="O215" t="str">
        <f t="shared" si="46"/>
        <v>E-VIR SEPA Ramery prorata Arras</v>
      </c>
      <c r="P215" s="14">
        <f t="shared" si="47"/>
        <v>86.87</v>
      </c>
      <c r="Q215" s="14">
        <f t="shared" si="48"/>
        <v>0</v>
      </c>
      <c r="R215" s="14">
        <v>20</v>
      </c>
      <c r="S215" s="14">
        <f t="shared" si="49"/>
        <v>14.478333333333325</v>
      </c>
      <c r="Z215" t="str">
        <f t="shared" si="50"/>
        <v>&lt;Valeur name="no"&gt;214&lt;/Valeur&gt;</v>
      </c>
      <c r="AA215" t="str">
        <f t="shared" si="51"/>
        <v>&lt;Valeur name="ecriturebanque"&gt;198&lt;/Valeur&gt;</v>
      </c>
      <c r="AB215" t="str">
        <f t="shared" si="52"/>
        <v>&lt;Valeur name="datevaleur"&gt;2019/04/02&lt;/Valeur&gt;</v>
      </c>
      <c r="AC215" t="str">
        <f t="shared" si="53"/>
        <v>&lt;Valeur name="compte"&gt;124&lt;/Valeur&gt;</v>
      </c>
      <c r="AD215" t="str">
        <f t="shared" si="54"/>
        <v>&lt;Valeur name="description"&gt;E-VIR SEPA Ramery prorata Arras&lt;/Valeur&gt;</v>
      </c>
      <c r="AE215" t="str">
        <f t="shared" si="55"/>
        <v>&lt;Valeur name="valeur"&gt;86.87&lt;/Valeur&gt;</v>
      </c>
      <c r="AF215" t="str">
        <f t="shared" si="56"/>
        <v>&lt;Valeur name="compta"&gt;0&lt;/Valeur&gt;</v>
      </c>
      <c r="AG215" t="str">
        <f t="shared" si="57"/>
        <v>&lt;Valeur name="tvapct"&gt;20&lt;/Valeur&gt;</v>
      </c>
      <c r="AH215" t="str">
        <f t="shared" si="58"/>
        <v>&lt;Valeur name="tva"&gt;14.4783333333333&lt;/Valeur&gt;</v>
      </c>
      <c r="AL215" t="str">
        <f t="shared" si="59"/>
        <v>&lt;Insert&gt;&lt;Valeur name="no"&gt;214&lt;/Valeur&gt;&lt;Valeur name="ecriturebanque"&gt;198&lt;/Valeur&gt;&lt;Valeur name="datevaleur"&gt;2019/04/02&lt;/Valeur&gt;&lt;Valeur name="compte"&gt;124&lt;/Valeur&gt;&lt;Valeur name="description"&gt;E-VIR SEPA Ramery prorata Arras&lt;/Valeur&gt;&lt;Valeur name="valeur"&gt;86.87&lt;/Valeur&gt;&lt;Valeur name="compta"&gt;0&lt;/Valeur&gt;&lt;Valeur name="tvapct"&gt;20&lt;/Valeur&gt;&lt;Valeur name="tva"&gt;14.4783333333333&lt;/Valeur&gt;&lt;/Insert&gt;</v>
      </c>
    </row>
    <row r="216" spans="1:38" x14ac:dyDescent="0.25">
      <c r="A216">
        <v>199</v>
      </c>
      <c r="B216">
        <f>IF(A216&lt;&gt;"",VLOOKUP(A216,Banque!B:D,3,FALSE),1)</f>
        <v>1</v>
      </c>
      <c r="C216" s="1">
        <v>43557</v>
      </c>
      <c r="D216" t="s">
        <v>254</v>
      </c>
      <c r="E216" t="s">
        <v>461</v>
      </c>
      <c r="G216" s="10">
        <v>10.5</v>
      </c>
      <c r="I216" s="11">
        <f t="shared" si="45"/>
        <v>1.75</v>
      </c>
      <c r="K216">
        <v>215</v>
      </c>
      <c r="L216">
        <v>199</v>
      </c>
      <c r="M216" s="16" t="s">
        <v>968</v>
      </c>
      <c r="N216">
        <f>IFERROR(VLOOKUP(D216,tab!A:B,2,FALSE),1)</f>
        <v>27</v>
      </c>
      <c r="O216" t="str">
        <f t="shared" si="46"/>
        <v>CB 454106 BOULANGERIE 59FERRIERE</v>
      </c>
      <c r="P216" s="14">
        <f t="shared" si="47"/>
        <v>10.5</v>
      </c>
      <c r="Q216" s="14">
        <f t="shared" si="48"/>
        <v>1</v>
      </c>
      <c r="R216" s="14">
        <v>20</v>
      </c>
      <c r="S216" s="14">
        <f t="shared" si="49"/>
        <v>1.75</v>
      </c>
      <c r="Z216" t="str">
        <f t="shared" si="50"/>
        <v>&lt;Valeur name="no"&gt;215&lt;/Valeur&gt;</v>
      </c>
      <c r="AA216" t="str">
        <f t="shared" si="51"/>
        <v>&lt;Valeur name="ecriturebanque"&gt;199&lt;/Valeur&gt;</v>
      </c>
      <c r="AB216" t="str">
        <f t="shared" si="52"/>
        <v>&lt;Valeur name="datevaleur"&gt;2019/04/02&lt;/Valeur&gt;</v>
      </c>
      <c r="AC216" t="str">
        <f t="shared" si="53"/>
        <v>&lt;Valeur name="compte"&gt;27&lt;/Valeur&gt;</v>
      </c>
      <c r="AD216" t="str">
        <f t="shared" si="54"/>
        <v>&lt;Valeur name="description"&gt;CB 454106 BOULANGERIE 59FERRIERE&lt;/Valeur&gt;</v>
      </c>
      <c r="AE216" t="str">
        <f t="shared" si="55"/>
        <v>&lt;Valeur name="valeur"&gt;10.5&lt;/Valeur&gt;</v>
      </c>
      <c r="AF216" t="str">
        <f t="shared" si="56"/>
        <v>&lt;Valeur name="compta"&gt;1&lt;/Valeur&gt;</v>
      </c>
      <c r="AG216" t="str">
        <f t="shared" si="57"/>
        <v>&lt;Valeur name="tvapct"&gt;20&lt;/Valeur&gt;</v>
      </c>
      <c r="AH216" t="str">
        <f t="shared" si="58"/>
        <v>&lt;Valeur name="tva"&gt;1.75&lt;/Valeur&gt;</v>
      </c>
      <c r="AL216" t="str">
        <f t="shared" si="59"/>
        <v>&lt;Insert&gt;&lt;Valeur name="no"&gt;215&lt;/Valeur&gt;&lt;Valeur name="ecriturebanque"&gt;199&lt;/Valeur&gt;&lt;Valeur name="datevaleur"&gt;2019/04/02&lt;/Valeur&gt;&lt;Valeur name="compte"&gt;27&lt;/Valeur&gt;&lt;Valeur name="description"&gt;CB 454106 BOULANGERIE 59FERRIERE&lt;/Valeur&gt;&lt;Valeur name="valeur"&gt;10.5&lt;/Valeur&gt;&lt;Valeur name="compta"&gt;1&lt;/Valeur&gt;&lt;Valeur name="tvapct"&gt;20&lt;/Valeur&gt;&lt;Valeur name="tva"&gt;1.75&lt;/Valeur&gt;&lt;/Insert&gt;</v>
      </c>
    </row>
    <row r="217" spans="1:38" x14ac:dyDescent="0.25">
      <c r="A217">
        <v>200</v>
      </c>
      <c r="B217">
        <f>IF(A217&lt;&gt;"",VLOOKUP(A217,Banque!B:D,3,FALSE),1)</f>
        <v>1</v>
      </c>
      <c r="C217" s="1">
        <v>43557</v>
      </c>
      <c r="D217" t="s">
        <v>257</v>
      </c>
      <c r="E217" t="s">
        <v>31</v>
      </c>
      <c r="G217" s="10">
        <v>0.21</v>
      </c>
      <c r="I217" s="11">
        <f t="shared" si="45"/>
        <v>3.5000000000000003E-2</v>
      </c>
      <c r="K217">
        <v>216</v>
      </c>
      <c r="L217">
        <v>200</v>
      </c>
      <c r="M217" s="16" t="s">
        <v>968</v>
      </c>
      <c r="N217">
        <f>IFERROR(VLOOKUP(D217,tab!A:B,2,FALSE),1)</f>
        <v>18</v>
      </c>
      <c r="O217" t="str">
        <f t="shared" si="46"/>
        <v>FRAIS E-VIR SEPA VERS EEE</v>
      </c>
      <c r="P217" s="14">
        <f t="shared" si="47"/>
        <v>0.21</v>
      </c>
      <c r="Q217" s="14">
        <f t="shared" si="48"/>
        <v>1</v>
      </c>
      <c r="R217" s="14">
        <v>20</v>
      </c>
      <c r="S217" s="14">
        <f t="shared" si="49"/>
        <v>3.5000000000000003E-2</v>
      </c>
      <c r="Z217" t="str">
        <f t="shared" si="50"/>
        <v>&lt;Valeur name="no"&gt;216&lt;/Valeur&gt;</v>
      </c>
      <c r="AA217" t="str">
        <f t="shared" si="51"/>
        <v>&lt;Valeur name="ecriturebanque"&gt;200&lt;/Valeur&gt;</v>
      </c>
      <c r="AB217" t="str">
        <f t="shared" si="52"/>
        <v>&lt;Valeur name="datevaleur"&gt;2019/04/02&lt;/Valeur&gt;</v>
      </c>
      <c r="AC217" t="str">
        <f t="shared" si="53"/>
        <v>&lt;Valeur name="compte"&gt;18&lt;/Valeur&gt;</v>
      </c>
      <c r="AD217" t="str">
        <f t="shared" si="54"/>
        <v>&lt;Valeur name="description"&gt;FRAIS E-VIR SEPA VERS EEE&lt;/Valeur&gt;</v>
      </c>
      <c r="AE217" t="str">
        <f t="shared" si="55"/>
        <v>&lt;Valeur name="valeur"&gt;0.21&lt;/Valeur&gt;</v>
      </c>
      <c r="AF217" t="str">
        <f t="shared" si="56"/>
        <v>&lt;Valeur name="compta"&gt;1&lt;/Valeur&gt;</v>
      </c>
      <c r="AG217" t="str">
        <f t="shared" si="57"/>
        <v>&lt;Valeur name="tvapct"&gt;20&lt;/Valeur&gt;</v>
      </c>
      <c r="AH217" t="str">
        <f t="shared" si="58"/>
        <v>&lt;Valeur name="tva"&gt;0.035&lt;/Valeur&gt;</v>
      </c>
      <c r="AL217" t="str">
        <f t="shared" si="59"/>
        <v>&lt;Insert&gt;&lt;Valeur name="no"&gt;216&lt;/Valeur&gt;&lt;Valeur name="ecriturebanque"&gt;200&lt;/Valeur&gt;&lt;Valeur name="datevaleur"&gt;2019/04/02&lt;/Valeur&gt;&lt;Valeur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218" spans="1:38" x14ac:dyDescent="0.25">
      <c r="A218">
        <v>201</v>
      </c>
      <c r="B218">
        <f>IF(A218&lt;&gt;"",VLOOKUP(A218,Banque!B:D,3,FALSE),1)</f>
        <v>1</v>
      </c>
      <c r="C218" s="1">
        <v>43557</v>
      </c>
      <c r="D218" t="s">
        <v>257</v>
      </c>
      <c r="E218" t="s">
        <v>31</v>
      </c>
      <c r="G218" s="10">
        <v>0.21</v>
      </c>
      <c r="I218" s="11">
        <f t="shared" si="45"/>
        <v>3.5000000000000003E-2</v>
      </c>
      <c r="K218">
        <v>217</v>
      </c>
      <c r="L218">
        <v>201</v>
      </c>
      <c r="M218" s="16" t="s">
        <v>968</v>
      </c>
      <c r="N218">
        <f>IFERROR(VLOOKUP(D218,tab!A:B,2,FALSE),1)</f>
        <v>18</v>
      </c>
      <c r="O218" t="str">
        <f t="shared" si="46"/>
        <v>FRAIS E-VIR SEPA VERS EEE</v>
      </c>
      <c r="P218" s="14">
        <f t="shared" si="47"/>
        <v>0.21</v>
      </c>
      <c r="Q218" s="14">
        <f t="shared" si="48"/>
        <v>1</v>
      </c>
      <c r="R218" s="14">
        <v>20</v>
      </c>
      <c r="S218" s="14">
        <f t="shared" si="49"/>
        <v>3.5000000000000003E-2</v>
      </c>
      <c r="Z218" t="str">
        <f t="shared" si="50"/>
        <v>&lt;Valeur name="no"&gt;217&lt;/Valeur&gt;</v>
      </c>
      <c r="AA218" t="str">
        <f t="shared" si="51"/>
        <v>&lt;Valeur name="ecriturebanque"&gt;201&lt;/Valeur&gt;</v>
      </c>
      <c r="AB218" t="str">
        <f t="shared" si="52"/>
        <v>&lt;Valeur name="datevaleur"&gt;2019/04/02&lt;/Valeur&gt;</v>
      </c>
      <c r="AC218" t="str">
        <f t="shared" si="53"/>
        <v>&lt;Valeur name="compte"&gt;18&lt;/Valeur&gt;</v>
      </c>
      <c r="AD218" t="str">
        <f t="shared" si="54"/>
        <v>&lt;Valeur name="description"&gt;FRAIS E-VIR SEPA VERS EEE&lt;/Valeur&gt;</v>
      </c>
      <c r="AE218" t="str">
        <f t="shared" si="55"/>
        <v>&lt;Valeur name="valeur"&gt;0.21&lt;/Valeur&gt;</v>
      </c>
      <c r="AF218" t="str">
        <f t="shared" si="56"/>
        <v>&lt;Valeur name="compta"&gt;1&lt;/Valeur&gt;</v>
      </c>
      <c r="AG218" t="str">
        <f t="shared" si="57"/>
        <v>&lt;Valeur name="tvapct"&gt;20&lt;/Valeur&gt;</v>
      </c>
      <c r="AH218" t="str">
        <f t="shared" si="58"/>
        <v>&lt;Valeur name="tva"&gt;0.035&lt;/Valeur&gt;</v>
      </c>
      <c r="AL218" t="str">
        <f t="shared" si="59"/>
        <v>&lt;Insert&gt;&lt;Valeur name="no"&gt;217&lt;/Valeur&gt;&lt;Valeur name="ecriturebanque"&gt;201&lt;/Valeur&gt;&lt;Valeur name="datevaleur"&gt;2019/04/02&lt;/Valeur&gt;&lt;Valeur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219" spans="1:38" x14ac:dyDescent="0.25">
      <c r="A219">
        <v>202</v>
      </c>
      <c r="B219">
        <f>IF(A219&lt;&gt;"",VLOOKUP(A219,Banque!B:D,3,FALSE),1)</f>
        <v>1</v>
      </c>
      <c r="C219" s="1">
        <v>43557</v>
      </c>
      <c r="D219" t="s">
        <v>257</v>
      </c>
      <c r="E219" t="s">
        <v>31</v>
      </c>
      <c r="G219" s="10">
        <v>0.21</v>
      </c>
      <c r="I219" s="11">
        <f t="shared" si="45"/>
        <v>3.5000000000000003E-2</v>
      </c>
      <c r="K219">
        <v>218</v>
      </c>
      <c r="L219">
        <v>202</v>
      </c>
      <c r="M219" s="16" t="s">
        <v>968</v>
      </c>
      <c r="N219">
        <f>IFERROR(VLOOKUP(D219,tab!A:B,2,FALSE),1)</f>
        <v>18</v>
      </c>
      <c r="O219" t="str">
        <f t="shared" si="46"/>
        <v>FRAIS E-VIR SEPA VERS EEE</v>
      </c>
      <c r="P219" s="14">
        <f t="shared" si="47"/>
        <v>0.21</v>
      </c>
      <c r="Q219" s="14">
        <f t="shared" si="48"/>
        <v>1</v>
      </c>
      <c r="R219" s="14">
        <v>20</v>
      </c>
      <c r="S219" s="14">
        <f t="shared" si="49"/>
        <v>3.5000000000000003E-2</v>
      </c>
      <c r="Z219" t="str">
        <f t="shared" si="50"/>
        <v>&lt;Valeur name="no"&gt;218&lt;/Valeur&gt;</v>
      </c>
      <c r="AA219" t="str">
        <f t="shared" si="51"/>
        <v>&lt;Valeur name="ecriturebanque"&gt;202&lt;/Valeur&gt;</v>
      </c>
      <c r="AB219" t="str">
        <f t="shared" si="52"/>
        <v>&lt;Valeur name="datevaleur"&gt;2019/04/02&lt;/Valeur&gt;</v>
      </c>
      <c r="AC219" t="str">
        <f t="shared" si="53"/>
        <v>&lt;Valeur name="compte"&gt;18&lt;/Valeur&gt;</v>
      </c>
      <c r="AD219" t="str">
        <f t="shared" si="54"/>
        <v>&lt;Valeur name="description"&gt;FRAIS E-VIR SEPA VERS EEE&lt;/Valeur&gt;</v>
      </c>
      <c r="AE219" t="str">
        <f t="shared" si="55"/>
        <v>&lt;Valeur name="valeur"&gt;0.21&lt;/Valeur&gt;</v>
      </c>
      <c r="AF219" t="str">
        <f t="shared" si="56"/>
        <v>&lt;Valeur name="compta"&gt;1&lt;/Valeur&gt;</v>
      </c>
      <c r="AG219" t="str">
        <f t="shared" si="57"/>
        <v>&lt;Valeur name="tvapct"&gt;20&lt;/Valeur&gt;</v>
      </c>
      <c r="AH219" t="str">
        <f t="shared" si="58"/>
        <v>&lt;Valeur name="tva"&gt;0.035&lt;/Valeur&gt;</v>
      </c>
      <c r="AL219" t="str">
        <f t="shared" si="59"/>
        <v>&lt;Insert&gt;&lt;Valeur name="no"&gt;218&lt;/Valeur&gt;&lt;Valeur name="ecriturebanque"&gt;202&lt;/Valeur&gt;&lt;Valeur name="datevaleur"&gt;2019/04/02&lt;/Valeur&gt;&lt;Valeur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220" spans="1:38" x14ac:dyDescent="0.25">
      <c r="A220">
        <v>203</v>
      </c>
      <c r="B220">
        <f>IF(A220&lt;&gt;"",VLOOKUP(A220,Banque!B:D,3,FALSE),1)</f>
        <v>1</v>
      </c>
      <c r="C220" s="1">
        <v>43557</v>
      </c>
      <c r="D220" t="s">
        <v>257</v>
      </c>
      <c r="E220" t="s">
        <v>31</v>
      </c>
      <c r="G220" s="10">
        <v>0.21</v>
      </c>
      <c r="I220" s="11">
        <f t="shared" si="45"/>
        <v>3.5000000000000003E-2</v>
      </c>
      <c r="K220">
        <v>219</v>
      </c>
      <c r="L220">
        <v>203</v>
      </c>
      <c r="M220" s="16" t="s">
        <v>968</v>
      </c>
      <c r="N220">
        <f>IFERROR(VLOOKUP(D220,tab!A:B,2,FALSE),1)</f>
        <v>18</v>
      </c>
      <c r="O220" t="str">
        <f t="shared" si="46"/>
        <v>FRAIS E-VIR SEPA VERS EEE</v>
      </c>
      <c r="P220" s="14">
        <f t="shared" si="47"/>
        <v>0.21</v>
      </c>
      <c r="Q220" s="14">
        <f t="shared" si="48"/>
        <v>1</v>
      </c>
      <c r="R220" s="14">
        <v>20</v>
      </c>
      <c r="S220" s="14">
        <f t="shared" si="49"/>
        <v>3.5000000000000003E-2</v>
      </c>
      <c r="Z220" t="str">
        <f t="shared" si="50"/>
        <v>&lt;Valeur name="no"&gt;219&lt;/Valeur&gt;</v>
      </c>
      <c r="AA220" t="str">
        <f t="shared" si="51"/>
        <v>&lt;Valeur name="ecriturebanque"&gt;203&lt;/Valeur&gt;</v>
      </c>
      <c r="AB220" t="str">
        <f t="shared" si="52"/>
        <v>&lt;Valeur name="datevaleur"&gt;2019/04/02&lt;/Valeur&gt;</v>
      </c>
      <c r="AC220" t="str">
        <f t="shared" si="53"/>
        <v>&lt;Valeur name="compte"&gt;18&lt;/Valeur&gt;</v>
      </c>
      <c r="AD220" t="str">
        <f t="shared" si="54"/>
        <v>&lt;Valeur name="description"&gt;FRAIS E-VIR SEPA VERS EEE&lt;/Valeur&gt;</v>
      </c>
      <c r="AE220" t="str">
        <f t="shared" si="55"/>
        <v>&lt;Valeur name="valeur"&gt;0.21&lt;/Valeur&gt;</v>
      </c>
      <c r="AF220" t="str">
        <f t="shared" si="56"/>
        <v>&lt;Valeur name="compta"&gt;1&lt;/Valeur&gt;</v>
      </c>
      <c r="AG220" t="str">
        <f t="shared" si="57"/>
        <v>&lt;Valeur name="tvapct"&gt;20&lt;/Valeur&gt;</v>
      </c>
      <c r="AH220" t="str">
        <f t="shared" si="58"/>
        <v>&lt;Valeur name="tva"&gt;0.035&lt;/Valeur&gt;</v>
      </c>
      <c r="AL220" t="str">
        <f t="shared" si="59"/>
        <v>&lt;Insert&gt;&lt;Valeur name="no"&gt;219&lt;/Valeur&gt;&lt;Valeur name="ecriturebanque"&gt;203&lt;/Valeur&gt;&lt;Valeur name="datevaleur"&gt;2019/04/02&lt;/Valeur&gt;&lt;Valeur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221" spans="1:38" x14ac:dyDescent="0.25">
      <c r="A221">
        <v>204</v>
      </c>
      <c r="B221">
        <f>IF(A221&lt;&gt;"",VLOOKUP(A221,Banque!B:D,3,FALSE),1)</f>
        <v>1</v>
      </c>
      <c r="C221" s="1">
        <v>43557</v>
      </c>
      <c r="D221" t="s">
        <v>257</v>
      </c>
      <c r="E221" t="s">
        <v>31</v>
      </c>
      <c r="G221" s="10">
        <v>0.21</v>
      </c>
      <c r="I221" s="11">
        <f t="shared" si="45"/>
        <v>3.5000000000000003E-2</v>
      </c>
      <c r="K221">
        <v>220</v>
      </c>
      <c r="L221">
        <v>204</v>
      </c>
      <c r="M221" s="16" t="s">
        <v>968</v>
      </c>
      <c r="N221">
        <f>IFERROR(VLOOKUP(D221,tab!A:B,2,FALSE),1)</f>
        <v>18</v>
      </c>
      <c r="O221" t="str">
        <f t="shared" si="46"/>
        <v>FRAIS E-VIR SEPA VERS EEE</v>
      </c>
      <c r="P221" s="14">
        <f t="shared" si="47"/>
        <v>0.21</v>
      </c>
      <c r="Q221" s="14">
        <f t="shared" si="48"/>
        <v>1</v>
      </c>
      <c r="R221" s="14">
        <v>20</v>
      </c>
      <c r="S221" s="14">
        <f t="shared" si="49"/>
        <v>3.5000000000000003E-2</v>
      </c>
      <c r="Z221" t="str">
        <f t="shared" si="50"/>
        <v>&lt;Valeur name="no"&gt;220&lt;/Valeur&gt;</v>
      </c>
      <c r="AA221" t="str">
        <f t="shared" si="51"/>
        <v>&lt;Valeur name="ecriturebanque"&gt;204&lt;/Valeur&gt;</v>
      </c>
      <c r="AB221" t="str">
        <f t="shared" si="52"/>
        <v>&lt;Valeur name="datevaleur"&gt;2019/04/02&lt;/Valeur&gt;</v>
      </c>
      <c r="AC221" t="str">
        <f t="shared" si="53"/>
        <v>&lt;Valeur name="compte"&gt;18&lt;/Valeur&gt;</v>
      </c>
      <c r="AD221" t="str">
        <f t="shared" si="54"/>
        <v>&lt;Valeur name="description"&gt;FRAIS E-VIR SEPA VERS EEE&lt;/Valeur&gt;</v>
      </c>
      <c r="AE221" t="str">
        <f t="shared" si="55"/>
        <v>&lt;Valeur name="valeur"&gt;0.21&lt;/Valeur&gt;</v>
      </c>
      <c r="AF221" t="str">
        <f t="shared" si="56"/>
        <v>&lt;Valeur name="compta"&gt;1&lt;/Valeur&gt;</v>
      </c>
      <c r="AG221" t="str">
        <f t="shared" si="57"/>
        <v>&lt;Valeur name="tvapct"&gt;20&lt;/Valeur&gt;</v>
      </c>
      <c r="AH221" t="str">
        <f t="shared" si="58"/>
        <v>&lt;Valeur name="tva"&gt;0.035&lt;/Valeur&gt;</v>
      </c>
      <c r="AL221" t="str">
        <f t="shared" si="59"/>
        <v>&lt;Insert&gt;&lt;Valeur name="no"&gt;220&lt;/Valeur&gt;&lt;Valeur name="ecriturebanque"&gt;204&lt;/Valeur&gt;&lt;Valeur name="datevaleur"&gt;2019/04/02&lt;/Valeur&gt;&lt;Valeur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222" spans="1:38" x14ac:dyDescent="0.25">
      <c r="A222">
        <v>205</v>
      </c>
      <c r="B222">
        <f>IF(A222&lt;&gt;"",VLOOKUP(A222,Banque!B:D,3,FALSE),1)</f>
        <v>1</v>
      </c>
      <c r="C222" s="1">
        <v>43557</v>
      </c>
      <c r="D222" t="s">
        <v>257</v>
      </c>
      <c r="E222" t="s">
        <v>31</v>
      </c>
      <c r="G222" s="10">
        <v>0.21</v>
      </c>
      <c r="I222" s="11">
        <f t="shared" si="45"/>
        <v>3.5000000000000003E-2</v>
      </c>
      <c r="K222">
        <v>221</v>
      </c>
      <c r="L222">
        <v>205</v>
      </c>
      <c r="M222" s="16" t="s">
        <v>968</v>
      </c>
      <c r="N222">
        <f>IFERROR(VLOOKUP(D222,tab!A:B,2,FALSE),1)</f>
        <v>18</v>
      </c>
      <c r="O222" t="str">
        <f t="shared" si="46"/>
        <v>FRAIS E-VIR SEPA VERS EEE</v>
      </c>
      <c r="P222" s="14">
        <f t="shared" si="47"/>
        <v>0.21</v>
      </c>
      <c r="Q222" s="14">
        <f t="shared" si="48"/>
        <v>1</v>
      </c>
      <c r="R222" s="14">
        <v>20</v>
      </c>
      <c r="S222" s="14">
        <f t="shared" si="49"/>
        <v>3.5000000000000003E-2</v>
      </c>
      <c r="Z222" t="str">
        <f t="shared" si="50"/>
        <v>&lt;Valeur name="no"&gt;221&lt;/Valeur&gt;</v>
      </c>
      <c r="AA222" t="str">
        <f t="shared" si="51"/>
        <v>&lt;Valeur name="ecriturebanque"&gt;205&lt;/Valeur&gt;</v>
      </c>
      <c r="AB222" t="str">
        <f t="shared" si="52"/>
        <v>&lt;Valeur name="datevaleur"&gt;2019/04/02&lt;/Valeur&gt;</v>
      </c>
      <c r="AC222" t="str">
        <f t="shared" si="53"/>
        <v>&lt;Valeur name="compte"&gt;18&lt;/Valeur&gt;</v>
      </c>
      <c r="AD222" t="str">
        <f t="shared" si="54"/>
        <v>&lt;Valeur name="description"&gt;FRAIS E-VIR SEPA VERS EEE&lt;/Valeur&gt;</v>
      </c>
      <c r="AE222" t="str">
        <f t="shared" si="55"/>
        <v>&lt;Valeur name="valeur"&gt;0.21&lt;/Valeur&gt;</v>
      </c>
      <c r="AF222" t="str">
        <f t="shared" si="56"/>
        <v>&lt;Valeur name="compta"&gt;1&lt;/Valeur&gt;</v>
      </c>
      <c r="AG222" t="str">
        <f t="shared" si="57"/>
        <v>&lt;Valeur name="tvapct"&gt;20&lt;/Valeur&gt;</v>
      </c>
      <c r="AH222" t="str">
        <f t="shared" si="58"/>
        <v>&lt;Valeur name="tva"&gt;0.035&lt;/Valeur&gt;</v>
      </c>
      <c r="AL222" t="str">
        <f t="shared" si="59"/>
        <v>&lt;Insert&gt;&lt;Valeur name="no"&gt;221&lt;/Valeur&gt;&lt;Valeur name="ecriturebanque"&gt;205&lt;/Valeur&gt;&lt;Valeur name="datevaleur"&gt;2019/04/02&lt;/Valeur&gt;&lt;Valeur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223" spans="1:38" x14ac:dyDescent="0.25">
      <c r="A223">
        <v>206</v>
      </c>
      <c r="B223">
        <f>IF(A223&lt;&gt;"",VLOOKUP(A223,Banque!B:D,3,FALSE),1)</f>
        <v>1</v>
      </c>
      <c r="C223" s="1">
        <v>43557</v>
      </c>
      <c r="D223" t="s">
        <v>257</v>
      </c>
      <c r="E223" t="s">
        <v>31</v>
      </c>
      <c r="G223" s="10">
        <v>0.21</v>
      </c>
      <c r="I223" s="11">
        <f t="shared" si="45"/>
        <v>3.5000000000000003E-2</v>
      </c>
      <c r="K223">
        <v>222</v>
      </c>
      <c r="L223">
        <v>206</v>
      </c>
      <c r="M223" s="16" t="s">
        <v>968</v>
      </c>
      <c r="N223">
        <f>IFERROR(VLOOKUP(D223,tab!A:B,2,FALSE),1)</f>
        <v>18</v>
      </c>
      <c r="O223" t="str">
        <f t="shared" si="46"/>
        <v>FRAIS E-VIR SEPA VERS EEE</v>
      </c>
      <c r="P223" s="14">
        <f t="shared" si="47"/>
        <v>0.21</v>
      </c>
      <c r="Q223" s="14">
        <f t="shared" si="48"/>
        <v>1</v>
      </c>
      <c r="R223" s="14">
        <v>20</v>
      </c>
      <c r="S223" s="14">
        <f t="shared" si="49"/>
        <v>3.5000000000000003E-2</v>
      </c>
      <c r="Z223" t="str">
        <f t="shared" si="50"/>
        <v>&lt;Valeur name="no"&gt;222&lt;/Valeur&gt;</v>
      </c>
      <c r="AA223" t="str">
        <f t="shared" si="51"/>
        <v>&lt;Valeur name="ecriturebanque"&gt;206&lt;/Valeur&gt;</v>
      </c>
      <c r="AB223" t="str">
        <f t="shared" si="52"/>
        <v>&lt;Valeur name="datevaleur"&gt;2019/04/02&lt;/Valeur&gt;</v>
      </c>
      <c r="AC223" t="str">
        <f t="shared" si="53"/>
        <v>&lt;Valeur name="compte"&gt;18&lt;/Valeur&gt;</v>
      </c>
      <c r="AD223" t="str">
        <f t="shared" si="54"/>
        <v>&lt;Valeur name="description"&gt;FRAIS E-VIR SEPA VERS EEE&lt;/Valeur&gt;</v>
      </c>
      <c r="AE223" t="str">
        <f t="shared" si="55"/>
        <v>&lt;Valeur name="valeur"&gt;0.21&lt;/Valeur&gt;</v>
      </c>
      <c r="AF223" t="str">
        <f t="shared" si="56"/>
        <v>&lt;Valeur name="compta"&gt;1&lt;/Valeur&gt;</v>
      </c>
      <c r="AG223" t="str">
        <f t="shared" si="57"/>
        <v>&lt;Valeur name="tvapct"&gt;20&lt;/Valeur&gt;</v>
      </c>
      <c r="AH223" t="str">
        <f t="shared" si="58"/>
        <v>&lt;Valeur name="tva"&gt;0.035&lt;/Valeur&gt;</v>
      </c>
      <c r="AL223" t="str">
        <f t="shared" si="59"/>
        <v>&lt;Insert&gt;&lt;Valeur name="no"&gt;222&lt;/Valeur&gt;&lt;Valeur name="ecriturebanque"&gt;206&lt;/Valeur&gt;&lt;Valeur name="datevaleur"&gt;2019/04/02&lt;/Valeur&gt;&lt;Valeur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224" spans="1:38" x14ac:dyDescent="0.25">
      <c r="A224">
        <v>207</v>
      </c>
      <c r="B224">
        <f>IF(A224&lt;&gt;"",VLOOKUP(A224,Banque!B:D,3,FALSE),1)</f>
        <v>1</v>
      </c>
      <c r="C224" s="1">
        <v>43557</v>
      </c>
      <c r="D224" t="s">
        <v>257</v>
      </c>
      <c r="E224" t="s">
        <v>31</v>
      </c>
      <c r="G224" s="10">
        <v>0.21</v>
      </c>
      <c r="I224" s="11">
        <f t="shared" si="45"/>
        <v>3.5000000000000003E-2</v>
      </c>
      <c r="K224">
        <v>223</v>
      </c>
      <c r="L224">
        <v>207</v>
      </c>
      <c r="M224" s="16" t="s">
        <v>968</v>
      </c>
      <c r="N224">
        <f>IFERROR(VLOOKUP(D224,tab!A:B,2,FALSE),1)</f>
        <v>18</v>
      </c>
      <c r="O224" t="str">
        <f t="shared" si="46"/>
        <v>FRAIS E-VIR SEPA VERS EEE</v>
      </c>
      <c r="P224" s="14">
        <f t="shared" si="47"/>
        <v>0.21</v>
      </c>
      <c r="Q224" s="14">
        <f t="shared" si="48"/>
        <v>1</v>
      </c>
      <c r="R224" s="14">
        <v>20</v>
      </c>
      <c r="S224" s="14">
        <f t="shared" si="49"/>
        <v>3.5000000000000003E-2</v>
      </c>
      <c r="Z224" t="str">
        <f t="shared" si="50"/>
        <v>&lt;Valeur name="no"&gt;223&lt;/Valeur&gt;</v>
      </c>
      <c r="AA224" t="str">
        <f t="shared" si="51"/>
        <v>&lt;Valeur name="ecriturebanque"&gt;207&lt;/Valeur&gt;</v>
      </c>
      <c r="AB224" t="str">
        <f t="shared" si="52"/>
        <v>&lt;Valeur name="datevaleur"&gt;2019/04/02&lt;/Valeur&gt;</v>
      </c>
      <c r="AC224" t="str">
        <f t="shared" si="53"/>
        <v>&lt;Valeur name="compte"&gt;18&lt;/Valeur&gt;</v>
      </c>
      <c r="AD224" t="str">
        <f t="shared" si="54"/>
        <v>&lt;Valeur name="description"&gt;FRAIS E-VIR SEPA VERS EEE&lt;/Valeur&gt;</v>
      </c>
      <c r="AE224" t="str">
        <f t="shared" si="55"/>
        <v>&lt;Valeur name="valeur"&gt;0.21&lt;/Valeur&gt;</v>
      </c>
      <c r="AF224" t="str">
        <f t="shared" si="56"/>
        <v>&lt;Valeur name="compta"&gt;1&lt;/Valeur&gt;</v>
      </c>
      <c r="AG224" t="str">
        <f t="shared" si="57"/>
        <v>&lt;Valeur name="tvapct"&gt;20&lt;/Valeur&gt;</v>
      </c>
      <c r="AH224" t="str">
        <f t="shared" si="58"/>
        <v>&lt;Valeur name="tva"&gt;0.035&lt;/Valeur&gt;</v>
      </c>
      <c r="AL224" t="str">
        <f t="shared" si="59"/>
        <v>&lt;Insert&gt;&lt;Valeur name="no"&gt;223&lt;/Valeur&gt;&lt;Valeur name="ecriturebanque"&gt;207&lt;/Valeur&gt;&lt;Valeur name="datevaleur"&gt;2019/04/02&lt;/Valeur&gt;&lt;Valeur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225" spans="1:38" x14ac:dyDescent="0.25">
      <c r="A225">
        <v>208</v>
      </c>
      <c r="B225">
        <f>IF(A225&lt;&gt;"",VLOOKUP(A225,Banque!B:D,3,FALSE),1)</f>
        <v>1</v>
      </c>
      <c r="C225" s="1">
        <v>43557</v>
      </c>
      <c r="D225" t="s">
        <v>257</v>
      </c>
      <c r="E225" t="s">
        <v>146</v>
      </c>
      <c r="G225" s="10">
        <v>77.599999999999994</v>
      </c>
      <c r="I225" s="11">
        <f t="shared" si="45"/>
        <v>12.933333333333323</v>
      </c>
      <c r="K225">
        <v>224</v>
      </c>
      <c r="L225">
        <v>208</v>
      </c>
      <c r="M225" s="16" t="s">
        <v>968</v>
      </c>
      <c r="N225">
        <f>IFERROR(VLOOKUP(D225,tab!A:B,2,FALSE),1)</f>
        <v>18</v>
      </c>
      <c r="O225" t="str">
        <f t="shared" si="46"/>
        <v>COMMISSION D'INTERVENTION</v>
      </c>
      <c r="P225" s="14">
        <f t="shared" si="47"/>
        <v>77.599999999999994</v>
      </c>
      <c r="Q225" s="14">
        <f t="shared" si="48"/>
        <v>1</v>
      </c>
      <c r="R225" s="14">
        <v>20</v>
      </c>
      <c r="S225" s="14">
        <f t="shared" si="49"/>
        <v>12.933333333333323</v>
      </c>
      <c r="Z225" t="str">
        <f t="shared" si="50"/>
        <v>&lt;Valeur name="no"&gt;224&lt;/Valeur&gt;</v>
      </c>
      <c r="AA225" t="str">
        <f t="shared" si="51"/>
        <v>&lt;Valeur name="ecriturebanque"&gt;208&lt;/Valeur&gt;</v>
      </c>
      <c r="AB225" t="str">
        <f t="shared" si="52"/>
        <v>&lt;Valeur name="datevaleur"&gt;2019/04/02&lt;/Valeur&gt;</v>
      </c>
      <c r="AC225" t="str">
        <f t="shared" si="53"/>
        <v>&lt;Valeur name="compte"&gt;18&lt;/Valeur&gt;</v>
      </c>
      <c r="AD225" t="str">
        <f t="shared" si="54"/>
        <v>&lt;Valeur name="description"&gt;COMMISSION D'INTERVENTION&lt;/Valeur&gt;</v>
      </c>
      <c r="AE225" t="str">
        <f t="shared" si="55"/>
        <v>&lt;Valeur name="valeur"&gt;77.6&lt;/Valeur&gt;</v>
      </c>
      <c r="AF225" t="str">
        <f t="shared" si="56"/>
        <v>&lt;Valeur name="compta"&gt;1&lt;/Valeur&gt;</v>
      </c>
      <c r="AG225" t="str">
        <f t="shared" si="57"/>
        <v>&lt;Valeur name="tvapct"&gt;20&lt;/Valeur&gt;</v>
      </c>
      <c r="AH225" t="str">
        <f t="shared" si="58"/>
        <v>&lt;Valeur name="tva"&gt;12.9333333333333&lt;/Valeur&gt;</v>
      </c>
      <c r="AL225" t="str">
        <f t="shared" si="59"/>
        <v>&lt;Insert&gt;&lt;Valeur name="no"&gt;224&lt;/Valeur&gt;&lt;Valeur name="ecriturebanque"&gt;208&lt;/Valeur&gt;&lt;Valeur name="datevaleur"&gt;2019/04/02&lt;/Valeur&gt;&lt;Valeur name="compte"&gt;18&lt;/Valeur&gt;&lt;Valeur name="description"&gt;COMMISSION D'INTERVENTION&lt;/Valeur&gt;&lt;Valeur name="valeur"&gt;77.6&lt;/Valeur&gt;&lt;Valeur name="compta"&gt;1&lt;/Valeur&gt;&lt;Valeur name="tvapct"&gt;20&lt;/Valeur&gt;&lt;Valeur name="tva"&gt;12.9333333333333&lt;/Valeur&gt;&lt;/Insert&gt;</v>
      </c>
    </row>
    <row r="226" spans="1:38" x14ac:dyDescent="0.25">
      <c r="A226">
        <v>209</v>
      </c>
      <c r="B226">
        <f>IF(A226&lt;&gt;"",VLOOKUP(A226,Banque!B:D,3,FALSE),1)</f>
        <v>1</v>
      </c>
      <c r="C226" s="1">
        <v>43558</v>
      </c>
      <c r="D226" t="s">
        <v>257</v>
      </c>
      <c r="E226" t="s">
        <v>472</v>
      </c>
      <c r="G226" s="10">
        <v>611.45000000000005</v>
      </c>
      <c r="I226" s="11">
        <f t="shared" si="45"/>
        <v>101.9083333333333</v>
      </c>
      <c r="K226">
        <v>225</v>
      </c>
      <c r="L226">
        <v>209</v>
      </c>
      <c r="M226" s="16" t="s">
        <v>969</v>
      </c>
      <c r="N226">
        <f>IFERROR(VLOOKUP(D226,tab!A:B,2,FALSE),1)</f>
        <v>18</v>
      </c>
      <c r="O226" t="str">
        <f t="shared" si="46"/>
        <v>INTERETS-FRAIS/ARRETE DE COMPTE</v>
      </c>
      <c r="P226" s="14">
        <f t="shared" si="47"/>
        <v>611.45000000000005</v>
      </c>
      <c r="Q226" s="14">
        <f t="shared" si="48"/>
        <v>1</v>
      </c>
      <c r="R226" s="14">
        <v>20</v>
      </c>
      <c r="S226" s="14">
        <f t="shared" si="49"/>
        <v>101.9083333333333</v>
      </c>
      <c r="Z226" t="str">
        <f t="shared" si="50"/>
        <v>&lt;Valeur name="no"&gt;225&lt;/Valeur&gt;</v>
      </c>
      <c r="AA226" t="str">
        <f t="shared" si="51"/>
        <v>&lt;Valeur name="ecriturebanque"&gt;209&lt;/Valeur&gt;</v>
      </c>
      <c r="AB226" t="str">
        <f t="shared" si="52"/>
        <v>&lt;Valeur name="datevaleur"&gt;2019/04/03&lt;/Valeur&gt;</v>
      </c>
      <c r="AC226" t="str">
        <f t="shared" si="53"/>
        <v>&lt;Valeur name="compte"&gt;18&lt;/Valeur&gt;</v>
      </c>
      <c r="AD226" t="str">
        <f t="shared" si="54"/>
        <v>&lt;Valeur name="description"&gt;INTERETS-FRAIS/ARRETE DE COMPTE&lt;/Valeur&gt;</v>
      </c>
      <c r="AE226" t="str">
        <f t="shared" si="55"/>
        <v>&lt;Valeur name="valeur"&gt;611.45&lt;/Valeur&gt;</v>
      </c>
      <c r="AF226" t="str">
        <f t="shared" si="56"/>
        <v>&lt;Valeur name="compta"&gt;1&lt;/Valeur&gt;</v>
      </c>
      <c r="AG226" t="str">
        <f t="shared" si="57"/>
        <v>&lt;Valeur name="tvapct"&gt;20&lt;/Valeur&gt;</v>
      </c>
      <c r="AH226" t="str">
        <f t="shared" si="58"/>
        <v>&lt;Valeur name="tva"&gt;101.908333333333&lt;/Valeur&gt;</v>
      </c>
      <c r="AL226" t="str">
        <f t="shared" si="59"/>
        <v>&lt;Insert&gt;&lt;Valeur name="no"&gt;225&lt;/Valeur&gt;&lt;Valeur name="ecriturebanque"&gt;209&lt;/Valeur&gt;&lt;Valeur name="datevaleur"&gt;2019/04/03&lt;/Valeur&gt;&lt;Valeur name="compte"&gt;18&lt;/Valeur&gt;&lt;Valeur name="description"&gt;INTERETS-FRAIS/ARRETE DE COMPTE&lt;/Valeur&gt;&lt;Valeur name="valeur"&gt;611.45&lt;/Valeur&gt;&lt;Valeur name="compta"&gt;1&lt;/Valeur&gt;&lt;Valeur name="tvapct"&gt;20&lt;/Valeur&gt;&lt;Valeur name="tva"&gt;101.908333333333&lt;/Valeur&gt;&lt;/Insert&gt;</v>
      </c>
    </row>
    <row r="227" spans="1:38" x14ac:dyDescent="0.25">
      <c r="A227">
        <v>210</v>
      </c>
      <c r="B227">
        <f>IF(A227&lt;&gt;"",VLOOKUP(A227,Banque!B:D,3,FALSE),1)</f>
        <v>1</v>
      </c>
      <c r="C227" s="1">
        <v>43558</v>
      </c>
      <c r="D227" t="s">
        <v>257</v>
      </c>
      <c r="E227" t="s">
        <v>156</v>
      </c>
      <c r="H227" s="10">
        <v>0</v>
      </c>
      <c r="I227" s="11">
        <f t="shared" si="45"/>
        <v>0</v>
      </c>
      <c r="K227">
        <v>226</v>
      </c>
      <c r="L227">
        <v>210</v>
      </c>
      <c r="M227" s="16" t="s">
        <v>969</v>
      </c>
      <c r="N227">
        <f>IFERROR(VLOOKUP(D227,tab!A:B,2,FALSE),1)</f>
        <v>18</v>
      </c>
      <c r="O227" t="str">
        <f t="shared" si="46"/>
        <v>INTERNET PRO (GRATUIT AVEC C.ALL</v>
      </c>
      <c r="P227" s="14">
        <f t="shared" si="47"/>
        <v>0</v>
      </c>
      <c r="Q227" s="14">
        <f t="shared" si="48"/>
        <v>1</v>
      </c>
      <c r="R227" s="14">
        <v>20</v>
      </c>
      <c r="S227" s="14">
        <f t="shared" si="49"/>
        <v>0</v>
      </c>
      <c r="Z227" t="str">
        <f t="shared" si="50"/>
        <v>&lt;Valeur name="no"&gt;226&lt;/Valeur&gt;</v>
      </c>
      <c r="AA227" t="str">
        <f t="shared" si="51"/>
        <v>&lt;Valeur name="ecriturebanque"&gt;210&lt;/Valeur&gt;</v>
      </c>
      <c r="AB227" t="str">
        <f t="shared" si="52"/>
        <v>&lt;Valeur name="datevaleur"&gt;2019/04/03&lt;/Valeur&gt;</v>
      </c>
      <c r="AC227" t="str">
        <f t="shared" si="53"/>
        <v>&lt;Valeur name="compte"&gt;18&lt;/Valeur&gt;</v>
      </c>
      <c r="AD227" t="str">
        <f t="shared" si="54"/>
        <v>&lt;Valeur name="description"&gt;INTERNET PRO (GRATUIT AVEC C.ALL&lt;/Valeur&gt;</v>
      </c>
      <c r="AE227" t="str">
        <f t="shared" si="55"/>
        <v>&lt;Valeur name="valeur"&gt;0&lt;/Valeur&gt;</v>
      </c>
      <c r="AF227" t="str">
        <f t="shared" si="56"/>
        <v>&lt;Valeur name="compta"&gt;1&lt;/Valeur&gt;</v>
      </c>
      <c r="AG227" t="str">
        <f t="shared" si="57"/>
        <v>&lt;Valeur name="tvapct"&gt;20&lt;/Valeur&gt;</v>
      </c>
      <c r="AH227" t="str">
        <f t="shared" si="58"/>
        <v>&lt;Valeur name="tva"&gt;0&lt;/Valeur&gt;</v>
      </c>
      <c r="AL227" t="str">
        <f t="shared" si="59"/>
        <v>&lt;Insert&gt;&lt;Valeur name="no"&gt;226&lt;/Valeur&gt;&lt;Valeur name="ecriturebanque"&gt;210&lt;/Valeur&gt;&lt;Valeur name="datevaleur"&gt;2019/04/03&lt;/Valeur&gt;&lt;Valeur name="compte"&gt;18&lt;/Valeur&gt;&lt;Valeur name="description"&gt;INTERNET PRO (GRATUIT AVEC C.ALL&lt;/Valeur&gt;&lt;Valeur name="valeur"&gt;0&lt;/Valeur&gt;&lt;Valeur name="compta"&gt;1&lt;/Valeur&gt;&lt;Valeur name="tvapct"&gt;20&lt;/Valeur&gt;&lt;Valeur name="tva"&gt;0&lt;/Valeur&gt;&lt;/Insert&gt;</v>
      </c>
    </row>
    <row r="228" spans="1:38" x14ac:dyDescent="0.25">
      <c r="A228">
        <v>211</v>
      </c>
      <c r="B228">
        <f>IF(A228&lt;&gt;"",VLOOKUP(A228,Banque!B:D,3,FALSE),1)</f>
        <v>1</v>
      </c>
      <c r="C228" s="1">
        <v>43558</v>
      </c>
      <c r="D228" t="s">
        <v>253</v>
      </c>
      <c r="E228" t="s">
        <v>122</v>
      </c>
      <c r="G228" s="10">
        <v>82.42</v>
      </c>
      <c r="I228" s="11">
        <f t="shared" si="45"/>
        <v>13.736666666666665</v>
      </c>
      <c r="K228">
        <v>227</v>
      </c>
      <c r="L228">
        <v>211</v>
      </c>
      <c r="M228" s="16" t="s">
        <v>969</v>
      </c>
      <c r="N228">
        <f>IFERROR(VLOOKUP(D228,tab!A:B,2,FALSE),1)</f>
        <v>13</v>
      </c>
      <c r="O228" t="str">
        <f t="shared" si="46"/>
        <v>CB 548222 DAC SM MATC 59BAVAY</v>
      </c>
      <c r="P228" s="14">
        <f t="shared" si="47"/>
        <v>82.42</v>
      </c>
      <c r="Q228" s="14">
        <f t="shared" si="48"/>
        <v>1</v>
      </c>
      <c r="R228" s="14">
        <v>20</v>
      </c>
      <c r="S228" s="14">
        <f t="shared" si="49"/>
        <v>13.736666666666665</v>
      </c>
      <c r="Z228" t="str">
        <f t="shared" si="50"/>
        <v>&lt;Valeur name="no"&gt;227&lt;/Valeur&gt;</v>
      </c>
      <c r="AA228" t="str">
        <f t="shared" si="51"/>
        <v>&lt;Valeur name="ecriturebanque"&gt;211&lt;/Valeur&gt;</v>
      </c>
      <c r="AB228" t="str">
        <f t="shared" si="52"/>
        <v>&lt;Valeur name="datevaleur"&gt;2019/04/03&lt;/Valeur&gt;</v>
      </c>
      <c r="AC228" t="str">
        <f t="shared" si="53"/>
        <v>&lt;Valeur name="compte"&gt;13&lt;/Valeur&gt;</v>
      </c>
      <c r="AD228" t="str">
        <f t="shared" si="54"/>
        <v>&lt;Valeur name="description"&gt;CB 548222 DAC SM MATC 59BAVAY&lt;/Valeur&gt;</v>
      </c>
      <c r="AE228" t="str">
        <f t="shared" si="55"/>
        <v>&lt;Valeur name="valeur"&gt;82.42&lt;/Valeur&gt;</v>
      </c>
      <c r="AF228" t="str">
        <f t="shared" si="56"/>
        <v>&lt;Valeur name="compta"&gt;1&lt;/Valeur&gt;</v>
      </c>
      <c r="AG228" t="str">
        <f t="shared" si="57"/>
        <v>&lt;Valeur name="tvapct"&gt;20&lt;/Valeur&gt;</v>
      </c>
      <c r="AH228" t="str">
        <f t="shared" si="58"/>
        <v>&lt;Valeur name="tva"&gt;13.7366666666667&lt;/Valeur&gt;</v>
      </c>
      <c r="AL228" t="str">
        <f t="shared" si="59"/>
        <v>&lt;Insert&gt;&lt;Valeur name="no"&gt;227&lt;/Valeur&gt;&lt;Valeur name="ecriturebanque"&gt;211&lt;/Valeur&gt;&lt;Valeur name="datevaleur"&gt;2019/04/03&lt;/Valeur&gt;&lt;Valeur name="compte"&gt;13&lt;/Valeur&gt;&lt;Valeur name="description"&gt;CB 548222 DAC SM MATC 59BAVAY&lt;/Valeur&gt;&lt;Valeur name="valeur"&gt;82.42&lt;/Valeur&gt;&lt;Valeur name="compta"&gt;1&lt;/Valeur&gt;&lt;Valeur name="tvapct"&gt;20&lt;/Valeur&gt;&lt;Valeur name="tva"&gt;13.7366666666667&lt;/Valeur&gt;&lt;/Insert&gt;</v>
      </c>
    </row>
    <row r="229" spans="1:38" x14ac:dyDescent="0.25">
      <c r="A229">
        <v>212</v>
      </c>
      <c r="B229">
        <f>IF(A229&lt;&gt;"",VLOOKUP(A229,Banque!B:D,3,FALSE),1)</f>
        <v>1</v>
      </c>
      <c r="C229" s="1">
        <v>43558</v>
      </c>
      <c r="D229" t="s">
        <v>254</v>
      </c>
      <c r="E229" t="s">
        <v>7</v>
      </c>
      <c r="G229" s="10">
        <v>29.5</v>
      </c>
      <c r="I229" s="11">
        <f t="shared" si="45"/>
        <v>4.9166666666666643</v>
      </c>
      <c r="K229">
        <v>228</v>
      </c>
      <c r="L229">
        <v>212</v>
      </c>
      <c r="M229" s="16" t="s">
        <v>969</v>
      </c>
      <c r="N229">
        <f>IFERROR(VLOOKUP(D229,tab!A:B,2,FALSE),1)</f>
        <v>27</v>
      </c>
      <c r="O229" t="str">
        <f t="shared" si="46"/>
        <v>CB 454106 SNACK THIER 59BAVAY</v>
      </c>
      <c r="P229" s="14">
        <f t="shared" si="47"/>
        <v>29.5</v>
      </c>
      <c r="Q229" s="14">
        <f t="shared" si="48"/>
        <v>1</v>
      </c>
      <c r="R229" s="14">
        <v>20</v>
      </c>
      <c r="S229" s="14">
        <f t="shared" si="49"/>
        <v>4.9166666666666643</v>
      </c>
      <c r="Z229" t="str">
        <f t="shared" si="50"/>
        <v>&lt;Valeur name="no"&gt;228&lt;/Valeur&gt;</v>
      </c>
      <c r="AA229" t="str">
        <f t="shared" si="51"/>
        <v>&lt;Valeur name="ecriturebanque"&gt;212&lt;/Valeur&gt;</v>
      </c>
      <c r="AB229" t="str">
        <f t="shared" si="52"/>
        <v>&lt;Valeur name="datevaleur"&gt;2019/04/03&lt;/Valeur&gt;</v>
      </c>
      <c r="AC229" t="str">
        <f t="shared" si="53"/>
        <v>&lt;Valeur name="compte"&gt;27&lt;/Valeur&gt;</v>
      </c>
      <c r="AD229" t="str">
        <f t="shared" si="54"/>
        <v>&lt;Valeur name="description"&gt;CB 454106 SNACK THIER 59BAVAY&lt;/Valeur&gt;</v>
      </c>
      <c r="AE229" t="str">
        <f t="shared" si="55"/>
        <v>&lt;Valeur name="valeur"&gt;29.5&lt;/Valeur&gt;</v>
      </c>
      <c r="AF229" t="str">
        <f t="shared" si="56"/>
        <v>&lt;Valeur name="compta"&gt;1&lt;/Valeur&gt;</v>
      </c>
      <c r="AG229" t="str">
        <f t="shared" si="57"/>
        <v>&lt;Valeur name="tvapct"&gt;20&lt;/Valeur&gt;</v>
      </c>
      <c r="AH229" t="str">
        <f t="shared" si="58"/>
        <v>&lt;Valeur name="tva"&gt;4.91666666666666&lt;/Valeur&gt;</v>
      </c>
      <c r="AL229" t="str">
        <f t="shared" si="59"/>
        <v>&lt;Insert&gt;&lt;Valeur name="no"&gt;228&lt;/Valeur&gt;&lt;Valeur name="ecriturebanque"&gt;212&lt;/Valeur&gt;&lt;Valeur name="datevaleur"&gt;2019/04/03&lt;/Valeur&gt;&lt;Valeur name="compte"&gt;27&lt;/Valeur&gt;&lt;Valeur name="description"&gt;CB 454106 SNACK THIER 59BAVAY&lt;/Valeur&gt;&lt;Valeur name="valeur"&gt;29.5&lt;/Valeur&gt;&lt;Valeur name="compta"&gt;1&lt;/Valeur&gt;&lt;Valeur name="tvapct"&gt;20&lt;/Valeur&gt;&lt;Valeur name="tva"&gt;4.91666666666666&lt;/Valeur&gt;&lt;/Insert&gt;</v>
      </c>
    </row>
    <row r="230" spans="1:38" x14ac:dyDescent="0.25">
      <c r="A230">
        <v>213</v>
      </c>
      <c r="B230">
        <f>IF(A230&lt;&gt;"",VLOOKUP(A230,Banque!B:D,3,FALSE),1)</f>
        <v>1</v>
      </c>
      <c r="C230" s="1">
        <v>43558</v>
      </c>
      <c r="D230" t="s">
        <v>253</v>
      </c>
      <c r="E230" t="s">
        <v>27</v>
      </c>
      <c r="G230" s="10">
        <v>69.22</v>
      </c>
      <c r="I230" s="11">
        <f t="shared" si="45"/>
        <v>11.536666666666662</v>
      </c>
      <c r="K230">
        <v>229</v>
      </c>
      <c r="L230">
        <v>213</v>
      </c>
      <c r="M230" s="16" t="s">
        <v>969</v>
      </c>
      <c r="N230">
        <f>IFERROR(VLOOKUP(D230,tab!A:B,2,FALSE),1)</f>
        <v>13</v>
      </c>
      <c r="O230" t="str">
        <f t="shared" si="46"/>
        <v>CB 454106 CARREFOUR D 59AULNOY L</v>
      </c>
      <c r="P230" s="14">
        <f t="shared" si="47"/>
        <v>69.22</v>
      </c>
      <c r="Q230" s="14">
        <f t="shared" si="48"/>
        <v>1</v>
      </c>
      <c r="R230" s="14">
        <v>20</v>
      </c>
      <c r="S230" s="14">
        <f t="shared" si="49"/>
        <v>11.536666666666662</v>
      </c>
      <c r="Z230" t="str">
        <f t="shared" si="50"/>
        <v>&lt;Valeur name="no"&gt;229&lt;/Valeur&gt;</v>
      </c>
      <c r="AA230" t="str">
        <f t="shared" si="51"/>
        <v>&lt;Valeur name="ecriturebanque"&gt;213&lt;/Valeur&gt;</v>
      </c>
      <c r="AB230" t="str">
        <f t="shared" si="52"/>
        <v>&lt;Valeur name="datevaleur"&gt;2019/04/03&lt;/Valeur&gt;</v>
      </c>
      <c r="AC230" t="str">
        <f t="shared" si="53"/>
        <v>&lt;Valeur name="compte"&gt;13&lt;/Valeur&gt;</v>
      </c>
      <c r="AD230" t="str">
        <f t="shared" si="54"/>
        <v>&lt;Valeur name="description"&gt;CB 454106 CARREFOUR D 59AULNOY L&lt;/Valeur&gt;</v>
      </c>
      <c r="AE230" t="str">
        <f t="shared" si="55"/>
        <v>&lt;Valeur name="valeur"&gt;69.22&lt;/Valeur&gt;</v>
      </c>
      <c r="AF230" t="str">
        <f t="shared" si="56"/>
        <v>&lt;Valeur name="compta"&gt;1&lt;/Valeur&gt;</v>
      </c>
      <c r="AG230" t="str">
        <f t="shared" si="57"/>
        <v>&lt;Valeur name="tvapct"&gt;20&lt;/Valeur&gt;</v>
      </c>
      <c r="AH230" t="str">
        <f t="shared" si="58"/>
        <v>&lt;Valeur name="tva"&gt;11.5366666666667&lt;/Valeur&gt;</v>
      </c>
      <c r="AL230" t="str">
        <f t="shared" si="59"/>
        <v>&lt;Insert&gt;&lt;Valeur name="no"&gt;229&lt;/Valeur&gt;&lt;Valeur name="ecriturebanque"&gt;213&lt;/Valeur&gt;&lt;Valeur name="datevaleur"&gt;2019/04/03&lt;/Valeur&gt;&lt;Valeur name="compte"&gt;13&lt;/Valeur&gt;&lt;Valeur name="description"&gt;CB 454106 CARREFOUR D 59AULNOY L&lt;/Valeur&gt;&lt;Valeur name="valeur"&gt;69.22&lt;/Valeur&gt;&lt;Valeur name="compta"&gt;1&lt;/Valeur&gt;&lt;Valeur name="tvapct"&gt;20&lt;/Valeur&gt;&lt;Valeur name="tva"&gt;11.5366666666667&lt;/Valeur&gt;&lt;/Insert&gt;</v>
      </c>
    </row>
    <row r="231" spans="1:38" x14ac:dyDescent="0.25">
      <c r="A231">
        <v>214</v>
      </c>
      <c r="B231">
        <f>IF(A231&lt;&gt;"",VLOOKUP(A231,Banque!B:D,3,FALSE),1)</f>
        <v>1</v>
      </c>
      <c r="C231" s="1">
        <v>43558</v>
      </c>
      <c r="D231" t="s">
        <v>256</v>
      </c>
      <c r="E231" t="s">
        <v>478</v>
      </c>
      <c r="F231" t="s">
        <v>500</v>
      </c>
      <c r="G231" s="10">
        <v>1814.95</v>
      </c>
      <c r="I231" s="11">
        <f t="shared" si="45"/>
        <v>302.49166666666656</v>
      </c>
      <c r="K231">
        <v>230</v>
      </c>
      <c r="L231">
        <v>214</v>
      </c>
      <c r="M231" s="16" t="s">
        <v>969</v>
      </c>
      <c r="N231">
        <f>IFERROR(VLOOKUP(D231,tab!A:B,2,FALSE),1)</f>
        <v>28</v>
      </c>
      <c r="O231" t="str">
        <f t="shared" si="46"/>
        <v>CHEQUE  N 1000067 / Salaire Alex Avril 2018</v>
      </c>
      <c r="P231" s="14">
        <f t="shared" si="47"/>
        <v>1814.95</v>
      </c>
      <c r="Q231" s="14">
        <f t="shared" si="48"/>
        <v>1</v>
      </c>
      <c r="R231" s="14">
        <v>20</v>
      </c>
      <c r="S231" s="14">
        <f t="shared" si="49"/>
        <v>302.49166666666656</v>
      </c>
      <c r="Z231" t="str">
        <f t="shared" si="50"/>
        <v>&lt;Valeur name="no"&gt;230&lt;/Valeur&gt;</v>
      </c>
      <c r="AA231" t="str">
        <f t="shared" si="51"/>
        <v>&lt;Valeur name="ecriturebanque"&gt;214&lt;/Valeur&gt;</v>
      </c>
      <c r="AB231" t="str">
        <f t="shared" si="52"/>
        <v>&lt;Valeur name="datevaleur"&gt;2019/04/03&lt;/Valeur&gt;</v>
      </c>
      <c r="AC231" t="str">
        <f t="shared" si="53"/>
        <v>&lt;Valeur name="compte"&gt;28&lt;/Valeur&gt;</v>
      </c>
      <c r="AD231" t="str">
        <f t="shared" si="54"/>
        <v>&lt;Valeur name="description"&gt;CHEQUE  N 1000067 / Salaire Alex Avril 2018&lt;/Valeur&gt;</v>
      </c>
      <c r="AE231" t="str">
        <f t="shared" si="55"/>
        <v>&lt;Valeur name="valeur"&gt;1814.95&lt;/Valeur&gt;</v>
      </c>
      <c r="AF231" t="str">
        <f t="shared" si="56"/>
        <v>&lt;Valeur name="compta"&gt;1&lt;/Valeur&gt;</v>
      </c>
      <c r="AG231" t="str">
        <f t="shared" si="57"/>
        <v>&lt;Valeur name="tvapct"&gt;20&lt;/Valeur&gt;</v>
      </c>
      <c r="AH231" t="str">
        <f t="shared" si="58"/>
        <v>&lt;Valeur name="tva"&gt;302.491666666667&lt;/Valeur&gt;</v>
      </c>
      <c r="AL231" t="str">
        <f t="shared" si="59"/>
        <v>&lt;Insert&gt;&lt;Valeur name="no"&gt;230&lt;/Valeur&gt;&lt;Valeur name="ecriturebanque"&gt;214&lt;/Valeur&gt;&lt;Valeur name="datevaleur"&gt;2019/04/03&lt;/Valeur&gt;&lt;Valeur name="compte"&gt;28&lt;/Valeur&gt;&lt;Valeur name="description"&gt;CHEQUE  N 1000067 / Salaire Alex Avril 2018&lt;/Valeur&gt;&lt;Valeur name="valeur"&gt;1814.95&lt;/Valeur&gt;&lt;Valeur name="compta"&gt;1&lt;/Valeur&gt;&lt;Valeur name="tvapct"&gt;20&lt;/Valeur&gt;&lt;Valeur name="tva"&gt;302.491666666667&lt;/Valeur&gt;&lt;/Insert&gt;</v>
      </c>
    </row>
    <row r="232" spans="1:38" x14ac:dyDescent="0.25">
      <c r="A232">
        <v>215</v>
      </c>
      <c r="B232">
        <f>IF(A232&lt;&gt;"",VLOOKUP(A232,Banque!B:D,3,FALSE),1)</f>
        <v>1</v>
      </c>
      <c r="C232" s="1">
        <v>43558</v>
      </c>
      <c r="D232" t="s">
        <v>257</v>
      </c>
      <c r="E232" t="s">
        <v>480</v>
      </c>
      <c r="G232" s="10">
        <v>15.42</v>
      </c>
      <c r="I232" s="11">
        <f t="shared" si="45"/>
        <v>2.5700000000000003</v>
      </c>
      <c r="K232">
        <v>231</v>
      </c>
      <c r="L232">
        <v>215</v>
      </c>
      <c r="M232" s="16" t="s">
        <v>969</v>
      </c>
      <c r="N232">
        <f>IFERROR(VLOOKUP(D232,tab!A:B,2,FALSE),1)</f>
        <v>18</v>
      </c>
      <c r="O232" t="str">
        <f t="shared" si="46"/>
        <v>ASSURANCE EMPRUNTEUR</v>
      </c>
      <c r="P232" s="14">
        <f t="shared" si="47"/>
        <v>15.42</v>
      </c>
      <c r="Q232" s="14">
        <f t="shared" si="48"/>
        <v>1</v>
      </c>
      <c r="R232" s="14">
        <v>20</v>
      </c>
      <c r="S232" s="14">
        <f t="shared" si="49"/>
        <v>2.5700000000000003</v>
      </c>
      <c r="Z232" t="str">
        <f t="shared" si="50"/>
        <v>&lt;Valeur name="no"&gt;231&lt;/Valeur&gt;</v>
      </c>
      <c r="AA232" t="str">
        <f t="shared" si="51"/>
        <v>&lt;Valeur name="ecriturebanque"&gt;215&lt;/Valeur&gt;</v>
      </c>
      <c r="AB232" t="str">
        <f t="shared" si="52"/>
        <v>&lt;Valeur name="datevaleur"&gt;2019/04/03&lt;/Valeur&gt;</v>
      </c>
      <c r="AC232" t="str">
        <f t="shared" si="53"/>
        <v>&lt;Valeur name="compte"&gt;18&lt;/Valeur&gt;</v>
      </c>
      <c r="AD232" t="str">
        <f t="shared" si="54"/>
        <v>&lt;Valeur name="description"&gt;ASSURANCE EMPRUNTEUR&lt;/Valeur&gt;</v>
      </c>
      <c r="AE232" t="str">
        <f t="shared" si="55"/>
        <v>&lt;Valeur name="valeur"&gt;15.42&lt;/Valeur&gt;</v>
      </c>
      <c r="AF232" t="str">
        <f t="shared" si="56"/>
        <v>&lt;Valeur name="compta"&gt;1&lt;/Valeur&gt;</v>
      </c>
      <c r="AG232" t="str">
        <f t="shared" si="57"/>
        <v>&lt;Valeur name="tvapct"&gt;20&lt;/Valeur&gt;</v>
      </c>
      <c r="AH232" t="str">
        <f t="shared" si="58"/>
        <v>&lt;Valeur name="tva"&gt;2.57&lt;/Valeur&gt;</v>
      </c>
      <c r="AL232" t="str">
        <f t="shared" si="59"/>
        <v>&lt;Insert&gt;&lt;Valeur name="no"&gt;231&lt;/Valeur&gt;&lt;Valeur name="ecriturebanque"&gt;215&lt;/Valeur&gt;&lt;Valeur name="datevaleur"&gt;2019/04/03&lt;/Valeur&gt;&lt;Valeur name="compte"&gt;18&lt;/Valeur&gt;&lt;Valeur name="description"&gt;ASSURANCE EMPRUNTEUR&lt;/Valeur&gt;&lt;Valeur name="valeur"&gt;15.42&lt;/Valeur&gt;&lt;Valeur name="compta"&gt;1&lt;/Valeur&gt;&lt;Valeur name="tvapct"&gt;20&lt;/Valeur&gt;&lt;Valeur name="tva"&gt;2.57&lt;/Valeur&gt;&lt;/Insert&gt;</v>
      </c>
    </row>
    <row r="233" spans="1:38" x14ac:dyDescent="0.25">
      <c r="A233">
        <v>216</v>
      </c>
      <c r="B233">
        <f>IF(A233&lt;&gt;"",VLOOKUP(A233,Banque!B:D,3,FALSE),1)</f>
        <v>1</v>
      </c>
      <c r="C233" s="1">
        <v>43558</v>
      </c>
      <c r="D233" t="s">
        <v>257</v>
      </c>
      <c r="E233" t="s">
        <v>31</v>
      </c>
      <c r="G233" s="10">
        <v>0.21</v>
      </c>
      <c r="I233" s="11">
        <f t="shared" si="45"/>
        <v>3.5000000000000003E-2</v>
      </c>
      <c r="K233">
        <v>232</v>
      </c>
      <c r="L233">
        <v>216</v>
      </c>
      <c r="M233" s="16" t="s">
        <v>969</v>
      </c>
      <c r="N233">
        <f>IFERROR(VLOOKUP(D233,tab!A:B,2,FALSE),1)</f>
        <v>18</v>
      </c>
      <c r="O233" t="str">
        <f t="shared" si="46"/>
        <v>FRAIS E-VIR SEPA VERS EEE</v>
      </c>
      <c r="P233" s="14">
        <f t="shared" si="47"/>
        <v>0.21</v>
      </c>
      <c r="Q233" s="14">
        <f t="shared" si="48"/>
        <v>1</v>
      </c>
      <c r="R233" s="14">
        <v>20</v>
      </c>
      <c r="S233" s="14">
        <f t="shared" si="49"/>
        <v>3.5000000000000003E-2</v>
      </c>
      <c r="Z233" t="str">
        <f t="shared" si="50"/>
        <v>&lt;Valeur name="no"&gt;232&lt;/Valeur&gt;</v>
      </c>
      <c r="AA233" t="str">
        <f t="shared" si="51"/>
        <v>&lt;Valeur name="ecriturebanque"&gt;216&lt;/Valeur&gt;</v>
      </c>
      <c r="AB233" t="str">
        <f t="shared" si="52"/>
        <v>&lt;Valeur name="datevaleur"&gt;2019/04/03&lt;/Valeur&gt;</v>
      </c>
      <c r="AC233" t="str">
        <f t="shared" si="53"/>
        <v>&lt;Valeur name="compte"&gt;18&lt;/Valeur&gt;</v>
      </c>
      <c r="AD233" t="str">
        <f t="shared" si="54"/>
        <v>&lt;Valeur name="description"&gt;FRAIS E-VIR SEPA VERS EEE&lt;/Valeur&gt;</v>
      </c>
      <c r="AE233" t="str">
        <f t="shared" si="55"/>
        <v>&lt;Valeur name="valeur"&gt;0.21&lt;/Valeur&gt;</v>
      </c>
      <c r="AF233" t="str">
        <f t="shared" si="56"/>
        <v>&lt;Valeur name="compta"&gt;1&lt;/Valeur&gt;</v>
      </c>
      <c r="AG233" t="str">
        <f t="shared" si="57"/>
        <v>&lt;Valeur name="tvapct"&gt;20&lt;/Valeur&gt;</v>
      </c>
      <c r="AH233" t="str">
        <f t="shared" si="58"/>
        <v>&lt;Valeur name="tva"&gt;0.035&lt;/Valeur&gt;</v>
      </c>
      <c r="AL233" t="str">
        <f t="shared" si="59"/>
        <v>&lt;Insert&gt;&lt;Valeur name="no"&gt;232&lt;/Valeur&gt;&lt;Valeur name="ecriturebanque"&gt;216&lt;/Valeur&gt;&lt;Valeur name="datevaleur"&gt;2019/04/03&lt;/Valeur&gt;&lt;Valeur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234" spans="1:38" x14ac:dyDescent="0.25">
      <c r="A234">
        <v>217</v>
      </c>
      <c r="B234">
        <f>IF(A234&lt;&gt;"",VLOOKUP(A234,Banque!B:D,3,FALSE),1)</f>
        <v>1</v>
      </c>
      <c r="C234" s="1">
        <v>43558</v>
      </c>
      <c r="D234" t="s">
        <v>257</v>
      </c>
      <c r="E234" t="s">
        <v>31</v>
      </c>
      <c r="G234" s="10">
        <v>0.21</v>
      </c>
      <c r="I234" s="11">
        <f t="shared" si="45"/>
        <v>3.5000000000000003E-2</v>
      </c>
      <c r="K234">
        <v>233</v>
      </c>
      <c r="L234">
        <v>217</v>
      </c>
      <c r="M234" s="16" t="s">
        <v>969</v>
      </c>
      <c r="N234">
        <f>IFERROR(VLOOKUP(D234,tab!A:B,2,FALSE),1)</f>
        <v>18</v>
      </c>
      <c r="O234" t="str">
        <f t="shared" si="46"/>
        <v>FRAIS E-VIR SEPA VERS EEE</v>
      </c>
      <c r="P234" s="14">
        <f t="shared" si="47"/>
        <v>0.21</v>
      </c>
      <c r="Q234" s="14">
        <f t="shared" si="48"/>
        <v>1</v>
      </c>
      <c r="R234" s="14">
        <v>20</v>
      </c>
      <c r="S234" s="14">
        <f t="shared" si="49"/>
        <v>3.5000000000000003E-2</v>
      </c>
      <c r="Z234" t="str">
        <f t="shared" si="50"/>
        <v>&lt;Valeur name="no"&gt;233&lt;/Valeur&gt;</v>
      </c>
      <c r="AA234" t="str">
        <f t="shared" si="51"/>
        <v>&lt;Valeur name="ecriturebanque"&gt;217&lt;/Valeur&gt;</v>
      </c>
      <c r="AB234" t="str">
        <f t="shared" si="52"/>
        <v>&lt;Valeur name="datevaleur"&gt;2019/04/03&lt;/Valeur&gt;</v>
      </c>
      <c r="AC234" t="str">
        <f t="shared" si="53"/>
        <v>&lt;Valeur name="compte"&gt;18&lt;/Valeur&gt;</v>
      </c>
      <c r="AD234" t="str">
        <f t="shared" si="54"/>
        <v>&lt;Valeur name="description"&gt;FRAIS E-VIR SEPA VERS EEE&lt;/Valeur&gt;</v>
      </c>
      <c r="AE234" t="str">
        <f t="shared" si="55"/>
        <v>&lt;Valeur name="valeur"&gt;0.21&lt;/Valeur&gt;</v>
      </c>
      <c r="AF234" t="str">
        <f t="shared" si="56"/>
        <v>&lt;Valeur name="compta"&gt;1&lt;/Valeur&gt;</v>
      </c>
      <c r="AG234" t="str">
        <f t="shared" si="57"/>
        <v>&lt;Valeur name="tvapct"&gt;20&lt;/Valeur&gt;</v>
      </c>
      <c r="AH234" t="str">
        <f t="shared" si="58"/>
        <v>&lt;Valeur name="tva"&gt;0.035&lt;/Valeur&gt;</v>
      </c>
      <c r="AL234" t="str">
        <f t="shared" si="59"/>
        <v>&lt;Insert&gt;&lt;Valeur name="no"&gt;233&lt;/Valeur&gt;&lt;Valeur name="ecriturebanque"&gt;217&lt;/Valeur&gt;&lt;Valeur name="datevaleur"&gt;2019/04/03&lt;/Valeur&gt;&lt;Valeur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235" spans="1:38" x14ac:dyDescent="0.25">
      <c r="A235">
        <v>218</v>
      </c>
      <c r="B235">
        <f>IF(A235&lt;&gt;"",VLOOKUP(A235,Banque!B:D,3,FALSE),1)</f>
        <v>1</v>
      </c>
      <c r="C235" s="1">
        <v>43558</v>
      </c>
      <c r="D235" t="s">
        <v>257</v>
      </c>
      <c r="E235" t="s">
        <v>31</v>
      </c>
      <c r="G235" s="10">
        <v>0.21</v>
      </c>
      <c r="I235" s="11">
        <f t="shared" si="45"/>
        <v>3.5000000000000003E-2</v>
      </c>
      <c r="K235">
        <v>234</v>
      </c>
      <c r="L235">
        <v>218</v>
      </c>
      <c r="M235" s="16" t="s">
        <v>969</v>
      </c>
      <c r="N235">
        <f>IFERROR(VLOOKUP(D235,tab!A:B,2,FALSE),1)</f>
        <v>18</v>
      </c>
      <c r="O235" t="str">
        <f t="shared" si="46"/>
        <v>FRAIS E-VIR SEPA VERS EEE</v>
      </c>
      <c r="P235" s="14">
        <f t="shared" si="47"/>
        <v>0.21</v>
      </c>
      <c r="Q235" s="14">
        <f t="shared" si="48"/>
        <v>1</v>
      </c>
      <c r="R235" s="14">
        <v>20</v>
      </c>
      <c r="S235" s="14">
        <f t="shared" si="49"/>
        <v>3.5000000000000003E-2</v>
      </c>
      <c r="Z235" t="str">
        <f t="shared" si="50"/>
        <v>&lt;Valeur name="no"&gt;234&lt;/Valeur&gt;</v>
      </c>
      <c r="AA235" t="str">
        <f t="shared" si="51"/>
        <v>&lt;Valeur name="ecriturebanque"&gt;218&lt;/Valeur&gt;</v>
      </c>
      <c r="AB235" t="str">
        <f t="shared" si="52"/>
        <v>&lt;Valeur name="datevaleur"&gt;2019/04/03&lt;/Valeur&gt;</v>
      </c>
      <c r="AC235" t="str">
        <f t="shared" si="53"/>
        <v>&lt;Valeur name="compte"&gt;18&lt;/Valeur&gt;</v>
      </c>
      <c r="AD235" t="str">
        <f t="shared" si="54"/>
        <v>&lt;Valeur name="description"&gt;FRAIS E-VIR SEPA VERS EEE&lt;/Valeur&gt;</v>
      </c>
      <c r="AE235" t="str">
        <f t="shared" si="55"/>
        <v>&lt;Valeur name="valeur"&gt;0.21&lt;/Valeur&gt;</v>
      </c>
      <c r="AF235" t="str">
        <f t="shared" si="56"/>
        <v>&lt;Valeur name="compta"&gt;1&lt;/Valeur&gt;</v>
      </c>
      <c r="AG235" t="str">
        <f t="shared" si="57"/>
        <v>&lt;Valeur name="tvapct"&gt;20&lt;/Valeur&gt;</v>
      </c>
      <c r="AH235" t="str">
        <f t="shared" si="58"/>
        <v>&lt;Valeur name="tva"&gt;0.035&lt;/Valeur&gt;</v>
      </c>
      <c r="AL235" t="str">
        <f t="shared" si="59"/>
        <v>&lt;Insert&gt;&lt;Valeur name="no"&gt;234&lt;/Valeur&gt;&lt;Valeur name="ecriturebanque"&gt;218&lt;/Valeur&gt;&lt;Valeur name="datevaleur"&gt;2019/04/03&lt;/Valeur&gt;&lt;Valeur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236" spans="1:38" x14ac:dyDescent="0.25">
      <c r="A236">
        <v>219</v>
      </c>
      <c r="B236">
        <f>IF(A236&lt;&gt;"",VLOOKUP(A236,Banque!B:D,3,FALSE),1)</f>
        <v>0</v>
      </c>
      <c r="C236" s="1">
        <v>43559</v>
      </c>
      <c r="D236" t="s">
        <v>370</v>
      </c>
      <c r="E236" t="s">
        <v>37</v>
      </c>
      <c r="F236" t="s">
        <v>485</v>
      </c>
      <c r="H236" s="10">
        <v>5008.6000000000004</v>
      </c>
      <c r="I236" s="11">
        <f t="shared" si="45"/>
        <v>-834.76666666666642</v>
      </c>
      <c r="K236">
        <v>235</v>
      </c>
      <c r="L236">
        <v>219</v>
      </c>
      <c r="M236" s="16" t="s">
        <v>920</v>
      </c>
      <c r="N236">
        <f>IFERROR(VLOOKUP(D236,tab!A:B,2,FALSE),1)</f>
        <v>9</v>
      </c>
      <c r="O236" t="str">
        <f t="shared" si="46"/>
        <v>VIR TRESORERIE VILLENEUVE D / FAC NoAF241-4 DU 28/02/2019VILLE</v>
      </c>
      <c r="P236" s="14">
        <f t="shared" si="47"/>
        <v>5008.6000000000004</v>
      </c>
      <c r="Q236" s="14">
        <f t="shared" si="48"/>
        <v>0</v>
      </c>
      <c r="R236" s="14">
        <v>20</v>
      </c>
      <c r="S236" s="14">
        <f t="shared" si="49"/>
        <v>-834.76666666666642</v>
      </c>
      <c r="Z236" t="str">
        <f t="shared" si="50"/>
        <v>&lt;Valeur name="no"&gt;235&lt;/Valeur&gt;</v>
      </c>
      <c r="AA236" t="str">
        <f t="shared" si="51"/>
        <v>&lt;Valeur name="ecriturebanque"&gt;219&lt;/Valeur&gt;</v>
      </c>
      <c r="AB236" t="str">
        <f t="shared" si="52"/>
        <v>&lt;Valeur name="datevaleur"&gt;2019/04/04&lt;/Valeur&gt;</v>
      </c>
      <c r="AC236" t="str">
        <f t="shared" si="53"/>
        <v>&lt;Valeur name="compte"&gt;9&lt;/Valeur&gt;</v>
      </c>
      <c r="AD236" t="str">
        <f t="shared" si="54"/>
        <v>&lt;Valeur name="description"&gt;VIR TRESORERIE VILLENEUVE D / FAC NoAF241-4 DU 28/02/2019VILLE&lt;/Valeur&gt;</v>
      </c>
      <c r="AE236" t="str">
        <f t="shared" si="55"/>
        <v>&lt;Valeur name="valeur"&gt;5008.6&lt;/Valeur&gt;</v>
      </c>
      <c r="AF236" t="str">
        <f t="shared" si="56"/>
        <v>&lt;Valeur name="compta"&gt;0&lt;/Valeur&gt;</v>
      </c>
      <c r="AG236" t="str">
        <f t="shared" si="57"/>
        <v>&lt;Valeur name="tvapct"&gt;20&lt;/Valeur&gt;</v>
      </c>
      <c r="AH236" t="str">
        <f t="shared" si="58"/>
        <v>&lt;Valeur name="tva"&gt;-834.766666666666&lt;/Valeur&gt;</v>
      </c>
      <c r="AL236" t="str">
        <f t="shared" si="59"/>
        <v>&lt;Insert&gt;&lt;Valeur name="no"&gt;235&lt;/Valeur&gt;&lt;Valeur name="ecriturebanque"&gt;219&lt;/Valeur&gt;&lt;Valeur name="datevaleur"&gt;2019/04/04&lt;/Valeur&gt;&lt;Valeur name="compte"&gt;9&lt;/Valeur&gt;&lt;Valeur name="description"&gt;VIR TRESORERIE VILLENEUVE D / FAC NoAF241-4 DU 28/02/2019VILLE&lt;/Valeur&gt;&lt;Valeur name="valeur"&gt;5008.6&lt;/Valeur&gt;&lt;Valeur name="compta"&gt;0&lt;/Valeur&gt;&lt;Valeur name="tvapct"&gt;20&lt;/Valeur&gt;&lt;Valeur name="tva"&gt;-834.766666666666&lt;/Valeur&gt;&lt;/Insert&gt;</v>
      </c>
    </row>
    <row r="237" spans="1:38" x14ac:dyDescent="0.25">
      <c r="A237">
        <v>220</v>
      </c>
      <c r="B237">
        <f>IF(A237&lt;&gt;"",VLOOKUP(A237,Banque!B:D,3,FALSE),1)</f>
        <v>0</v>
      </c>
      <c r="C237" s="1">
        <v>43559</v>
      </c>
      <c r="D237" t="s">
        <v>434</v>
      </c>
      <c r="E237" t="s">
        <v>487</v>
      </c>
      <c r="H237" s="10">
        <v>1560</v>
      </c>
      <c r="I237" s="11">
        <f t="shared" si="45"/>
        <v>-260</v>
      </c>
      <c r="K237">
        <v>236</v>
      </c>
      <c r="L237">
        <v>220</v>
      </c>
      <c r="M237" s="16" t="s">
        <v>920</v>
      </c>
      <c r="N237">
        <f>IFERROR(VLOOKUP(D237,tab!A:B,2,FALSE),1)</f>
        <v>89</v>
      </c>
      <c r="O237" t="str">
        <f t="shared" si="46"/>
        <v>VIR MOUCHIE CONCEPT BOIS</v>
      </c>
      <c r="P237" s="14">
        <f t="shared" si="47"/>
        <v>1560</v>
      </c>
      <c r="Q237" s="14">
        <f t="shared" si="48"/>
        <v>0</v>
      </c>
      <c r="R237" s="14">
        <v>20</v>
      </c>
      <c r="S237" s="14">
        <f t="shared" si="49"/>
        <v>-260</v>
      </c>
      <c r="Z237" t="str">
        <f t="shared" si="50"/>
        <v>&lt;Valeur name="no"&gt;236&lt;/Valeur&gt;</v>
      </c>
      <c r="AA237" t="str">
        <f t="shared" si="51"/>
        <v>&lt;Valeur name="ecriturebanque"&gt;220&lt;/Valeur&gt;</v>
      </c>
      <c r="AB237" t="str">
        <f t="shared" si="52"/>
        <v>&lt;Valeur name="datevaleur"&gt;2019/04/04&lt;/Valeur&gt;</v>
      </c>
      <c r="AC237" t="str">
        <f t="shared" si="53"/>
        <v>&lt;Valeur name="compte"&gt;89&lt;/Valeur&gt;</v>
      </c>
      <c r="AD237" t="str">
        <f t="shared" si="54"/>
        <v>&lt;Valeur name="description"&gt;VIR MOUCHIE CONCEPT BOIS&lt;/Valeur&gt;</v>
      </c>
      <c r="AE237" t="str">
        <f t="shared" si="55"/>
        <v>&lt;Valeur name="valeur"&gt;1560&lt;/Valeur&gt;</v>
      </c>
      <c r="AF237" t="str">
        <f t="shared" si="56"/>
        <v>&lt;Valeur name="compta"&gt;0&lt;/Valeur&gt;</v>
      </c>
      <c r="AG237" t="str">
        <f t="shared" si="57"/>
        <v>&lt;Valeur name="tvapct"&gt;20&lt;/Valeur&gt;</v>
      </c>
      <c r="AH237" t="str">
        <f t="shared" si="58"/>
        <v>&lt;Valeur name="tva"&gt;-260&lt;/Valeur&gt;</v>
      </c>
      <c r="AL237" t="str">
        <f t="shared" si="59"/>
        <v>&lt;Insert&gt;&lt;Valeur name="no"&gt;236&lt;/Valeur&gt;&lt;Valeur name="ecriturebanque"&gt;220&lt;/Valeur&gt;&lt;Valeur name="datevaleur"&gt;2019/04/04&lt;/Valeur&gt;&lt;Valeur name="compte"&gt;89&lt;/Valeur&gt;&lt;Valeur name="description"&gt;VIR MOUCHIE CONCEPT BOIS&lt;/Valeur&gt;&lt;Valeur name="valeur"&gt;1560&lt;/Valeur&gt;&lt;Valeur name="compta"&gt;0&lt;/Valeur&gt;&lt;Valeur name="tvapct"&gt;20&lt;/Valeur&gt;&lt;Valeur name="tva"&gt;-260&lt;/Valeur&gt;&lt;/Insert&gt;</v>
      </c>
    </row>
    <row r="238" spans="1:38" x14ac:dyDescent="0.25">
      <c r="A238">
        <v>221</v>
      </c>
      <c r="B238">
        <f>IF(A238&lt;&gt;"",VLOOKUP(A238,Banque!B:D,3,FALSE),1)</f>
        <v>1</v>
      </c>
      <c r="C238" s="1">
        <v>43559</v>
      </c>
      <c r="D238" t="s">
        <v>376</v>
      </c>
      <c r="E238" t="s">
        <v>139</v>
      </c>
      <c r="F238" t="s">
        <v>140</v>
      </c>
      <c r="G238" s="10">
        <v>8</v>
      </c>
      <c r="I238" s="11">
        <f t="shared" si="45"/>
        <v>1.333333333333333</v>
      </c>
      <c r="K238">
        <v>237</v>
      </c>
      <c r="L238">
        <v>221</v>
      </c>
      <c r="M238" s="16" t="s">
        <v>920</v>
      </c>
      <c r="N238">
        <f>IFERROR(VLOOKUP(D238,tab!A:B,2,FALSE),1)</f>
        <v>69</v>
      </c>
      <c r="O238" t="str">
        <f t="shared" si="46"/>
        <v>PRLV SEPA Google Ireland Limited / APPS COMMERCE:le-metal.net:GG101</v>
      </c>
      <c r="P238" s="14">
        <f t="shared" si="47"/>
        <v>8</v>
      </c>
      <c r="Q238" s="14">
        <f t="shared" si="48"/>
        <v>1</v>
      </c>
      <c r="R238" s="14">
        <v>20</v>
      </c>
      <c r="S238" s="14">
        <f t="shared" si="49"/>
        <v>1.333333333333333</v>
      </c>
      <c r="Z238" t="str">
        <f t="shared" si="50"/>
        <v>&lt;Valeur name="no"&gt;237&lt;/Valeur&gt;</v>
      </c>
      <c r="AA238" t="str">
        <f t="shared" si="51"/>
        <v>&lt;Valeur name="ecriturebanque"&gt;221&lt;/Valeur&gt;</v>
      </c>
      <c r="AB238" t="str">
        <f t="shared" si="52"/>
        <v>&lt;Valeur name="datevaleur"&gt;2019/04/04&lt;/Valeur&gt;</v>
      </c>
      <c r="AC238" t="str">
        <f t="shared" si="53"/>
        <v>&lt;Valeur name="compte"&gt;69&lt;/Valeur&gt;</v>
      </c>
      <c r="AD238" t="str">
        <f t="shared" si="54"/>
        <v>&lt;Valeur name="description"&gt;PRLV SEPA Google Ireland Limited / APPS COMMERCE:le-metal.net:GG101&lt;/Valeur&gt;</v>
      </c>
      <c r="AE238" t="str">
        <f t="shared" si="55"/>
        <v>&lt;Valeur name="valeur"&gt;8&lt;/Valeur&gt;</v>
      </c>
      <c r="AF238" t="str">
        <f t="shared" si="56"/>
        <v>&lt;Valeur name="compta"&gt;1&lt;/Valeur&gt;</v>
      </c>
      <c r="AG238" t="str">
        <f t="shared" si="57"/>
        <v>&lt;Valeur name="tvapct"&gt;20&lt;/Valeur&gt;</v>
      </c>
      <c r="AH238" t="str">
        <f t="shared" si="58"/>
        <v>&lt;Valeur name="tva"&gt;1.33333333333333&lt;/Valeur&gt;</v>
      </c>
      <c r="AL238" t="str">
        <f t="shared" si="59"/>
        <v>&lt;Insert&gt;&lt;Valeur name="no"&gt;237&lt;/Valeur&gt;&lt;Valeur name="ecriturebanque"&gt;221&lt;/Valeur&gt;&lt;Valeur name="datevaleur"&gt;2019/04/04&lt;/Valeur&gt;&lt;Valeur name="compte"&gt;69&lt;/Valeur&gt;&lt;Valeur name="description"&gt;PRLV SEPA Google Ireland Limited / APPS COMMERCE:le-metal.net:GG101&lt;/Valeur&gt;&lt;Valeur name="valeur"&gt;8&lt;/Valeur&gt;&lt;Valeur name="compta"&gt;1&lt;/Valeur&gt;&lt;Valeur name="tvapct"&gt;20&lt;/Valeur&gt;&lt;Valeur name="tva"&gt;1.33333333333333&lt;/Valeur&gt;&lt;/Insert&gt;</v>
      </c>
    </row>
    <row r="239" spans="1:38" x14ac:dyDescent="0.25">
      <c r="A239">
        <v>222</v>
      </c>
      <c r="B239">
        <f>IF(A239&lt;&gt;"",VLOOKUP(A239,Banque!B:D,3,FALSE),1)</f>
        <v>0</v>
      </c>
      <c r="C239" s="1">
        <v>43560</v>
      </c>
      <c r="D239" t="s">
        <v>379</v>
      </c>
      <c r="E239" t="s">
        <v>65</v>
      </c>
      <c r="F239" t="s">
        <v>490</v>
      </c>
      <c r="H239" s="10">
        <v>3900</v>
      </c>
      <c r="I239" s="11">
        <f t="shared" si="45"/>
        <v>-650</v>
      </c>
      <c r="K239">
        <v>238</v>
      </c>
      <c r="L239">
        <v>222</v>
      </c>
      <c r="M239" s="16" t="s">
        <v>970</v>
      </c>
      <c r="N239">
        <f>IFERROR(VLOOKUP(D239,tab!A:B,2,FALSE),1)</f>
        <v>4</v>
      </c>
      <c r="O239" t="str">
        <f t="shared" si="46"/>
        <v>VIR TRESORERIE ARRAS MUNICIP / FAC. AF250-2 DU 19/03/2019REGLET</v>
      </c>
      <c r="P239" s="14">
        <f t="shared" si="47"/>
        <v>3900</v>
      </c>
      <c r="Q239" s="14">
        <f t="shared" si="48"/>
        <v>0</v>
      </c>
      <c r="R239" s="14">
        <v>20</v>
      </c>
      <c r="S239" s="14">
        <f t="shared" si="49"/>
        <v>-650</v>
      </c>
      <c r="Z239" t="str">
        <f t="shared" si="50"/>
        <v>&lt;Valeur name="no"&gt;238&lt;/Valeur&gt;</v>
      </c>
      <c r="AA239" t="str">
        <f t="shared" si="51"/>
        <v>&lt;Valeur name="ecriturebanque"&gt;222&lt;/Valeur&gt;</v>
      </c>
      <c r="AB239" t="str">
        <f t="shared" si="52"/>
        <v>&lt;Valeur name="datevaleur"&gt;2019/04/05&lt;/Valeur&gt;</v>
      </c>
      <c r="AC239" t="str">
        <f t="shared" si="53"/>
        <v>&lt;Valeur name="compte"&gt;4&lt;/Valeur&gt;</v>
      </c>
      <c r="AD239" t="str">
        <f t="shared" si="54"/>
        <v>&lt;Valeur name="description"&gt;VIR TRESORERIE ARRAS MUNICIP / FAC. AF250-2 DU 19/03/2019REGLET&lt;/Valeur&gt;</v>
      </c>
      <c r="AE239" t="str">
        <f t="shared" si="55"/>
        <v>&lt;Valeur name="valeur"&gt;3900&lt;/Valeur&gt;</v>
      </c>
      <c r="AF239" t="str">
        <f t="shared" si="56"/>
        <v>&lt;Valeur name="compta"&gt;0&lt;/Valeur&gt;</v>
      </c>
      <c r="AG239" t="str">
        <f t="shared" si="57"/>
        <v>&lt;Valeur name="tvapct"&gt;20&lt;/Valeur&gt;</v>
      </c>
      <c r="AH239" t="str">
        <f t="shared" si="58"/>
        <v>&lt;Valeur name="tva"&gt;-650&lt;/Valeur&gt;</v>
      </c>
      <c r="AL239" t="str">
        <f t="shared" si="59"/>
        <v>&lt;Insert&gt;&lt;Valeur name="no"&gt;238&lt;/Valeur&gt;&lt;Valeur name="ecriturebanque"&gt;222&lt;/Valeur&gt;&lt;Valeur name="datevaleur"&gt;2019/04/05&lt;/Valeur&gt;&lt;Valeur name="compte"&gt;4&lt;/Valeur&gt;&lt;Valeur name="description"&gt;VIR TRESORERIE ARRAS MUNICIP / FAC. AF250-2 DU 19/03/2019REGLET&lt;/Valeur&gt;&lt;Valeur name="valeur"&gt;3900&lt;/Valeur&gt;&lt;Valeur name="compta"&gt;0&lt;/Valeur&gt;&lt;Valeur name="tvapct"&gt;20&lt;/Valeur&gt;&lt;Valeur name="tva"&gt;-650&lt;/Valeur&gt;&lt;/Insert&gt;</v>
      </c>
    </row>
    <row r="240" spans="1:38" x14ac:dyDescent="0.25">
      <c r="A240">
        <v>223</v>
      </c>
      <c r="B240">
        <f>IF(A240&lt;&gt;"",VLOOKUP(A240,Banque!B:D,3,FALSE),1)</f>
        <v>1</v>
      </c>
      <c r="C240" s="1">
        <v>43563</v>
      </c>
      <c r="D240" t="s">
        <v>254</v>
      </c>
      <c r="E240" t="s">
        <v>33</v>
      </c>
      <c r="G240" s="10">
        <v>33.5</v>
      </c>
      <c r="I240" s="11">
        <f t="shared" si="45"/>
        <v>5.5833333333333321</v>
      </c>
      <c r="K240">
        <v>239</v>
      </c>
      <c r="L240">
        <v>223</v>
      </c>
      <c r="M240" s="16" t="s">
        <v>971</v>
      </c>
      <c r="N240">
        <f>IFERROR(VLOOKUP(D240,tab!A:B,2,FALSE),1)</f>
        <v>27</v>
      </c>
      <c r="O240" t="str">
        <f t="shared" si="46"/>
        <v>CB 454106 PIZZA NONNA 59VILLENEU</v>
      </c>
      <c r="P240" s="14">
        <f t="shared" si="47"/>
        <v>33.5</v>
      </c>
      <c r="Q240" s="14">
        <f t="shared" si="48"/>
        <v>1</v>
      </c>
      <c r="R240" s="14">
        <v>20</v>
      </c>
      <c r="S240" s="14">
        <f t="shared" si="49"/>
        <v>5.5833333333333321</v>
      </c>
      <c r="Z240" t="str">
        <f t="shared" si="50"/>
        <v>&lt;Valeur name="no"&gt;239&lt;/Valeur&gt;</v>
      </c>
      <c r="AA240" t="str">
        <f t="shared" si="51"/>
        <v>&lt;Valeur name="ecriturebanque"&gt;223&lt;/Valeur&gt;</v>
      </c>
      <c r="AB240" t="str">
        <f t="shared" si="52"/>
        <v>&lt;Valeur name="datevaleur"&gt;2019/04/08&lt;/Valeur&gt;</v>
      </c>
      <c r="AC240" t="str">
        <f t="shared" si="53"/>
        <v>&lt;Valeur name="compte"&gt;27&lt;/Valeur&gt;</v>
      </c>
      <c r="AD240" t="str">
        <f t="shared" si="54"/>
        <v>&lt;Valeur name="description"&gt;CB 454106 PIZZA NONNA 59VILLENEU&lt;/Valeur&gt;</v>
      </c>
      <c r="AE240" t="str">
        <f t="shared" si="55"/>
        <v>&lt;Valeur name="valeur"&gt;33.5&lt;/Valeur&gt;</v>
      </c>
      <c r="AF240" t="str">
        <f t="shared" si="56"/>
        <v>&lt;Valeur name="compta"&gt;1&lt;/Valeur&gt;</v>
      </c>
      <c r="AG240" t="str">
        <f t="shared" si="57"/>
        <v>&lt;Valeur name="tvapct"&gt;20&lt;/Valeur&gt;</v>
      </c>
      <c r="AH240" t="str">
        <f t="shared" si="58"/>
        <v>&lt;Valeur name="tva"&gt;5.58333333333333&lt;/Valeur&gt;</v>
      </c>
      <c r="AL240" t="str">
        <f t="shared" si="59"/>
        <v>&lt;Insert&gt;&lt;Valeur name="no"&gt;239&lt;/Valeur&gt;&lt;Valeur name="ecriturebanque"&gt;223&lt;/Valeur&gt;&lt;Valeur name="datevaleur"&gt;2019/04/08&lt;/Valeur&gt;&lt;Valeur name="compte"&gt;27&lt;/Valeur&gt;&lt;Valeur name="description"&gt;CB 454106 PIZZA NONNA 59VILLENEU&lt;/Valeur&gt;&lt;Valeur name="valeur"&gt;33.5&lt;/Valeur&gt;&lt;Valeur name="compta"&gt;1&lt;/Valeur&gt;&lt;Valeur name="tvapct"&gt;20&lt;/Valeur&gt;&lt;Valeur name="tva"&gt;5.58333333333333&lt;/Valeur&gt;&lt;/Insert&gt;</v>
      </c>
    </row>
    <row r="241" spans="1:38" x14ac:dyDescent="0.25">
      <c r="A241">
        <v>224</v>
      </c>
      <c r="B241">
        <f>IF(A241&lt;&gt;"",VLOOKUP(A241,Banque!B:D,3,FALSE),1)</f>
        <v>0</v>
      </c>
      <c r="C241" s="1">
        <v>43564</v>
      </c>
      <c r="D241" t="s">
        <v>286</v>
      </c>
      <c r="E241" t="s">
        <v>594</v>
      </c>
      <c r="G241" s="10">
        <v>158.4</v>
      </c>
      <c r="I241" s="11">
        <f t="shared" si="45"/>
        <v>26.400000000000006</v>
      </c>
      <c r="K241">
        <v>240</v>
      </c>
      <c r="L241">
        <v>224</v>
      </c>
      <c r="M241" s="16" t="s">
        <v>972</v>
      </c>
      <c r="N241">
        <f>IFERROR(VLOOKUP(D241,tab!A:B,2,FALSE),1)</f>
        <v>33</v>
      </c>
      <c r="O241" t="str">
        <f t="shared" si="46"/>
        <v>RELEVE LCR DU  020419  CONFORME</v>
      </c>
      <c r="P241" s="14">
        <f t="shared" si="47"/>
        <v>158.4</v>
      </c>
      <c r="Q241" s="14">
        <f t="shared" si="48"/>
        <v>0</v>
      </c>
      <c r="R241" s="14">
        <v>20</v>
      </c>
      <c r="S241" s="14">
        <f t="shared" si="49"/>
        <v>26.400000000000006</v>
      </c>
      <c r="Z241" t="str">
        <f t="shared" si="50"/>
        <v>&lt;Valeur name="no"&gt;240&lt;/Valeur&gt;</v>
      </c>
      <c r="AA241" t="str">
        <f t="shared" si="51"/>
        <v>&lt;Valeur name="ecriturebanque"&gt;224&lt;/Valeur&gt;</v>
      </c>
      <c r="AB241" t="str">
        <f t="shared" si="52"/>
        <v>&lt;Valeur name="datevaleur"&gt;2019/04/09&lt;/Valeur&gt;</v>
      </c>
      <c r="AC241" t="str">
        <f t="shared" si="53"/>
        <v>&lt;Valeur name="compte"&gt;33&lt;/Valeur&gt;</v>
      </c>
      <c r="AD241" t="str">
        <f t="shared" si="54"/>
        <v>&lt;Valeur name="description"&gt;RELEVE LCR DU  020419  CONFORME&lt;/Valeur&gt;</v>
      </c>
      <c r="AE241" t="str">
        <f t="shared" si="55"/>
        <v>&lt;Valeur name="valeur"&gt;158.4&lt;/Valeur&gt;</v>
      </c>
      <c r="AF241" t="str">
        <f t="shared" si="56"/>
        <v>&lt;Valeur name="compta"&gt;0&lt;/Valeur&gt;</v>
      </c>
      <c r="AG241" t="str">
        <f t="shared" si="57"/>
        <v>&lt;Valeur name="tvapct"&gt;20&lt;/Valeur&gt;</v>
      </c>
      <c r="AH241" t="str">
        <f t="shared" si="58"/>
        <v>&lt;Valeur name="tva"&gt;26.4&lt;/Valeur&gt;</v>
      </c>
      <c r="AL241" t="str">
        <f t="shared" si="59"/>
        <v>&lt;Insert&gt;&lt;Valeur name="no"&gt;240&lt;/Valeur&gt;&lt;Valeur name="ecriturebanque"&gt;224&lt;/Valeur&gt;&lt;Valeur name="datevaleur"&gt;2019/04/09&lt;/Valeur&gt;&lt;Valeur name="compte"&gt;33&lt;/Valeur&gt;&lt;Valeur name="description"&gt;RELEVE LCR DU  020419  CONFORME&lt;/Valeur&gt;&lt;Valeur name="valeur"&gt;158.4&lt;/Valeur&gt;&lt;Valeur name="compta"&gt;0&lt;/Valeur&gt;&lt;Valeur name="tvapct"&gt;20&lt;/Valeur&gt;&lt;Valeur name="tva"&gt;26.4&lt;/Valeur&gt;&lt;/Insert&gt;</v>
      </c>
    </row>
    <row r="242" spans="1:38" x14ac:dyDescent="0.25">
      <c r="A242">
        <v>225</v>
      </c>
      <c r="B242">
        <f>IF(A242&lt;&gt;"",VLOOKUP(A242,Banque!B:D,3,FALSE),1)</f>
        <v>0</v>
      </c>
      <c r="C242" s="1">
        <v>43564</v>
      </c>
      <c r="D242" t="s">
        <v>540</v>
      </c>
      <c r="E242" t="s">
        <v>596</v>
      </c>
      <c r="F242" t="s">
        <v>597</v>
      </c>
      <c r="H242" s="10">
        <v>1602</v>
      </c>
      <c r="I242" s="11">
        <f t="shared" si="45"/>
        <v>-267</v>
      </c>
      <c r="K242">
        <v>241</v>
      </c>
      <c r="L242">
        <v>225</v>
      </c>
      <c r="M242" s="16" t="s">
        <v>972</v>
      </c>
      <c r="N242">
        <f>IFERROR(VLOOKUP(D242,tab!A:B,2,FALSE),1)</f>
        <v>126</v>
      </c>
      <c r="O242" t="str">
        <f t="shared" si="46"/>
        <v>VIR CONSTRUCTYS / 3118008994-QS METALLIER NIVEAU 3</v>
      </c>
      <c r="P242" s="14">
        <f t="shared" si="47"/>
        <v>1602</v>
      </c>
      <c r="Q242" s="14">
        <f t="shared" si="48"/>
        <v>0</v>
      </c>
      <c r="R242" s="14">
        <v>20</v>
      </c>
      <c r="S242" s="14">
        <f t="shared" si="49"/>
        <v>-267</v>
      </c>
      <c r="Z242" t="str">
        <f t="shared" si="50"/>
        <v>&lt;Valeur name="no"&gt;241&lt;/Valeur&gt;</v>
      </c>
      <c r="AA242" t="str">
        <f t="shared" si="51"/>
        <v>&lt;Valeur name="ecriturebanque"&gt;225&lt;/Valeur&gt;</v>
      </c>
      <c r="AB242" t="str">
        <f t="shared" si="52"/>
        <v>&lt;Valeur name="datevaleur"&gt;2019/04/09&lt;/Valeur&gt;</v>
      </c>
      <c r="AC242" t="str">
        <f t="shared" si="53"/>
        <v>&lt;Valeur name="compte"&gt;126&lt;/Valeur&gt;</v>
      </c>
      <c r="AD242" t="str">
        <f t="shared" si="54"/>
        <v>&lt;Valeur name="description"&gt;VIR CONSTRUCTYS / 3118008994-QS METALLIER NIVEAU 3&lt;/Valeur&gt;</v>
      </c>
      <c r="AE242" t="str">
        <f t="shared" si="55"/>
        <v>&lt;Valeur name="valeur"&gt;1602&lt;/Valeur&gt;</v>
      </c>
      <c r="AF242" t="str">
        <f t="shared" si="56"/>
        <v>&lt;Valeur name="compta"&gt;0&lt;/Valeur&gt;</v>
      </c>
      <c r="AG242" t="str">
        <f t="shared" si="57"/>
        <v>&lt;Valeur name="tvapct"&gt;20&lt;/Valeur&gt;</v>
      </c>
      <c r="AH242" t="str">
        <f t="shared" si="58"/>
        <v>&lt;Valeur name="tva"&gt;-267&lt;/Valeur&gt;</v>
      </c>
      <c r="AL242" t="str">
        <f t="shared" si="59"/>
        <v>&lt;Insert&gt;&lt;Valeur name="no"&gt;241&lt;/Valeur&gt;&lt;Valeur name="ecriturebanque"&gt;225&lt;/Valeur&gt;&lt;Valeur name="datevaleur"&gt;2019/04/09&lt;/Valeur&gt;&lt;Valeur name="compte"&gt;126&lt;/Valeur&gt;&lt;Valeur name="description"&gt;VIR CONSTRUCTYS / 3118008994-QS METALLIER NIVEAU 3&lt;/Valeur&gt;&lt;Valeur name="valeur"&gt;1602&lt;/Valeur&gt;&lt;Valeur name="compta"&gt;0&lt;/Valeur&gt;&lt;Valeur name="tvapct"&gt;20&lt;/Valeur&gt;&lt;Valeur name="tva"&gt;-267&lt;/Valeur&gt;&lt;/Insert&gt;</v>
      </c>
    </row>
    <row r="243" spans="1:38" x14ac:dyDescent="0.25">
      <c r="A243">
        <v>226</v>
      </c>
      <c r="B243">
        <f>IF(A243&lt;&gt;"",VLOOKUP(A243,Banque!B:D,3,FALSE),1)</f>
        <v>0</v>
      </c>
      <c r="C243" s="1">
        <v>43565</v>
      </c>
      <c r="D243" t="s">
        <v>288</v>
      </c>
      <c r="E243" t="s">
        <v>599</v>
      </c>
      <c r="G243" s="10">
        <v>464.4</v>
      </c>
      <c r="I243" s="11">
        <f t="shared" si="45"/>
        <v>77.399999999999977</v>
      </c>
      <c r="K243">
        <v>242</v>
      </c>
      <c r="L243">
        <v>226</v>
      </c>
      <c r="M243" s="16" t="s">
        <v>908</v>
      </c>
      <c r="N243">
        <f>IFERROR(VLOOKUP(D243,tab!A:B,2,FALSE),1)</f>
        <v>120</v>
      </c>
      <c r="O243" t="str">
        <f t="shared" si="46"/>
        <v>RELEVE LCR DU  030419  CONFORME</v>
      </c>
      <c r="P243" s="14">
        <f t="shared" si="47"/>
        <v>464.4</v>
      </c>
      <c r="Q243" s="14">
        <f t="shared" si="48"/>
        <v>0</v>
      </c>
      <c r="R243" s="14">
        <v>20</v>
      </c>
      <c r="S243" s="14">
        <f t="shared" si="49"/>
        <v>77.399999999999977</v>
      </c>
      <c r="Z243" t="str">
        <f t="shared" si="50"/>
        <v>&lt;Valeur name="no"&gt;242&lt;/Valeur&gt;</v>
      </c>
      <c r="AA243" t="str">
        <f t="shared" si="51"/>
        <v>&lt;Valeur name="ecriturebanque"&gt;226&lt;/Valeur&gt;</v>
      </c>
      <c r="AB243" t="str">
        <f t="shared" si="52"/>
        <v>&lt;Valeur name="datevaleur"&gt;2019/04/10&lt;/Valeur&gt;</v>
      </c>
      <c r="AC243" t="str">
        <f t="shared" si="53"/>
        <v>&lt;Valeur name="compte"&gt;120&lt;/Valeur&gt;</v>
      </c>
      <c r="AD243" t="str">
        <f t="shared" si="54"/>
        <v>&lt;Valeur name="description"&gt;RELEVE LCR DU  030419  CONFORME&lt;/Valeur&gt;</v>
      </c>
      <c r="AE243" t="str">
        <f t="shared" si="55"/>
        <v>&lt;Valeur name="valeur"&gt;464.4&lt;/Valeur&gt;</v>
      </c>
      <c r="AF243" t="str">
        <f t="shared" si="56"/>
        <v>&lt;Valeur name="compta"&gt;0&lt;/Valeur&gt;</v>
      </c>
      <c r="AG243" t="str">
        <f t="shared" si="57"/>
        <v>&lt;Valeur name="tvapct"&gt;20&lt;/Valeur&gt;</v>
      </c>
      <c r="AH243" t="str">
        <f t="shared" si="58"/>
        <v>&lt;Valeur name="tva"&gt;77.4&lt;/Valeur&gt;</v>
      </c>
      <c r="AL243" t="str">
        <f t="shared" si="59"/>
        <v>&lt;Insert&gt;&lt;Valeur name="no"&gt;242&lt;/Valeur&gt;&lt;Valeur name="ecriturebanque"&gt;226&lt;/Valeur&gt;&lt;Valeur name="datevaleur"&gt;2019/04/10&lt;/Valeur&gt;&lt;Valeur name="compte"&gt;120&lt;/Valeur&gt;&lt;Valeur name="description"&gt;RELEVE LCR DU  030419  CONFORME&lt;/Valeur&gt;&lt;Valeur name="valeur"&gt;464.4&lt;/Valeur&gt;&lt;Valeur name="compta"&gt;0&lt;/Valeur&gt;&lt;Valeur name="tvapct"&gt;20&lt;/Valeur&gt;&lt;Valeur name="tva"&gt;77.4&lt;/Valeur&gt;&lt;/Insert&gt;</v>
      </c>
    </row>
    <row r="244" spans="1:38" x14ac:dyDescent="0.25">
      <c r="A244">
        <v>227</v>
      </c>
      <c r="B244">
        <f>IF(A244&lt;&gt;"",VLOOKUP(A244,Banque!B:D,3,FALSE),1)</f>
        <v>1</v>
      </c>
      <c r="C244" s="1">
        <v>43565</v>
      </c>
      <c r="D244" t="s">
        <v>253</v>
      </c>
      <c r="E244" t="s">
        <v>149</v>
      </c>
      <c r="G244" s="10">
        <v>79.66</v>
      </c>
      <c r="I244" s="11">
        <f t="shared" si="45"/>
        <v>13.276666666666657</v>
      </c>
      <c r="K244">
        <v>243</v>
      </c>
      <c r="L244">
        <v>227</v>
      </c>
      <c r="M244" s="16" t="s">
        <v>908</v>
      </c>
      <c r="N244">
        <f>IFERROR(VLOOKUP(D244,tab!A:B,2,FALSE),1)</f>
        <v>13</v>
      </c>
      <c r="O244" t="str">
        <f t="shared" si="46"/>
        <v>CB 548222 CARREFOUR D 59AULNOY L</v>
      </c>
      <c r="P244" s="14">
        <f t="shared" si="47"/>
        <v>79.66</v>
      </c>
      <c r="Q244" s="14">
        <f t="shared" si="48"/>
        <v>1</v>
      </c>
      <c r="R244" s="14">
        <v>20</v>
      </c>
      <c r="S244" s="14">
        <f t="shared" si="49"/>
        <v>13.276666666666657</v>
      </c>
      <c r="Z244" t="str">
        <f t="shared" si="50"/>
        <v>&lt;Valeur name="no"&gt;243&lt;/Valeur&gt;</v>
      </c>
      <c r="AA244" t="str">
        <f t="shared" si="51"/>
        <v>&lt;Valeur name="ecriturebanque"&gt;227&lt;/Valeur&gt;</v>
      </c>
      <c r="AB244" t="str">
        <f t="shared" si="52"/>
        <v>&lt;Valeur name="datevaleur"&gt;2019/04/10&lt;/Valeur&gt;</v>
      </c>
      <c r="AC244" t="str">
        <f t="shared" si="53"/>
        <v>&lt;Valeur name="compte"&gt;13&lt;/Valeur&gt;</v>
      </c>
      <c r="AD244" t="str">
        <f t="shared" si="54"/>
        <v>&lt;Valeur name="description"&gt;CB 548222 CARREFOUR D 59AULNOY L&lt;/Valeur&gt;</v>
      </c>
      <c r="AE244" t="str">
        <f t="shared" si="55"/>
        <v>&lt;Valeur name="valeur"&gt;79.66&lt;/Valeur&gt;</v>
      </c>
      <c r="AF244" t="str">
        <f t="shared" si="56"/>
        <v>&lt;Valeur name="compta"&gt;1&lt;/Valeur&gt;</v>
      </c>
      <c r="AG244" t="str">
        <f t="shared" si="57"/>
        <v>&lt;Valeur name="tvapct"&gt;20&lt;/Valeur&gt;</v>
      </c>
      <c r="AH244" t="str">
        <f t="shared" si="58"/>
        <v>&lt;Valeur name="tva"&gt;13.2766666666667&lt;/Valeur&gt;</v>
      </c>
      <c r="AL244" t="str">
        <f t="shared" si="59"/>
        <v>&lt;Insert&gt;&lt;Valeur name="no"&gt;243&lt;/Valeur&gt;&lt;Valeur name="ecriturebanque"&gt;227&lt;/Valeur&gt;&lt;Valeur name="datevaleur"&gt;2019/04/10&lt;/Valeur&gt;&lt;Valeur name="compte"&gt;13&lt;/Valeur&gt;&lt;Valeur name="description"&gt;CB 548222 CARREFOUR D 59AULNOY L&lt;/Valeur&gt;&lt;Valeur name="valeur"&gt;79.66&lt;/Valeur&gt;&lt;Valeur name="compta"&gt;1&lt;/Valeur&gt;&lt;Valeur name="tvapct"&gt;20&lt;/Valeur&gt;&lt;Valeur name="tva"&gt;13.2766666666667&lt;/Valeur&gt;&lt;/Insert&gt;</v>
      </c>
    </row>
    <row r="245" spans="1:38" x14ac:dyDescent="0.25">
      <c r="A245">
        <v>228</v>
      </c>
      <c r="B245">
        <f>IF(A245&lt;&gt;"",VLOOKUP(A245,Banque!B:D,3,FALSE),1)</f>
        <v>1</v>
      </c>
      <c r="C245" s="1">
        <v>43565</v>
      </c>
      <c r="D245" t="s">
        <v>254</v>
      </c>
      <c r="E245" t="s">
        <v>602</v>
      </c>
      <c r="G245" s="10">
        <v>24</v>
      </c>
      <c r="I245" s="11">
        <f t="shared" si="45"/>
        <v>4</v>
      </c>
      <c r="K245">
        <v>244</v>
      </c>
      <c r="L245">
        <v>228</v>
      </c>
      <c r="M245" s="16" t="s">
        <v>908</v>
      </c>
      <c r="N245">
        <f>IFERROR(VLOOKUP(D245,tab!A:B,2,FALSE),1)</f>
        <v>27</v>
      </c>
      <c r="O245" t="str">
        <f t="shared" si="46"/>
        <v>CB 454106 N 60 SPRL     FRASNES-</v>
      </c>
      <c r="P245" s="14">
        <f t="shared" si="47"/>
        <v>24</v>
      </c>
      <c r="Q245" s="14">
        <f t="shared" si="48"/>
        <v>1</v>
      </c>
      <c r="R245" s="14">
        <v>20</v>
      </c>
      <c r="S245" s="14">
        <f t="shared" si="49"/>
        <v>4</v>
      </c>
      <c r="Z245" t="str">
        <f t="shared" si="50"/>
        <v>&lt;Valeur name="no"&gt;244&lt;/Valeur&gt;</v>
      </c>
      <c r="AA245" t="str">
        <f t="shared" si="51"/>
        <v>&lt;Valeur name="ecriturebanque"&gt;228&lt;/Valeur&gt;</v>
      </c>
      <c r="AB245" t="str">
        <f t="shared" si="52"/>
        <v>&lt;Valeur name="datevaleur"&gt;2019/04/10&lt;/Valeur&gt;</v>
      </c>
      <c r="AC245" t="str">
        <f t="shared" si="53"/>
        <v>&lt;Valeur name="compte"&gt;27&lt;/Valeur&gt;</v>
      </c>
      <c r="AD245" t="str">
        <f t="shared" si="54"/>
        <v>&lt;Valeur name="description"&gt;CB 454106 N 60 SPRL     FRASNES-&lt;/Valeur&gt;</v>
      </c>
      <c r="AE245" t="str">
        <f t="shared" si="55"/>
        <v>&lt;Valeur name="valeur"&gt;24&lt;/Valeur&gt;</v>
      </c>
      <c r="AF245" t="str">
        <f t="shared" si="56"/>
        <v>&lt;Valeur name="compta"&gt;1&lt;/Valeur&gt;</v>
      </c>
      <c r="AG245" t="str">
        <f t="shared" si="57"/>
        <v>&lt;Valeur name="tvapct"&gt;20&lt;/Valeur&gt;</v>
      </c>
      <c r="AH245" t="str">
        <f t="shared" si="58"/>
        <v>&lt;Valeur name="tva"&gt;4&lt;/Valeur&gt;</v>
      </c>
      <c r="AL245" t="str">
        <f t="shared" si="59"/>
        <v>&lt;Insert&gt;&lt;Valeur name="no"&gt;244&lt;/Valeur&gt;&lt;Valeur name="ecriturebanque"&gt;228&lt;/Valeur&gt;&lt;Valeur name="datevaleur"&gt;2019/04/10&lt;/Valeur&gt;&lt;Valeur name="compte"&gt;27&lt;/Valeur&gt;&lt;Valeur name="description"&gt;CB 454106 N 60 SPRL     FRASNES-&lt;/Valeur&gt;&lt;Valeur name="valeur"&gt;24&lt;/Valeur&gt;&lt;Valeur name="compta"&gt;1&lt;/Valeur&gt;&lt;Valeur name="tvapct"&gt;20&lt;/Valeur&gt;&lt;Valeur name="tva"&gt;4&lt;/Valeur&gt;&lt;/Insert&gt;</v>
      </c>
    </row>
    <row r="246" spans="1:38" x14ac:dyDescent="0.25">
      <c r="A246">
        <v>229</v>
      </c>
      <c r="B246">
        <f>IF(A246&lt;&gt;"",VLOOKUP(A246,Banque!B:D,3,FALSE),1)</f>
        <v>1</v>
      </c>
      <c r="C246" s="1">
        <v>43565</v>
      </c>
      <c r="D246" t="s">
        <v>257</v>
      </c>
      <c r="E246" t="s">
        <v>101</v>
      </c>
      <c r="G246" s="10">
        <v>1.6</v>
      </c>
      <c r="I246" s="11">
        <f t="shared" si="45"/>
        <v>0.26666666666666661</v>
      </c>
      <c r="K246">
        <v>245</v>
      </c>
      <c r="L246">
        <v>229</v>
      </c>
      <c r="M246" s="16" t="s">
        <v>908</v>
      </c>
      <c r="N246">
        <f>IFERROR(VLOOKUP(D246,tab!A:B,2,FALSE),1)</f>
        <v>18</v>
      </c>
      <c r="O246" t="str">
        <f t="shared" si="46"/>
        <v>FRAIS VIR SEPA PERMANENT</v>
      </c>
      <c r="P246" s="14">
        <f t="shared" si="47"/>
        <v>1.6</v>
      </c>
      <c r="Q246" s="14">
        <f t="shared" si="48"/>
        <v>1</v>
      </c>
      <c r="R246" s="14">
        <v>20</v>
      </c>
      <c r="S246" s="14">
        <f t="shared" si="49"/>
        <v>0.26666666666666661</v>
      </c>
      <c r="Z246" t="str">
        <f t="shared" si="50"/>
        <v>&lt;Valeur name="no"&gt;245&lt;/Valeur&gt;</v>
      </c>
      <c r="AA246" t="str">
        <f t="shared" si="51"/>
        <v>&lt;Valeur name="ecriturebanque"&gt;229&lt;/Valeur&gt;</v>
      </c>
      <c r="AB246" t="str">
        <f t="shared" si="52"/>
        <v>&lt;Valeur name="datevaleur"&gt;2019/04/10&lt;/Valeur&gt;</v>
      </c>
      <c r="AC246" t="str">
        <f t="shared" si="53"/>
        <v>&lt;Valeur name="compte"&gt;18&lt;/Valeur&gt;</v>
      </c>
      <c r="AD246" t="str">
        <f t="shared" si="54"/>
        <v>&lt;Valeur name="description"&gt;FRAIS VIR SEPA PERMANENT&lt;/Valeur&gt;</v>
      </c>
      <c r="AE246" t="str">
        <f t="shared" si="55"/>
        <v>&lt;Valeur name="valeur"&gt;1.6&lt;/Valeur&gt;</v>
      </c>
      <c r="AF246" t="str">
        <f t="shared" si="56"/>
        <v>&lt;Valeur name="compta"&gt;1&lt;/Valeur&gt;</v>
      </c>
      <c r="AG246" t="str">
        <f t="shared" si="57"/>
        <v>&lt;Valeur name="tvapct"&gt;20&lt;/Valeur&gt;</v>
      </c>
      <c r="AH246" t="str">
        <f t="shared" si="58"/>
        <v>&lt;Valeur name="tva"&gt;0.266666666666667&lt;/Valeur&gt;</v>
      </c>
      <c r="AL246" t="str">
        <f t="shared" si="59"/>
        <v>&lt;Insert&gt;&lt;Valeur name="no"&gt;245&lt;/Valeur&gt;&lt;Valeur name="ecriturebanque"&gt;229&lt;/Valeur&gt;&lt;Valeur name="datevaleur"&gt;2019/04/10&lt;/Valeur&gt;&lt;Valeur name="compte"&gt;18&lt;/Valeur&gt;&lt;Valeur name="description"&gt;FRAIS VIR SEPA PERMANENT&lt;/Valeur&gt;&lt;Valeur name="valeur"&gt;1.6&lt;/Valeur&gt;&lt;Valeur name="compta"&gt;1&lt;/Valeur&gt;&lt;Valeur name="tvapct"&gt;20&lt;/Valeur&gt;&lt;Valeur name="tva"&gt;0.266666666666667&lt;/Valeur&gt;&lt;/Insert&gt;</v>
      </c>
    </row>
    <row r="247" spans="1:38" x14ac:dyDescent="0.25">
      <c r="A247">
        <v>230</v>
      </c>
      <c r="B247">
        <f>IF(A247&lt;&gt;"",VLOOKUP(A247,Banque!B:D,3,FALSE),1)</f>
        <v>1</v>
      </c>
      <c r="C247" s="1">
        <v>43565</v>
      </c>
      <c r="D247" t="s">
        <v>255</v>
      </c>
      <c r="E247" t="s">
        <v>113</v>
      </c>
      <c r="G247" s="10">
        <v>1300</v>
      </c>
      <c r="I247" s="11">
        <f t="shared" si="45"/>
        <v>216.66666666666652</v>
      </c>
      <c r="K247">
        <v>246</v>
      </c>
      <c r="L247">
        <v>230</v>
      </c>
      <c r="M247" s="16" t="s">
        <v>908</v>
      </c>
      <c r="N247">
        <f>IFERROR(VLOOKUP(D247,tab!A:B,2,FALSE),1)</f>
        <v>20</v>
      </c>
      <c r="O247" t="str">
        <f t="shared" si="46"/>
        <v>VIR SEPA SCI LT DECO</v>
      </c>
      <c r="P247" s="14">
        <f t="shared" si="47"/>
        <v>1300</v>
      </c>
      <c r="Q247" s="14">
        <f t="shared" si="48"/>
        <v>1</v>
      </c>
      <c r="R247" s="14">
        <v>20</v>
      </c>
      <c r="S247" s="14">
        <f t="shared" si="49"/>
        <v>216.66666666666652</v>
      </c>
      <c r="Z247" t="str">
        <f t="shared" si="50"/>
        <v>&lt;Valeur name="no"&gt;246&lt;/Valeur&gt;</v>
      </c>
      <c r="AA247" t="str">
        <f t="shared" si="51"/>
        <v>&lt;Valeur name="ecriturebanque"&gt;230&lt;/Valeur&gt;</v>
      </c>
      <c r="AB247" t="str">
        <f t="shared" si="52"/>
        <v>&lt;Valeur name="datevaleur"&gt;2019/04/10&lt;/Valeur&gt;</v>
      </c>
      <c r="AC247" t="str">
        <f t="shared" si="53"/>
        <v>&lt;Valeur name="compte"&gt;20&lt;/Valeur&gt;</v>
      </c>
      <c r="AD247" t="str">
        <f t="shared" si="54"/>
        <v>&lt;Valeur name="description"&gt;VIR SEPA SCI LT DECO&lt;/Valeur&gt;</v>
      </c>
      <c r="AE247" t="str">
        <f t="shared" si="55"/>
        <v>&lt;Valeur name="valeur"&gt;1300&lt;/Valeur&gt;</v>
      </c>
      <c r="AF247" t="str">
        <f t="shared" si="56"/>
        <v>&lt;Valeur name="compta"&gt;1&lt;/Valeur&gt;</v>
      </c>
      <c r="AG247" t="str">
        <f t="shared" si="57"/>
        <v>&lt;Valeur name="tvapct"&gt;20&lt;/Valeur&gt;</v>
      </c>
      <c r="AH247" t="str">
        <f t="shared" si="58"/>
        <v>&lt;Valeur name="tva"&gt;216.666666666667&lt;/Valeur&gt;</v>
      </c>
      <c r="AL247" t="str">
        <f t="shared" si="59"/>
        <v>&lt;Insert&gt;&lt;Valeur name="no"&gt;246&lt;/Valeur&gt;&lt;Valeur name="ecriturebanque"&gt;230&lt;/Valeur&gt;&lt;Valeur name="datevaleur"&gt;2019/04/10&lt;/Valeur&gt;&lt;Valeur name="compte"&gt;20&lt;/Valeur&gt;&lt;Valeur name="description"&gt;VIR SEPA SCI LT DECO&lt;/Valeur&gt;&lt;Valeur name="valeur"&gt;1300&lt;/Valeur&gt;&lt;Valeur name="compta"&gt;1&lt;/Valeur&gt;&lt;Valeur name="tvapct"&gt;20&lt;/Valeur&gt;&lt;Valeur name="tva"&gt;216.666666666667&lt;/Valeur&gt;&lt;/Insert&gt;</v>
      </c>
    </row>
    <row r="248" spans="1:38" x14ac:dyDescent="0.25">
      <c r="A248">
        <v>231</v>
      </c>
      <c r="B248">
        <f>IF(A248&lt;&gt;"",VLOOKUP(A248,Banque!B:D,3,FALSE),1)</f>
        <v>1</v>
      </c>
      <c r="C248" s="1">
        <v>43565</v>
      </c>
      <c r="D248" t="s">
        <v>380</v>
      </c>
      <c r="E248" t="s">
        <v>107</v>
      </c>
      <c r="G248" s="10">
        <v>380</v>
      </c>
      <c r="I248" s="11">
        <f t="shared" si="45"/>
        <v>63.333333333333314</v>
      </c>
      <c r="K248">
        <v>247</v>
      </c>
      <c r="L248">
        <v>231</v>
      </c>
      <c r="M248" s="16" t="s">
        <v>908</v>
      </c>
      <c r="N248">
        <f>IFERROR(VLOOKUP(D248,tab!A:B,2,FALSE),1)</f>
        <v>24</v>
      </c>
      <c r="O248" t="str">
        <f t="shared" si="46"/>
        <v>02836 262611 0138 00FIN DE PRET:</v>
      </c>
      <c r="P248" s="14">
        <f t="shared" si="47"/>
        <v>380</v>
      </c>
      <c r="Q248" s="14">
        <f t="shared" si="48"/>
        <v>1</v>
      </c>
      <c r="R248" s="14">
        <v>20</v>
      </c>
      <c r="S248" s="14">
        <f t="shared" si="49"/>
        <v>63.333333333333314</v>
      </c>
      <c r="Z248" t="str">
        <f t="shared" si="50"/>
        <v>&lt;Valeur name="no"&gt;247&lt;/Valeur&gt;</v>
      </c>
      <c r="AA248" t="str">
        <f t="shared" si="51"/>
        <v>&lt;Valeur name="ecriturebanque"&gt;231&lt;/Valeur&gt;</v>
      </c>
      <c r="AB248" t="str">
        <f t="shared" si="52"/>
        <v>&lt;Valeur name="datevaleur"&gt;2019/04/10&lt;/Valeur&gt;</v>
      </c>
      <c r="AC248" t="str">
        <f t="shared" si="53"/>
        <v>&lt;Valeur name="compte"&gt;24&lt;/Valeur&gt;</v>
      </c>
      <c r="AD248" t="str">
        <f t="shared" si="54"/>
        <v>&lt;Valeur name="description"&gt;02836 262611 0138 00FIN DE PRET:&lt;/Valeur&gt;</v>
      </c>
      <c r="AE248" t="str">
        <f t="shared" si="55"/>
        <v>&lt;Valeur name="valeur"&gt;380&lt;/Valeur&gt;</v>
      </c>
      <c r="AF248" t="str">
        <f t="shared" si="56"/>
        <v>&lt;Valeur name="compta"&gt;1&lt;/Valeur&gt;</v>
      </c>
      <c r="AG248" t="str">
        <f t="shared" si="57"/>
        <v>&lt;Valeur name="tvapct"&gt;20&lt;/Valeur&gt;</v>
      </c>
      <c r="AH248" t="str">
        <f t="shared" si="58"/>
        <v>&lt;Valeur name="tva"&gt;63.3333333333333&lt;/Valeur&gt;</v>
      </c>
      <c r="AL248" t="str">
        <f t="shared" si="59"/>
        <v>&lt;Insert&gt;&lt;Valeur name="no"&gt;247&lt;/Valeur&gt;&lt;Valeur name="ecriturebanque"&gt;231&lt;/Valeur&gt;&lt;Valeur name="datevaleur"&gt;2019/04/10&lt;/Valeur&gt;&lt;Valeur name="compte"&gt;24&lt;/Valeur&gt;&lt;Valeur name="description"&gt;02836 262611 0138 00FIN DE PRET:&lt;/Valeur&gt;&lt;Valeur name="valeur"&gt;380&lt;/Valeur&gt;&lt;Valeur name="compta"&gt;1&lt;/Valeur&gt;&lt;Valeur name="tvapct"&gt;20&lt;/Valeur&gt;&lt;Valeur name="tva"&gt;63.3333333333333&lt;/Valeur&gt;&lt;/Insert&gt;</v>
      </c>
    </row>
    <row r="249" spans="1:38" x14ac:dyDescent="0.25">
      <c r="A249">
        <v>232</v>
      </c>
      <c r="B249">
        <f>IF(A249&lt;&gt;"",VLOOKUP(A249,Banque!B:D,3,FALSE),1)</f>
        <v>1</v>
      </c>
      <c r="C249" s="1">
        <v>43565</v>
      </c>
      <c r="D249" t="s">
        <v>381</v>
      </c>
      <c r="E249" t="s">
        <v>103</v>
      </c>
      <c r="G249" s="10">
        <v>237.15</v>
      </c>
      <c r="I249" s="11">
        <f t="shared" si="45"/>
        <v>39.525000000000006</v>
      </c>
      <c r="K249">
        <v>248</v>
      </c>
      <c r="L249">
        <v>232</v>
      </c>
      <c r="M249" s="16" t="s">
        <v>908</v>
      </c>
      <c r="N249">
        <f>IFERROR(VLOOKUP(D249,tab!A:B,2,FALSE),1)</f>
        <v>22</v>
      </c>
      <c r="O249" t="str">
        <f t="shared" si="46"/>
        <v>02836 262611 0138 01FIN DE PRET:</v>
      </c>
      <c r="P249" s="14">
        <f t="shared" si="47"/>
        <v>237.15</v>
      </c>
      <c r="Q249" s="14">
        <f t="shared" si="48"/>
        <v>1</v>
      </c>
      <c r="R249" s="14">
        <v>20</v>
      </c>
      <c r="S249" s="14">
        <f t="shared" si="49"/>
        <v>39.525000000000006</v>
      </c>
      <c r="Z249" t="str">
        <f t="shared" si="50"/>
        <v>&lt;Valeur name="no"&gt;248&lt;/Valeur&gt;</v>
      </c>
      <c r="AA249" t="str">
        <f t="shared" si="51"/>
        <v>&lt;Valeur name="ecriturebanque"&gt;232&lt;/Valeur&gt;</v>
      </c>
      <c r="AB249" t="str">
        <f t="shared" si="52"/>
        <v>&lt;Valeur name="datevaleur"&gt;2019/04/10&lt;/Valeur&gt;</v>
      </c>
      <c r="AC249" t="str">
        <f t="shared" si="53"/>
        <v>&lt;Valeur name="compte"&gt;22&lt;/Valeur&gt;</v>
      </c>
      <c r="AD249" t="str">
        <f t="shared" si="54"/>
        <v>&lt;Valeur name="description"&gt;02836 262611 0138 01FIN DE PRET:&lt;/Valeur&gt;</v>
      </c>
      <c r="AE249" t="str">
        <f t="shared" si="55"/>
        <v>&lt;Valeur name="valeur"&gt;237.15&lt;/Valeur&gt;</v>
      </c>
      <c r="AF249" t="str">
        <f t="shared" si="56"/>
        <v>&lt;Valeur name="compta"&gt;1&lt;/Valeur&gt;</v>
      </c>
      <c r="AG249" t="str">
        <f t="shared" si="57"/>
        <v>&lt;Valeur name="tvapct"&gt;20&lt;/Valeur&gt;</v>
      </c>
      <c r="AH249" t="str">
        <f t="shared" si="58"/>
        <v>&lt;Valeur name="tva"&gt;39.525&lt;/Valeur&gt;</v>
      </c>
      <c r="AL249" t="str">
        <f t="shared" si="59"/>
        <v>&lt;Insert&gt;&lt;Valeur name="no"&gt;248&lt;/Valeur&gt;&lt;Valeur name="ecriturebanque"&gt;232&lt;/Valeur&gt;&lt;Valeur name="datevaleur"&gt;2019/04/10&lt;/Valeur&gt;&lt;Valeur name="compte"&gt;22&lt;/Valeur&gt;&lt;Valeur name="description"&gt;02836 262611 0138 01FIN DE PRET:&lt;/Valeur&gt;&lt;Valeur name="valeur"&gt;237.15&lt;/Valeur&gt;&lt;Valeur name="compta"&gt;1&lt;/Valeur&gt;&lt;Valeur name="tvapct"&gt;20&lt;/Valeur&gt;&lt;Valeur name="tva"&gt;39.525&lt;/Valeur&gt;&lt;/Insert&gt;</v>
      </c>
    </row>
    <row r="250" spans="1:38" x14ac:dyDescent="0.25">
      <c r="A250">
        <v>233</v>
      </c>
      <c r="B250">
        <f>IF(A250&lt;&gt;"",VLOOKUP(A250,Banque!B:D,3,FALSE),1)</f>
        <v>1</v>
      </c>
      <c r="C250" s="1">
        <v>43565</v>
      </c>
      <c r="D250" t="s">
        <v>382</v>
      </c>
      <c r="E250" t="s">
        <v>608</v>
      </c>
      <c r="G250" s="10">
        <v>260</v>
      </c>
      <c r="I250" s="11">
        <f t="shared" ref="I250:I313" si="60">IF(G250&gt;0,G250-(G250/TVA),-(H250-(H250/TVA)))</f>
        <v>43.333333333333314</v>
      </c>
      <c r="K250">
        <v>249</v>
      </c>
      <c r="L250">
        <v>233</v>
      </c>
      <c r="M250" s="16" t="s">
        <v>908</v>
      </c>
      <c r="N250">
        <f>IFERROR(VLOOKUP(D250,tab!A:B,2,FALSE),1)</f>
        <v>23</v>
      </c>
      <c r="O250" t="str">
        <f t="shared" si="46"/>
        <v>02836 262611 0104 00  6 304,42 E</v>
      </c>
      <c r="P250" s="14">
        <f t="shared" si="47"/>
        <v>260</v>
      </c>
      <c r="Q250" s="14">
        <f t="shared" si="48"/>
        <v>1</v>
      </c>
      <c r="R250" s="14">
        <v>20</v>
      </c>
      <c r="S250" s="14">
        <f t="shared" si="49"/>
        <v>43.333333333333314</v>
      </c>
      <c r="Z250" t="str">
        <f t="shared" si="50"/>
        <v>&lt;Valeur name="no"&gt;249&lt;/Valeur&gt;</v>
      </c>
      <c r="AA250" t="str">
        <f t="shared" si="51"/>
        <v>&lt;Valeur name="ecriturebanque"&gt;233&lt;/Valeur&gt;</v>
      </c>
      <c r="AB250" t="str">
        <f t="shared" si="52"/>
        <v>&lt;Valeur name="datevaleur"&gt;2019/04/10&lt;/Valeur&gt;</v>
      </c>
      <c r="AC250" t="str">
        <f t="shared" si="53"/>
        <v>&lt;Valeur name="compte"&gt;23&lt;/Valeur&gt;</v>
      </c>
      <c r="AD250" t="str">
        <f t="shared" si="54"/>
        <v>&lt;Valeur name="description"&gt;02836 262611 0104 00  6 304,42 E&lt;/Valeur&gt;</v>
      </c>
      <c r="AE250" t="str">
        <f t="shared" si="55"/>
        <v>&lt;Valeur name="valeur"&gt;260&lt;/Valeur&gt;</v>
      </c>
      <c r="AF250" t="str">
        <f t="shared" si="56"/>
        <v>&lt;Valeur name="compta"&gt;1&lt;/Valeur&gt;</v>
      </c>
      <c r="AG250" t="str">
        <f t="shared" si="57"/>
        <v>&lt;Valeur name="tvapct"&gt;20&lt;/Valeur&gt;</v>
      </c>
      <c r="AH250" t="str">
        <f t="shared" si="58"/>
        <v>&lt;Valeur name="tva"&gt;43.3333333333333&lt;/Valeur&gt;</v>
      </c>
      <c r="AL250" t="str">
        <f t="shared" si="59"/>
        <v>&lt;Insert&gt;&lt;Valeur name="no"&gt;249&lt;/Valeur&gt;&lt;Valeur name="ecriturebanque"&gt;233&lt;/Valeur&gt;&lt;Valeur name="datevaleur"&gt;2019/04/10&lt;/Valeur&gt;&lt;Valeur name="compte"&gt;23&lt;/Valeur&gt;&lt;Valeur name="description"&gt;02836 262611 0104 00  6 304,42 E&lt;/Valeur&gt;&lt;Valeur name="valeur"&gt;260&lt;/Valeur&gt;&lt;Valeur name="compta"&gt;1&lt;/Valeur&gt;&lt;Valeur name="tvapct"&gt;20&lt;/Valeur&gt;&lt;Valeur name="tva"&gt;43.3333333333333&lt;/Valeur&gt;&lt;/Insert&gt;</v>
      </c>
    </row>
    <row r="251" spans="1:38" x14ac:dyDescent="0.25">
      <c r="A251">
        <v>234</v>
      </c>
      <c r="B251">
        <f>IF(A251&lt;&gt;"",VLOOKUP(A251,Banque!B:D,3,FALSE),1)</f>
        <v>1</v>
      </c>
      <c r="C251" s="1">
        <v>43566</v>
      </c>
      <c r="D251" t="s">
        <v>254</v>
      </c>
      <c r="E251" t="s">
        <v>610</v>
      </c>
      <c r="G251" s="10">
        <v>52.2</v>
      </c>
      <c r="I251" s="11">
        <f t="shared" si="60"/>
        <v>8.6999999999999957</v>
      </c>
      <c r="K251">
        <v>250</v>
      </c>
      <c r="L251">
        <v>234</v>
      </c>
      <c r="M251" s="16" t="s">
        <v>922</v>
      </c>
      <c r="N251">
        <f>IFERROR(VLOOKUP(D251,tab!A:B,2,FALSE),1)</f>
        <v>27</v>
      </c>
      <c r="O251" t="str">
        <f t="shared" si="46"/>
        <v>CB 454106 LE VENEZIA  62ARRAS</v>
      </c>
      <c r="P251" s="14">
        <f t="shared" si="47"/>
        <v>52.2</v>
      </c>
      <c r="Q251" s="14">
        <f t="shared" si="48"/>
        <v>1</v>
      </c>
      <c r="R251" s="14">
        <v>20</v>
      </c>
      <c r="S251" s="14">
        <f t="shared" si="49"/>
        <v>8.6999999999999957</v>
      </c>
      <c r="Z251" t="str">
        <f t="shared" si="50"/>
        <v>&lt;Valeur name="no"&gt;250&lt;/Valeur&gt;</v>
      </c>
      <c r="AA251" t="str">
        <f t="shared" si="51"/>
        <v>&lt;Valeur name="ecriturebanque"&gt;234&lt;/Valeur&gt;</v>
      </c>
      <c r="AB251" t="str">
        <f t="shared" si="52"/>
        <v>&lt;Valeur name="datevaleur"&gt;2019/04/11&lt;/Valeur&gt;</v>
      </c>
      <c r="AC251" t="str">
        <f t="shared" si="53"/>
        <v>&lt;Valeur name="compte"&gt;27&lt;/Valeur&gt;</v>
      </c>
      <c r="AD251" t="str">
        <f t="shared" si="54"/>
        <v>&lt;Valeur name="description"&gt;CB 454106 LE VENEZIA  62ARRAS&lt;/Valeur&gt;</v>
      </c>
      <c r="AE251" t="str">
        <f t="shared" si="55"/>
        <v>&lt;Valeur name="valeur"&gt;52.2&lt;/Valeur&gt;</v>
      </c>
      <c r="AF251" t="str">
        <f t="shared" si="56"/>
        <v>&lt;Valeur name="compta"&gt;1&lt;/Valeur&gt;</v>
      </c>
      <c r="AG251" t="str">
        <f t="shared" si="57"/>
        <v>&lt;Valeur name="tvapct"&gt;20&lt;/Valeur&gt;</v>
      </c>
      <c r="AH251" t="str">
        <f t="shared" si="58"/>
        <v>&lt;Valeur name="tva"&gt;8.7&lt;/Valeur&gt;</v>
      </c>
      <c r="AL251" t="str">
        <f t="shared" si="59"/>
        <v>&lt;Insert&gt;&lt;Valeur name="no"&gt;250&lt;/Valeur&gt;&lt;Valeur name="ecriturebanque"&gt;234&lt;/Valeur&gt;&lt;Valeur name="datevaleur"&gt;2019/04/11&lt;/Valeur&gt;&lt;Valeur name="compte"&gt;27&lt;/Valeur&gt;&lt;Valeur name="description"&gt;CB 454106 LE VENEZIA  62ARRAS&lt;/Valeur&gt;&lt;Valeur name="valeur"&gt;52.2&lt;/Valeur&gt;&lt;Valeur name="compta"&gt;1&lt;/Valeur&gt;&lt;Valeur name="tvapct"&gt;20&lt;/Valeur&gt;&lt;Valeur name="tva"&gt;8.7&lt;/Valeur&gt;&lt;/Insert&gt;</v>
      </c>
    </row>
    <row r="252" spans="1:38" x14ac:dyDescent="0.25">
      <c r="A252">
        <v>235</v>
      </c>
      <c r="B252">
        <f>IF(A252&lt;&gt;"",VLOOKUP(A252,Banque!B:D,3,FALSE),1)</f>
        <v>1</v>
      </c>
      <c r="C252" s="1">
        <v>43567</v>
      </c>
      <c r="D252" t="s">
        <v>262</v>
      </c>
      <c r="E252" t="s">
        <v>619</v>
      </c>
      <c r="G252" s="10">
        <v>238.38</v>
      </c>
      <c r="I252" s="11">
        <f t="shared" si="60"/>
        <v>39.72999999999999</v>
      </c>
      <c r="K252">
        <v>251</v>
      </c>
      <c r="L252">
        <v>235</v>
      </c>
      <c r="M252" s="16" t="s">
        <v>973</v>
      </c>
      <c r="N252">
        <f>IFERROR(VLOOKUP(D252,tab!A:B,2,FALSE),1)</f>
        <v>65</v>
      </c>
      <c r="O252" t="str">
        <f t="shared" si="46"/>
        <v>E-VIR SEPA France Galva</v>
      </c>
      <c r="P252" s="14">
        <f t="shared" si="47"/>
        <v>238.38</v>
      </c>
      <c r="Q252" s="14">
        <f t="shared" si="48"/>
        <v>1</v>
      </c>
      <c r="R252" s="14">
        <v>20</v>
      </c>
      <c r="S252" s="14">
        <f t="shared" si="49"/>
        <v>39.72999999999999</v>
      </c>
      <c r="Z252" t="str">
        <f t="shared" si="50"/>
        <v>&lt;Valeur name="no"&gt;251&lt;/Valeur&gt;</v>
      </c>
      <c r="AA252" t="str">
        <f t="shared" si="51"/>
        <v>&lt;Valeur name="ecriturebanque"&gt;235&lt;/Valeur&gt;</v>
      </c>
      <c r="AB252" t="str">
        <f t="shared" si="52"/>
        <v>&lt;Valeur name="datevaleur"&gt;2019/04/12&lt;/Valeur&gt;</v>
      </c>
      <c r="AC252" t="str">
        <f t="shared" si="53"/>
        <v>&lt;Valeur name="compte"&gt;65&lt;/Valeur&gt;</v>
      </c>
      <c r="AD252" t="str">
        <f t="shared" si="54"/>
        <v>&lt;Valeur name="description"&gt;E-VIR SEPA France Galva&lt;/Valeur&gt;</v>
      </c>
      <c r="AE252" t="str">
        <f t="shared" si="55"/>
        <v>&lt;Valeur name="valeur"&gt;238.38&lt;/Valeur&gt;</v>
      </c>
      <c r="AF252" t="str">
        <f t="shared" si="56"/>
        <v>&lt;Valeur name="compta"&gt;1&lt;/Valeur&gt;</v>
      </c>
      <c r="AG252" t="str">
        <f t="shared" si="57"/>
        <v>&lt;Valeur name="tvapct"&gt;20&lt;/Valeur&gt;</v>
      </c>
      <c r="AH252" t="str">
        <f t="shared" si="58"/>
        <v>&lt;Valeur name="tva"&gt;39.73&lt;/Valeur&gt;</v>
      </c>
      <c r="AL252" t="str">
        <f t="shared" si="59"/>
        <v>&lt;Insert&gt;&lt;Valeur name="no"&gt;251&lt;/Valeur&gt;&lt;Valeur name="ecriturebanque"&gt;235&lt;/Valeur&gt;&lt;Valeur name="datevaleur"&gt;2019/04/12&lt;/Valeur&gt;&lt;Valeur name="compte"&gt;65&lt;/Valeur&gt;&lt;Valeur name="description"&gt;E-VIR SEPA France Galva&lt;/Valeur&gt;&lt;Valeur name="valeur"&gt;238.38&lt;/Valeur&gt;&lt;Valeur name="compta"&gt;1&lt;/Valeur&gt;&lt;Valeur name="tvapct"&gt;20&lt;/Valeur&gt;&lt;Valeur name="tva"&gt;39.73&lt;/Valeur&gt;&lt;/Insert&gt;</v>
      </c>
    </row>
    <row r="253" spans="1:38" x14ac:dyDescent="0.25">
      <c r="A253">
        <v>236</v>
      </c>
      <c r="B253">
        <f>IF(A253&lt;&gt;"",VLOOKUP(A253,Banque!B:D,3,FALSE),1)</f>
        <v>1</v>
      </c>
      <c r="C253" s="1">
        <v>43567</v>
      </c>
      <c r="D253" t="s">
        <v>262</v>
      </c>
      <c r="E253" t="s">
        <v>619</v>
      </c>
      <c r="G253" s="10">
        <v>263.04000000000002</v>
      </c>
      <c r="I253" s="11">
        <f t="shared" si="60"/>
        <v>43.84</v>
      </c>
      <c r="K253">
        <v>252</v>
      </c>
      <c r="L253">
        <v>236</v>
      </c>
      <c r="M253" s="16" t="s">
        <v>973</v>
      </c>
      <c r="N253">
        <f>IFERROR(VLOOKUP(D253,tab!A:B,2,FALSE),1)</f>
        <v>65</v>
      </c>
      <c r="O253" t="str">
        <f t="shared" si="46"/>
        <v>E-VIR SEPA France Galva</v>
      </c>
      <c r="P253" s="14">
        <f t="shared" si="47"/>
        <v>263.04000000000002</v>
      </c>
      <c r="Q253" s="14">
        <f t="shared" si="48"/>
        <v>1</v>
      </c>
      <c r="R253" s="14">
        <v>20</v>
      </c>
      <c r="S253" s="14">
        <f t="shared" si="49"/>
        <v>43.84</v>
      </c>
      <c r="Z253" t="str">
        <f t="shared" si="50"/>
        <v>&lt;Valeur name="no"&gt;252&lt;/Valeur&gt;</v>
      </c>
      <c r="AA253" t="str">
        <f t="shared" si="51"/>
        <v>&lt;Valeur name="ecriturebanque"&gt;236&lt;/Valeur&gt;</v>
      </c>
      <c r="AB253" t="str">
        <f t="shared" si="52"/>
        <v>&lt;Valeur name="datevaleur"&gt;2019/04/12&lt;/Valeur&gt;</v>
      </c>
      <c r="AC253" t="str">
        <f t="shared" si="53"/>
        <v>&lt;Valeur name="compte"&gt;65&lt;/Valeur&gt;</v>
      </c>
      <c r="AD253" t="str">
        <f t="shared" si="54"/>
        <v>&lt;Valeur name="description"&gt;E-VIR SEPA France Galva&lt;/Valeur&gt;</v>
      </c>
      <c r="AE253" t="str">
        <f t="shared" si="55"/>
        <v>&lt;Valeur name="valeur"&gt;263.04&lt;/Valeur&gt;</v>
      </c>
      <c r="AF253" t="str">
        <f t="shared" si="56"/>
        <v>&lt;Valeur name="compta"&gt;1&lt;/Valeur&gt;</v>
      </c>
      <c r="AG253" t="str">
        <f t="shared" si="57"/>
        <v>&lt;Valeur name="tvapct"&gt;20&lt;/Valeur&gt;</v>
      </c>
      <c r="AH253" t="str">
        <f t="shared" si="58"/>
        <v>&lt;Valeur name="tva"&gt;43.84&lt;/Valeur&gt;</v>
      </c>
      <c r="AL253" t="str">
        <f t="shared" si="59"/>
        <v>&lt;Insert&gt;&lt;Valeur name="no"&gt;252&lt;/Valeur&gt;&lt;Valeur name="ecriturebanque"&gt;236&lt;/Valeur&gt;&lt;Valeur name="datevaleur"&gt;2019/04/12&lt;/Valeur&gt;&lt;Valeur name="compte"&gt;65&lt;/Valeur&gt;&lt;Valeur name="description"&gt;E-VIR SEPA France Galva&lt;/Valeur&gt;&lt;Valeur name="valeur"&gt;263.04&lt;/Valeur&gt;&lt;Valeur name="compta"&gt;1&lt;/Valeur&gt;&lt;Valeur name="tvapct"&gt;20&lt;/Valeur&gt;&lt;Valeur name="tva"&gt;43.84&lt;/Valeur&gt;&lt;/Insert&gt;</v>
      </c>
    </row>
    <row r="254" spans="1:38" x14ac:dyDescent="0.25">
      <c r="A254">
        <v>237</v>
      </c>
      <c r="B254">
        <f>IF(A254&lt;&gt;"",VLOOKUP(A254,Banque!B:D,3,FALSE),1)</f>
        <v>1</v>
      </c>
      <c r="C254" s="1">
        <v>43567</v>
      </c>
      <c r="D254" t="s">
        <v>253</v>
      </c>
      <c r="E254" t="s">
        <v>622</v>
      </c>
      <c r="G254" s="10">
        <v>74.44</v>
      </c>
      <c r="I254" s="11">
        <f t="shared" si="60"/>
        <v>12.406666666666666</v>
      </c>
      <c r="K254">
        <v>253</v>
      </c>
      <c r="L254">
        <v>237</v>
      </c>
      <c r="M254" s="16" t="s">
        <v>973</v>
      </c>
      <c r="N254">
        <f>IFERROR(VLOOKUP(D254,tab!A:B,2,FALSE),1)</f>
        <v>13</v>
      </c>
      <c r="O254" t="str">
        <f t="shared" si="46"/>
        <v>CB 548222 ESSO PILATE 59WASQUEHA</v>
      </c>
      <c r="P254" s="14">
        <f t="shared" si="47"/>
        <v>74.44</v>
      </c>
      <c r="Q254" s="14">
        <f t="shared" si="48"/>
        <v>1</v>
      </c>
      <c r="R254" s="14">
        <v>20</v>
      </c>
      <c r="S254" s="14">
        <f t="shared" si="49"/>
        <v>12.406666666666666</v>
      </c>
      <c r="Z254" t="str">
        <f t="shared" si="50"/>
        <v>&lt;Valeur name="no"&gt;253&lt;/Valeur&gt;</v>
      </c>
      <c r="AA254" t="str">
        <f t="shared" si="51"/>
        <v>&lt;Valeur name="ecriturebanque"&gt;237&lt;/Valeur&gt;</v>
      </c>
      <c r="AB254" t="str">
        <f t="shared" si="52"/>
        <v>&lt;Valeur name="datevaleur"&gt;2019/04/12&lt;/Valeur&gt;</v>
      </c>
      <c r="AC254" t="str">
        <f t="shared" si="53"/>
        <v>&lt;Valeur name="compte"&gt;13&lt;/Valeur&gt;</v>
      </c>
      <c r="AD254" t="str">
        <f t="shared" si="54"/>
        <v>&lt;Valeur name="description"&gt;CB 548222 ESSO PILATE 59WASQUEHA&lt;/Valeur&gt;</v>
      </c>
      <c r="AE254" t="str">
        <f t="shared" si="55"/>
        <v>&lt;Valeur name="valeur"&gt;74.44&lt;/Valeur&gt;</v>
      </c>
      <c r="AF254" t="str">
        <f t="shared" si="56"/>
        <v>&lt;Valeur name="compta"&gt;1&lt;/Valeur&gt;</v>
      </c>
      <c r="AG254" t="str">
        <f t="shared" si="57"/>
        <v>&lt;Valeur name="tvapct"&gt;20&lt;/Valeur&gt;</v>
      </c>
      <c r="AH254" t="str">
        <f t="shared" si="58"/>
        <v>&lt;Valeur name="tva"&gt;12.4066666666667&lt;/Valeur&gt;</v>
      </c>
      <c r="AL254" t="str">
        <f t="shared" si="59"/>
        <v>&lt;Insert&gt;&lt;Valeur name="no"&gt;253&lt;/Valeur&gt;&lt;Valeur name="ecriturebanque"&gt;237&lt;/Valeur&gt;&lt;Valeur name="datevaleur"&gt;2019/04/12&lt;/Valeur&gt;&lt;Valeur name="compte"&gt;13&lt;/Valeur&gt;&lt;Valeur name="description"&gt;CB 548222 ESSO PILATE 59WASQUEHA&lt;/Valeur&gt;&lt;Valeur name="valeur"&gt;74.44&lt;/Valeur&gt;&lt;Valeur name="compta"&gt;1&lt;/Valeur&gt;&lt;Valeur name="tvapct"&gt;20&lt;/Valeur&gt;&lt;Valeur name="tva"&gt;12.4066666666667&lt;/Valeur&gt;&lt;/Insert&gt;</v>
      </c>
    </row>
    <row r="255" spans="1:38" x14ac:dyDescent="0.25">
      <c r="A255">
        <v>238</v>
      </c>
      <c r="B255">
        <f>IF(A255&lt;&gt;"",VLOOKUP(A255,Banque!B:D,3,FALSE),1)</f>
        <v>1</v>
      </c>
      <c r="C255" s="1">
        <v>43567</v>
      </c>
      <c r="D255" t="s">
        <v>253</v>
      </c>
      <c r="E255" t="s">
        <v>219</v>
      </c>
      <c r="G255" s="10">
        <v>21.1</v>
      </c>
      <c r="I255" s="11">
        <f t="shared" si="60"/>
        <v>3.5166666666666657</v>
      </c>
      <c r="K255">
        <v>254</v>
      </c>
      <c r="L255">
        <v>238</v>
      </c>
      <c r="M255" s="16" t="s">
        <v>973</v>
      </c>
      <c r="N255">
        <f>IFERROR(VLOOKUP(D255,tab!A:B,2,FALSE),1)</f>
        <v>13</v>
      </c>
      <c r="O255" t="str">
        <f t="shared" si="46"/>
        <v>CB 454106 SHELL 3298  62RUMAUCOU</v>
      </c>
      <c r="P255" s="14">
        <f t="shared" si="47"/>
        <v>21.1</v>
      </c>
      <c r="Q255" s="14">
        <f t="shared" si="48"/>
        <v>1</v>
      </c>
      <c r="R255" s="14">
        <v>20</v>
      </c>
      <c r="S255" s="14">
        <f t="shared" si="49"/>
        <v>3.5166666666666657</v>
      </c>
      <c r="Z255" t="str">
        <f t="shared" si="50"/>
        <v>&lt;Valeur name="no"&gt;254&lt;/Valeur&gt;</v>
      </c>
      <c r="AA255" t="str">
        <f t="shared" si="51"/>
        <v>&lt;Valeur name="ecriturebanque"&gt;238&lt;/Valeur&gt;</v>
      </c>
      <c r="AB255" t="str">
        <f t="shared" si="52"/>
        <v>&lt;Valeur name="datevaleur"&gt;2019/04/12&lt;/Valeur&gt;</v>
      </c>
      <c r="AC255" t="str">
        <f t="shared" si="53"/>
        <v>&lt;Valeur name="compte"&gt;13&lt;/Valeur&gt;</v>
      </c>
      <c r="AD255" t="str">
        <f t="shared" si="54"/>
        <v>&lt;Valeur name="description"&gt;CB 454106 SHELL 3298  62RUMAUCOU&lt;/Valeur&gt;</v>
      </c>
      <c r="AE255" t="str">
        <f t="shared" si="55"/>
        <v>&lt;Valeur name="valeur"&gt;21.1&lt;/Valeur&gt;</v>
      </c>
      <c r="AF255" t="str">
        <f t="shared" si="56"/>
        <v>&lt;Valeur name="compta"&gt;1&lt;/Valeur&gt;</v>
      </c>
      <c r="AG255" t="str">
        <f t="shared" si="57"/>
        <v>&lt;Valeur name="tvapct"&gt;20&lt;/Valeur&gt;</v>
      </c>
      <c r="AH255" t="str">
        <f t="shared" si="58"/>
        <v>&lt;Valeur name="tva"&gt;3.51666666666667&lt;/Valeur&gt;</v>
      </c>
      <c r="AL255" t="str">
        <f t="shared" si="59"/>
        <v>&lt;Insert&gt;&lt;Valeur name="no"&gt;254&lt;/Valeur&gt;&lt;Valeur name="ecriturebanque"&gt;238&lt;/Valeur&gt;&lt;Valeur name="datevaleur"&gt;2019/04/12&lt;/Valeur&gt;&lt;Valeur name="compte"&gt;13&lt;/Valeur&gt;&lt;Valeur name="description"&gt;CB 454106 SHELL 3298  62RUMAUCOU&lt;/Valeur&gt;&lt;Valeur name="valeur"&gt;21.1&lt;/Valeur&gt;&lt;Valeur name="compta"&gt;1&lt;/Valeur&gt;&lt;Valeur name="tvapct"&gt;20&lt;/Valeur&gt;&lt;Valeur name="tva"&gt;3.51666666666667&lt;/Valeur&gt;&lt;/Insert&gt;</v>
      </c>
    </row>
    <row r="256" spans="1:38" x14ac:dyDescent="0.25">
      <c r="A256">
        <v>239</v>
      </c>
      <c r="B256">
        <f>IF(A256&lt;&gt;"",VLOOKUP(A256,Banque!B:D,3,FALSE),1)</f>
        <v>0</v>
      </c>
      <c r="C256" s="1">
        <v>43567</v>
      </c>
      <c r="E256" t="s">
        <v>625</v>
      </c>
      <c r="G256" s="10">
        <v>1411.2</v>
      </c>
      <c r="I256" s="11">
        <f t="shared" si="60"/>
        <v>235.20000000000005</v>
      </c>
      <c r="K256">
        <v>255</v>
      </c>
      <c r="L256">
        <v>239</v>
      </c>
      <c r="M256" s="16" t="s">
        <v>973</v>
      </c>
      <c r="N256">
        <f>IFERROR(VLOOKUP(D256,tab!A:B,2,FALSE),1)</f>
        <v>1</v>
      </c>
      <c r="O256" t="str">
        <f t="shared" si="46"/>
        <v>CHEQUE  N 1000068</v>
      </c>
      <c r="P256" s="14">
        <f t="shared" si="47"/>
        <v>1411.2</v>
      </c>
      <c r="Q256" s="14">
        <f t="shared" si="48"/>
        <v>0</v>
      </c>
      <c r="R256" s="14">
        <v>20</v>
      </c>
      <c r="S256" s="14">
        <f t="shared" si="49"/>
        <v>235.20000000000005</v>
      </c>
      <c r="Z256" t="str">
        <f t="shared" si="50"/>
        <v>&lt;Valeur name="no"&gt;255&lt;/Valeur&gt;</v>
      </c>
      <c r="AA256" t="str">
        <f t="shared" si="51"/>
        <v>&lt;Valeur name="ecriturebanque"&gt;239&lt;/Valeur&gt;</v>
      </c>
      <c r="AB256" t="str">
        <f t="shared" si="52"/>
        <v>&lt;Valeur name="datevaleur"&gt;2019/04/12&lt;/Valeur&gt;</v>
      </c>
      <c r="AC256" t="str">
        <f t="shared" si="53"/>
        <v>&lt;Valeur name="compte"&gt;1&lt;/Valeur&gt;</v>
      </c>
      <c r="AD256" t="str">
        <f t="shared" si="54"/>
        <v>&lt;Valeur name="description"&gt;CHEQUE  N 1000068&lt;/Valeur&gt;</v>
      </c>
      <c r="AE256" t="str">
        <f t="shared" si="55"/>
        <v>&lt;Valeur name="valeur"&gt;1411.2&lt;/Valeur&gt;</v>
      </c>
      <c r="AF256" t="str">
        <f t="shared" si="56"/>
        <v>&lt;Valeur name="compta"&gt;0&lt;/Valeur&gt;</v>
      </c>
      <c r="AG256" t="str">
        <f t="shared" si="57"/>
        <v>&lt;Valeur name="tvapct"&gt;20&lt;/Valeur&gt;</v>
      </c>
      <c r="AH256" t="str">
        <f t="shared" si="58"/>
        <v>&lt;Valeur name="tva"&gt;235.2&lt;/Valeur&gt;</v>
      </c>
      <c r="AL256" t="str">
        <f t="shared" si="59"/>
        <v>&lt;Insert&gt;&lt;Valeur name="no"&gt;255&lt;/Valeur&gt;&lt;Valeur name="ecriturebanque"&gt;239&lt;/Valeur&gt;&lt;Valeur name="datevaleur"&gt;2019/04/12&lt;/Valeur&gt;&lt;Valeur name="compte"&gt;1&lt;/Valeur&gt;&lt;Valeur name="description"&gt;CHEQUE  N 1000068&lt;/Valeur&gt;&lt;Valeur name="valeur"&gt;1411.2&lt;/Valeur&gt;&lt;Valeur name="compta"&gt;0&lt;/Valeur&gt;&lt;Valeur name="tvapct"&gt;20&lt;/Valeur&gt;&lt;Valeur name="tva"&gt;235.2&lt;/Valeur&gt;&lt;/Insert&gt;</v>
      </c>
    </row>
    <row r="257" spans="1:38" x14ac:dyDescent="0.25">
      <c r="A257">
        <v>240</v>
      </c>
      <c r="B257">
        <f>IF(A257&lt;&gt;"",VLOOKUP(A257,Banque!B:D,3,FALSE),1)</f>
        <v>1</v>
      </c>
      <c r="C257" s="1">
        <v>43570</v>
      </c>
      <c r="E257" t="s">
        <v>627</v>
      </c>
      <c r="G257" s="10">
        <v>3510.9</v>
      </c>
      <c r="I257" s="11">
        <f t="shared" si="60"/>
        <v>585.15000000000009</v>
      </c>
      <c r="K257">
        <v>256</v>
      </c>
      <c r="L257">
        <v>240</v>
      </c>
      <c r="M257" s="16" t="s">
        <v>886</v>
      </c>
      <c r="N257">
        <f>IFERROR(VLOOKUP(D257,tab!A:B,2,FALSE),1)</f>
        <v>1</v>
      </c>
      <c r="O257" t="str">
        <f t="shared" si="46"/>
        <v>RELEVE LCR DU  080419  CONFORME</v>
      </c>
      <c r="P257" s="14">
        <f t="shared" si="47"/>
        <v>3510.9</v>
      </c>
      <c r="Q257" s="14">
        <f t="shared" si="48"/>
        <v>1</v>
      </c>
      <c r="R257" s="14">
        <v>20</v>
      </c>
      <c r="S257" s="14">
        <f t="shared" si="49"/>
        <v>585.15000000000009</v>
      </c>
      <c r="Z257" t="str">
        <f t="shared" si="50"/>
        <v>&lt;Valeur name="no"&gt;256&lt;/Valeur&gt;</v>
      </c>
      <c r="AA257" t="str">
        <f t="shared" si="51"/>
        <v>&lt;Valeur name="ecriturebanque"&gt;240&lt;/Valeur&gt;</v>
      </c>
      <c r="AB257" t="str">
        <f t="shared" si="52"/>
        <v>&lt;Valeur name="datevaleur"&gt;2019/04/15&lt;/Valeur&gt;</v>
      </c>
      <c r="AC257" t="str">
        <f t="shared" si="53"/>
        <v>&lt;Valeur name="compte"&gt;1&lt;/Valeur&gt;</v>
      </c>
      <c r="AD257" t="str">
        <f t="shared" si="54"/>
        <v>&lt;Valeur name="description"&gt;RELEVE LCR DU  080419  CONFORME&lt;/Valeur&gt;</v>
      </c>
      <c r="AE257" t="str">
        <f t="shared" si="55"/>
        <v>&lt;Valeur name="valeur"&gt;3510.9&lt;/Valeur&gt;</v>
      </c>
      <c r="AF257" t="str">
        <f t="shared" si="56"/>
        <v>&lt;Valeur name="compta"&gt;1&lt;/Valeur&gt;</v>
      </c>
      <c r="AG257" t="str">
        <f t="shared" si="57"/>
        <v>&lt;Valeur name="tvapct"&gt;20&lt;/Valeur&gt;</v>
      </c>
      <c r="AH257" t="str">
        <f t="shared" si="58"/>
        <v>&lt;Valeur name="tva"&gt;585.15&lt;/Valeur&gt;</v>
      </c>
      <c r="AL257" t="str">
        <f t="shared" si="59"/>
        <v>&lt;Insert&gt;&lt;Valeur name="no"&gt;256&lt;/Valeur&gt;&lt;Valeur name="ecriturebanque"&gt;240&lt;/Valeur&gt;&lt;Valeur name="datevaleur"&gt;2019/04/15&lt;/Valeur&gt;&lt;Valeur name="compte"&gt;1&lt;/Valeur&gt;&lt;Valeur name="description"&gt;RELEVE LCR DU  080419  CONFORME&lt;/Valeur&gt;&lt;Valeur name="valeur"&gt;3510.9&lt;/Valeur&gt;&lt;Valeur name="compta"&gt;1&lt;/Valeur&gt;&lt;Valeur name="tvapct"&gt;20&lt;/Valeur&gt;&lt;Valeur name="tva"&gt;585.15&lt;/Valeur&gt;&lt;/Insert&gt;</v>
      </c>
    </row>
    <row r="258" spans="1:38" x14ac:dyDescent="0.25">
      <c r="A258">
        <v>241</v>
      </c>
      <c r="B258">
        <f>IF(A258&lt;&gt;"",VLOOKUP(A258,Banque!B:D,3,FALSE),1)</f>
        <v>1</v>
      </c>
      <c r="C258" s="1">
        <v>43570</v>
      </c>
      <c r="D258" t="s">
        <v>254</v>
      </c>
      <c r="E258" t="s">
        <v>7</v>
      </c>
      <c r="G258" s="10">
        <v>32.799999999999997</v>
      </c>
      <c r="I258" s="11">
        <f t="shared" si="60"/>
        <v>5.466666666666665</v>
      </c>
      <c r="K258">
        <v>257</v>
      </c>
      <c r="L258">
        <v>241</v>
      </c>
      <c r="M258" s="16" t="s">
        <v>886</v>
      </c>
      <c r="N258">
        <f>IFERROR(VLOOKUP(D258,tab!A:B,2,FALSE),1)</f>
        <v>27</v>
      </c>
      <c r="O258" t="str">
        <f t="shared" ref="O258:O321" si="61">E258&amp;IF(ISBLANK(F258),""," / "&amp;F258)</f>
        <v>CB 454106 SNACK THIER 59BAVAY</v>
      </c>
      <c r="P258" s="14">
        <f t="shared" ref="P258:P321" si="62">SUM(G258:H258)</f>
        <v>32.799999999999997</v>
      </c>
      <c r="Q258" s="14">
        <f t="shared" ref="Q258:Q321" si="63">B258</f>
        <v>1</v>
      </c>
      <c r="R258" s="14">
        <v>20</v>
      </c>
      <c r="S258" s="14">
        <f t="shared" ref="S258:S321" si="64">I258</f>
        <v>5.466666666666665</v>
      </c>
      <c r="Z258" t="str">
        <f t="shared" ref="Z258:Z321" si="65">IF(ISBLANK($K258),"",K$1&amp;K258&amp;"&lt;/Valeur&gt;")</f>
        <v>&lt;Valeur name="no"&gt;257&lt;/Valeur&gt;</v>
      </c>
      <c r="AA258" t="str">
        <f t="shared" ref="AA258:AA321" si="66">IF(ISBLANK($K258),"",L$1&amp;L258&amp;"&lt;/Valeur&gt;")</f>
        <v>&lt;Valeur name="ecriturebanque"&gt;241&lt;/Valeur&gt;</v>
      </c>
      <c r="AB258" t="str">
        <f t="shared" ref="AB258:AB321" si="67">IF(ISBLANK($K258),"",M$1&amp;M258&amp;"&lt;/Valeur&gt;")</f>
        <v>&lt;Valeur name="datevaleur"&gt;2019/04/15&lt;/Valeur&gt;</v>
      </c>
      <c r="AC258" t="str">
        <f t="shared" ref="AC258:AC321" si="68">IF(ISBLANK($K258),"",N$1&amp;N258&amp;"&lt;/Valeur&gt;")</f>
        <v>&lt;Valeur name="compte"&gt;27&lt;/Valeur&gt;</v>
      </c>
      <c r="AD258" t="str">
        <f t="shared" ref="AD258:AD321" si="69">IF(ISBLANK($K258),"",O$1&amp;O258&amp;"&lt;/Valeur&gt;")</f>
        <v>&lt;Valeur name="description"&gt;CB 454106 SNACK THIER 59BAVAY&lt;/Valeur&gt;</v>
      </c>
      <c r="AE258" t="str">
        <f t="shared" ref="AE258:AE321" si="70">IF(ISBLANK($K258),"",P$1&amp;P258&amp;"&lt;/Valeur&gt;")</f>
        <v>&lt;Valeur name="valeur"&gt;32.8&lt;/Valeur&gt;</v>
      </c>
      <c r="AF258" t="str">
        <f t="shared" ref="AF258:AF321" si="71">IF(ISBLANK($K258),"",Q$1&amp;Q258&amp;"&lt;/Valeur&gt;")</f>
        <v>&lt;Valeur name="compta"&gt;1&lt;/Valeur&gt;</v>
      </c>
      <c r="AG258" t="str">
        <f t="shared" ref="AG258:AG321" si="72">IF(ISBLANK($K258),"",R$1&amp;R258&amp;"&lt;/Valeur&gt;")</f>
        <v>&lt;Valeur name="tvapct"&gt;20&lt;/Valeur&gt;</v>
      </c>
      <c r="AH258" t="str">
        <f t="shared" ref="AH258:AH321" si="73">IF(ISBLANK($K258),"",S$1&amp;S258&amp;"&lt;/Valeur&gt;")</f>
        <v>&lt;Valeur name="tva"&gt;5.46666666666667&lt;/Valeur&gt;</v>
      </c>
      <c r="AL258" t="str">
        <f t="shared" si="59"/>
        <v>&lt;Insert&gt;&lt;Valeur name="no"&gt;257&lt;/Valeur&gt;&lt;Valeur name="ecriturebanque"&gt;241&lt;/Valeur&gt;&lt;Valeur name="datevaleur"&gt;2019/04/15&lt;/Valeur&gt;&lt;Valeur name="compte"&gt;27&lt;/Valeur&gt;&lt;Valeur name="description"&gt;CB 454106 SNACK THIER 59BAVAY&lt;/Valeur&gt;&lt;Valeur name="valeur"&gt;32.8&lt;/Valeur&gt;&lt;Valeur name="compta"&gt;1&lt;/Valeur&gt;&lt;Valeur name="tvapct"&gt;20&lt;/Valeur&gt;&lt;Valeur name="tva"&gt;5.46666666666667&lt;/Valeur&gt;&lt;/Insert&gt;</v>
      </c>
    </row>
    <row r="259" spans="1:38" x14ac:dyDescent="0.25">
      <c r="A259">
        <v>242</v>
      </c>
      <c r="B259">
        <f>IF(A259&lt;&gt;"",VLOOKUP(A259,Banque!B:D,3,FALSE),1)</f>
        <v>1</v>
      </c>
      <c r="C259" s="1">
        <v>43570</v>
      </c>
      <c r="D259" t="s">
        <v>253</v>
      </c>
      <c r="E259" t="s">
        <v>142</v>
      </c>
      <c r="G259" s="10">
        <v>82.9</v>
      </c>
      <c r="I259" s="11">
        <f t="shared" si="60"/>
        <v>13.816666666666663</v>
      </c>
      <c r="K259">
        <v>258</v>
      </c>
      <c r="L259">
        <v>242</v>
      </c>
      <c r="M259" s="16" t="s">
        <v>886</v>
      </c>
      <c r="N259">
        <f>IFERROR(VLOOKUP(D259,tab!A:B,2,FALSE),1)</f>
        <v>13</v>
      </c>
      <c r="O259" t="str">
        <f t="shared" si="61"/>
        <v>CB 454106 DAC SM MATC 59BAVAY</v>
      </c>
      <c r="P259" s="14">
        <f t="shared" si="62"/>
        <v>82.9</v>
      </c>
      <c r="Q259" s="14">
        <f t="shared" si="63"/>
        <v>1</v>
      </c>
      <c r="R259" s="14">
        <v>20</v>
      </c>
      <c r="S259" s="14">
        <f t="shared" si="64"/>
        <v>13.816666666666663</v>
      </c>
      <c r="Z259" t="str">
        <f t="shared" si="65"/>
        <v>&lt;Valeur name="no"&gt;258&lt;/Valeur&gt;</v>
      </c>
      <c r="AA259" t="str">
        <f t="shared" si="66"/>
        <v>&lt;Valeur name="ecriturebanque"&gt;242&lt;/Valeur&gt;</v>
      </c>
      <c r="AB259" t="str">
        <f t="shared" si="67"/>
        <v>&lt;Valeur name="datevaleur"&gt;2019/04/15&lt;/Valeur&gt;</v>
      </c>
      <c r="AC259" t="str">
        <f t="shared" si="68"/>
        <v>&lt;Valeur name="compte"&gt;13&lt;/Valeur&gt;</v>
      </c>
      <c r="AD259" t="str">
        <f t="shared" si="69"/>
        <v>&lt;Valeur name="description"&gt;CB 454106 DAC SM MATC 59BAVAY&lt;/Valeur&gt;</v>
      </c>
      <c r="AE259" t="str">
        <f t="shared" si="70"/>
        <v>&lt;Valeur name="valeur"&gt;82.9&lt;/Valeur&gt;</v>
      </c>
      <c r="AF259" t="str">
        <f t="shared" si="71"/>
        <v>&lt;Valeur name="compta"&gt;1&lt;/Valeur&gt;</v>
      </c>
      <c r="AG259" t="str">
        <f t="shared" si="72"/>
        <v>&lt;Valeur name="tvapct"&gt;20&lt;/Valeur&gt;</v>
      </c>
      <c r="AH259" t="str">
        <f t="shared" si="73"/>
        <v>&lt;Valeur name="tva"&gt;13.8166666666667&lt;/Valeur&gt;</v>
      </c>
      <c r="AL259" t="str">
        <f t="shared" ref="AL259:AL322" si="74">IF(ISBLANK(M259),"",CONCATENATE("&lt;Insert&gt;",Z259,AA259,AB259,AC259,AD259,AE259,AF259,AG259,AH259,"&lt;/Insert&gt;"))</f>
        <v>&lt;Insert&gt;&lt;Valeur name="no"&gt;258&lt;/Valeur&gt;&lt;Valeur name="ecriturebanque"&gt;242&lt;/Valeur&gt;&lt;Valeur name="datevaleur"&gt;2019/04/15&lt;/Valeur&gt;&lt;Valeur name="compte"&gt;13&lt;/Valeur&gt;&lt;Valeur name="description"&gt;CB 454106 DAC SM MATC 59BAVAY&lt;/Valeur&gt;&lt;Valeur name="valeur"&gt;82.9&lt;/Valeur&gt;&lt;Valeur name="compta"&gt;1&lt;/Valeur&gt;&lt;Valeur name="tvapct"&gt;20&lt;/Valeur&gt;&lt;Valeur name="tva"&gt;13.8166666666667&lt;/Valeur&gt;&lt;/Insert&gt;</v>
      </c>
    </row>
    <row r="260" spans="1:38" x14ac:dyDescent="0.25">
      <c r="A260">
        <v>243</v>
      </c>
      <c r="B260">
        <f>IF(A260&lt;&gt;"",VLOOKUP(A260,Banque!B:D,3,FALSE),1)</f>
        <v>1</v>
      </c>
      <c r="C260" s="1">
        <v>43570</v>
      </c>
      <c r="D260" t="s">
        <v>267</v>
      </c>
      <c r="E260" t="s">
        <v>52</v>
      </c>
      <c r="G260" s="10">
        <v>162</v>
      </c>
      <c r="I260" s="11">
        <f t="shared" si="60"/>
        <v>27</v>
      </c>
      <c r="K260">
        <v>259</v>
      </c>
      <c r="L260">
        <v>243</v>
      </c>
      <c r="M260" s="16" t="s">
        <v>886</v>
      </c>
      <c r="N260">
        <f>IFERROR(VLOOKUP(D260,tab!A:B,2,FALSE),1)</f>
        <v>12</v>
      </c>
      <c r="O260" t="str">
        <f t="shared" si="61"/>
        <v>PRLV SEPA MMA IARD SA-MMA IARD</v>
      </c>
      <c r="P260" s="14">
        <f t="shared" si="62"/>
        <v>162</v>
      </c>
      <c r="Q260" s="14">
        <f t="shared" si="63"/>
        <v>1</v>
      </c>
      <c r="R260" s="14">
        <v>20</v>
      </c>
      <c r="S260" s="14">
        <f t="shared" si="64"/>
        <v>27</v>
      </c>
      <c r="Z260" t="str">
        <f t="shared" si="65"/>
        <v>&lt;Valeur name="no"&gt;259&lt;/Valeur&gt;</v>
      </c>
      <c r="AA260" t="str">
        <f t="shared" si="66"/>
        <v>&lt;Valeur name="ecriturebanque"&gt;243&lt;/Valeur&gt;</v>
      </c>
      <c r="AB260" t="str">
        <f t="shared" si="67"/>
        <v>&lt;Valeur name="datevaleur"&gt;2019/04/15&lt;/Valeur&gt;</v>
      </c>
      <c r="AC260" t="str">
        <f t="shared" si="68"/>
        <v>&lt;Valeur name="compte"&gt;12&lt;/Valeur&gt;</v>
      </c>
      <c r="AD260" t="str">
        <f t="shared" si="69"/>
        <v>&lt;Valeur name="description"&gt;PRLV SEPA MMA IARD SA-MMA IARD&lt;/Valeur&gt;</v>
      </c>
      <c r="AE260" t="str">
        <f t="shared" si="70"/>
        <v>&lt;Valeur name="valeur"&gt;162&lt;/Valeur&gt;</v>
      </c>
      <c r="AF260" t="str">
        <f t="shared" si="71"/>
        <v>&lt;Valeur name="compta"&gt;1&lt;/Valeur&gt;</v>
      </c>
      <c r="AG260" t="str">
        <f t="shared" si="72"/>
        <v>&lt;Valeur name="tvapct"&gt;20&lt;/Valeur&gt;</v>
      </c>
      <c r="AH260" t="str">
        <f t="shared" si="73"/>
        <v>&lt;Valeur name="tva"&gt;27&lt;/Valeur&gt;</v>
      </c>
      <c r="AL260" t="str">
        <f t="shared" si="74"/>
        <v>&lt;Insert&gt;&lt;Valeur name="no"&gt;259&lt;/Valeur&gt;&lt;Valeur name="ecriturebanque"&gt;243&lt;/Valeur&gt;&lt;Valeur name="datevaleur"&gt;2019/04/15&lt;/Valeur&gt;&lt;Valeur name="compte"&gt;12&lt;/Valeur&gt;&lt;Valeur name="description"&gt;PRLV SEPA MMA IARD SA-MMA IARD&lt;/Valeur&gt;&lt;Valeur name="valeur"&gt;162&lt;/Valeur&gt;&lt;Valeur name="compta"&gt;1&lt;/Valeur&gt;&lt;Valeur name="tvapct"&gt;20&lt;/Valeur&gt;&lt;Valeur name="tva"&gt;27&lt;/Valeur&gt;&lt;/Insert&gt;</v>
      </c>
    </row>
    <row r="261" spans="1:38" x14ac:dyDescent="0.25">
      <c r="A261">
        <v>244</v>
      </c>
      <c r="B261">
        <f>IF(A261&lt;&gt;"",VLOOKUP(A261,Banque!B:D,3,FALSE),1)</f>
        <v>1</v>
      </c>
      <c r="C261" s="1">
        <v>43570</v>
      </c>
      <c r="D261" t="s">
        <v>424</v>
      </c>
      <c r="E261" t="s">
        <v>421</v>
      </c>
      <c r="F261" t="s">
        <v>632</v>
      </c>
      <c r="G261" s="10">
        <v>97.03</v>
      </c>
      <c r="I261" s="11">
        <f t="shared" si="60"/>
        <v>16.171666666666667</v>
      </c>
      <c r="K261">
        <v>260</v>
      </c>
      <c r="L261">
        <v>244</v>
      </c>
      <c r="M261" s="16" t="s">
        <v>886</v>
      </c>
      <c r="N261">
        <f>IFERROR(VLOOKUP(D261,tab!A:B,2,FALSE),1)</f>
        <v>109</v>
      </c>
      <c r="O261" t="str">
        <f t="shared" si="61"/>
        <v>PRLV SEPA LEASECOM / LO2760817/218L87051, date echean</v>
      </c>
      <c r="P261" s="14">
        <f t="shared" si="62"/>
        <v>97.03</v>
      </c>
      <c r="Q261" s="14">
        <f t="shared" si="63"/>
        <v>1</v>
      </c>
      <c r="R261" s="14">
        <v>20</v>
      </c>
      <c r="S261" s="14">
        <f t="shared" si="64"/>
        <v>16.171666666666667</v>
      </c>
      <c r="Z261" t="str">
        <f t="shared" si="65"/>
        <v>&lt;Valeur name="no"&gt;260&lt;/Valeur&gt;</v>
      </c>
      <c r="AA261" t="str">
        <f t="shared" si="66"/>
        <v>&lt;Valeur name="ecriturebanque"&gt;244&lt;/Valeur&gt;</v>
      </c>
      <c r="AB261" t="str">
        <f t="shared" si="67"/>
        <v>&lt;Valeur name="datevaleur"&gt;2019/04/15&lt;/Valeur&gt;</v>
      </c>
      <c r="AC261" t="str">
        <f t="shared" si="68"/>
        <v>&lt;Valeur name="compte"&gt;109&lt;/Valeur&gt;</v>
      </c>
      <c r="AD261" t="str">
        <f t="shared" si="69"/>
        <v>&lt;Valeur name="description"&gt;PRLV SEPA LEASECOM / LO2760817/218L87051, date echean&lt;/Valeur&gt;</v>
      </c>
      <c r="AE261" t="str">
        <f t="shared" si="70"/>
        <v>&lt;Valeur name="valeur"&gt;97.03&lt;/Valeur&gt;</v>
      </c>
      <c r="AF261" t="str">
        <f t="shared" si="71"/>
        <v>&lt;Valeur name="compta"&gt;1&lt;/Valeur&gt;</v>
      </c>
      <c r="AG261" t="str">
        <f t="shared" si="72"/>
        <v>&lt;Valeur name="tvapct"&gt;20&lt;/Valeur&gt;</v>
      </c>
      <c r="AH261" t="str">
        <f t="shared" si="73"/>
        <v>&lt;Valeur name="tva"&gt;16.1716666666667&lt;/Valeur&gt;</v>
      </c>
      <c r="AL261" t="str">
        <f t="shared" si="74"/>
        <v>&lt;Insert&gt;&lt;Valeur name="no"&gt;260&lt;/Valeur&gt;&lt;Valeur name="ecriturebanque"&gt;244&lt;/Valeur&gt;&lt;Valeur name="datevaleur"&gt;2019/04/15&lt;/Valeur&gt;&lt;Valeur name="compte"&gt;109&lt;/Valeur&gt;&lt;Valeur name="description"&gt;PRLV SEPA LEASECOM / LO2760817/218L87051, date echean&lt;/Valeur&gt;&lt;Valeur name="valeur"&gt;97.03&lt;/Valeur&gt;&lt;Valeur name="compta"&gt;1&lt;/Valeur&gt;&lt;Valeur name="tvapct"&gt;20&lt;/Valeur&gt;&lt;Valeur name="tva"&gt;16.1716666666667&lt;/Valeur&gt;&lt;/Insert&gt;</v>
      </c>
    </row>
    <row r="262" spans="1:38" x14ac:dyDescent="0.25">
      <c r="A262">
        <v>245</v>
      </c>
      <c r="B262">
        <f>IF(A262&lt;&gt;"",VLOOKUP(A262,Banque!B:D,3,FALSE),1)</f>
        <v>1</v>
      </c>
      <c r="C262" s="1">
        <v>43570</v>
      </c>
      <c r="D262" t="s">
        <v>257</v>
      </c>
      <c r="E262" t="s">
        <v>31</v>
      </c>
      <c r="G262" s="10">
        <v>0.21</v>
      </c>
      <c r="I262" s="11">
        <f t="shared" si="60"/>
        <v>3.5000000000000003E-2</v>
      </c>
      <c r="K262">
        <v>261</v>
      </c>
      <c r="L262">
        <v>245</v>
      </c>
      <c r="M262" s="16" t="s">
        <v>886</v>
      </c>
      <c r="N262">
        <f>IFERROR(VLOOKUP(D262,tab!A:B,2,FALSE),1)</f>
        <v>18</v>
      </c>
      <c r="O262" t="str">
        <f t="shared" si="61"/>
        <v>FRAIS E-VIR SEPA VERS EEE</v>
      </c>
      <c r="P262" s="14">
        <f t="shared" si="62"/>
        <v>0.21</v>
      </c>
      <c r="Q262" s="14">
        <f t="shared" si="63"/>
        <v>1</v>
      </c>
      <c r="R262" s="14">
        <v>20</v>
      </c>
      <c r="S262" s="14">
        <f t="shared" si="64"/>
        <v>3.5000000000000003E-2</v>
      </c>
      <c r="Z262" t="str">
        <f t="shared" si="65"/>
        <v>&lt;Valeur name="no"&gt;261&lt;/Valeur&gt;</v>
      </c>
      <c r="AA262" t="str">
        <f t="shared" si="66"/>
        <v>&lt;Valeur name="ecriturebanque"&gt;245&lt;/Valeur&gt;</v>
      </c>
      <c r="AB262" t="str">
        <f t="shared" si="67"/>
        <v>&lt;Valeur name="datevaleur"&gt;2019/04/15&lt;/Valeur&gt;</v>
      </c>
      <c r="AC262" t="str">
        <f t="shared" si="68"/>
        <v>&lt;Valeur name="compte"&gt;18&lt;/Valeur&gt;</v>
      </c>
      <c r="AD262" t="str">
        <f t="shared" si="69"/>
        <v>&lt;Valeur name="description"&gt;FRAIS E-VIR SEPA VERS EEE&lt;/Valeur&gt;</v>
      </c>
      <c r="AE262" t="str">
        <f t="shared" si="70"/>
        <v>&lt;Valeur name="valeur"&gt;0.21&lt;/Valeur&gt;</v>
      </c>
      <c r="AF262" t="str">
        <f t="shared" si="71"/>
        <v>&lt;Valeur name="compta"&gt;1&lt;/Valeur&gt;</v>
      </c>
      <c r="AG262" t="str">
        <f t="shared" si="72"/>
        <v>&lt;Valeur name="tvapct"&gt;20&lt;/Valeur&gt;</v>
      </c>
      <c r="AH262" t="str">
        <f t="shared" si="73"/>
        <v>&lt;Valeur name="tva"&gt;0.035&lt;/Valeur&gt;</v>
      </c>
      <c r="AL262" t="str">
        <f t="shared" si="74"/>
        <v>&lt;Insert&gt;&lt;Valeur name="no"&gt;261&lt;/Valeur&gt;&lt;Valeur name="ecriturebanque"&gt;245&lt;/Valeur&gt;&lt;Valeur name="datevaleur"&gt;2019/04/15&lt;/Valeur&gt;&lt;Valeur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263" spans="1:38" x14ac:dyDescent="0.25">
      <c r="A263">
        <v>246</v>
      </c>
      <c r="B263">
        <f>IF(A263&lt;&gt;"",VLOOKUP(A263,Banque!B:D,3,FALSE),1)</f>
        <v>1</v>
      </c>
      <c r="C263" s="1">
        <v>43570</v>
      </c>
      <c r="D263" t="s">
        <v>257</v>
      </c>
      <c r="E263" t="s">
        <v>31</v>
      </c>
      <c r="G263" s="10">
        <v>0.21</v>
      </c>
      <c r="I263" s="11">
        <f t="shared" si="60"/>
        <v>3.5000000000000003E-2</v>
      </c>
      <c r="K263">
        <v>262</v>
      </c>
      <c r="L263">
        <v>246</v>
      </c>
      <c r="M263" s="16" t="s">
        <v>886</v>
      </c>
      <c r="N263">
        <f>IFERROR(VLOOKUP(D263,tab!A:B,2,FALSE),1)</f>
        <v>18</v>
      </c>
      <c r="O263" t="str">
        <f t="shared" si="61"/>
        <v>FRAIS E-VIR SEPA VERS EEE</v>
      </c>
      <c r="P263" s="14">
        <f t="shared" si="62"/>
        <v>0.21</v>
      </c>
      <c r="Q263" s="14">
        <f t="shared" si="63"/>
        <v>1</v>
      </c>
      <c r="R263" s="14">
        <v>20</v>
      </c>
      <c r="S263" s="14">
        <f t="shared" si="64"/>
        <v>3.5000000000000003E-2</v>
      </c>
      <c r="Z263" t="str">
        <f t="shared" si="65"/>
        <v>&lt;Valeur name="no"&gt;262&lt;/Valeur&gt;</v>
      </c>
      <c r="AA263" t="str">
        <f t="shared" si="66"/>
        <v>&lt;Valeur name="ecriturebanque"&gt;246&lt;/Valeur&gt;</v>
      </c>
      <c r="AB263" t="str">
        <f t="shared" si="67"/>
        <v>&lt;Valeur name="datevaleur"&gt;2019/04/15&lt;/Valeur&gt;</v>
      </c>
      <c r="AC263" t="str">
        <f t="shared" si="68"/>
        <v>&lt;Valeur name="compte"&gt;18&lt;/Valeur&gt;</v>
      </c>
      <c r="AD263" t="str">
        <f t="shared" si="69"/>
        <v>&lt;Valeur name="description"&gt;FRAIS E-VIR SEPA VERS EEE&lt;/Valeur&gt;</v>
      </c>
      <c r="AE263" t="str">
        <f t="shared" si="70"/>
        <v>&lt;Valeur name="valeur"&gt;0.21&lt;/Valeur&gt;</v>
      </c>
      <c r="AF263" t="str">
        <f t="shared" si="71"/>
        <v>&lt;Valeur name="compta"&gt;1&lt;/Valeur&gt;</v>
      </c>
      <c r="AG263" t="str">
        <f t="shared" si="72"/>
        <v>&lt;Valeur name="tvapct"&gt;20&lt;/Valeur&gt;</v>
      </c>
      <c r="AH263" t="str">
        <f t="shared" si="73"/>
        <v>&lt;Valeur name="tva"&gt;0.035&lt;/Valeur&gt;</v>
      </c>
      <c r="AL263" t="str">
        <f t="shared" si="74"/>
        <v>&lt;Insert&gt;&lt;Valeur name="no"&gt;262&lt;/Valeur&gt;&lt;Valeur name="ecriturebanque"&gt;246&lt;/Valeur&gt;&lt;Valeur name="datevaleur"&gt;2019/04/15&lt;/Valeur&gt;&lt;Valeur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264" spans="1:38" x14ac:dyDescent="0.25">
      <c r="A264">
        <v>247</v>
      </c>
      <c r="B264">
        <f>IF(A264&lt;&gt;"",VLOOKUP(A264,Banque!B:D,3,FALSE),1)</f>
        <v>1</v>
      </c>
      <c r="C264" s="1">
        <v>43571</v>
      </c>
      <c r="E264" t="s">
        <v>636</v>
      </c>
      <c r="G264" s="10">
        <v>5042.08</v>
      </c>
      <c r="I264" s="11">
        <f t="shared" si="60"/>
        <v>840.34666666666635</v>
      </c>
      <c r="K264">
        <v>263</v>
      </c>
      <c r="L264">
        <v>247</v>
      </c>
      <c r="M264" s="16" t="s">
        <v>925</v>
      </c>
      <c r="N264">
        <f>IFERROR(VLOOKUP(D264,tab!A:B,2,FALSE),1)</f>
        <v>1</v>
      </c>
      <c r="O264" t="str">
        <f t="shared" si="61"/>
        <v>RELEVE LCR DU  090419  CONFORME</v>
      </c>
      <c r="P264" s="14">
        <f t="shared" si="62"/>
        <v>5042.08</v>
      </c>
      <c r="Q264" s="14">
        <f t="shared" si="63"/>
        <v>1</v>
      </c>
      <c r="R264" s="14">
        <v>20</v>
      </c>
      <c r="S264" s="14">
        <f t="shared" si="64"/>
        <v>840.34666666666635</v>
      </c>
      <c r="Z264" t="str">
        <f t="shared" si="65"/>
        <v>&lt;Valeur name="no"&gt;263&lt;/Valeur&gt;</v>
      </c>
      <c r="AA264" t="str">
        <f t="shared" si="66"/>
        <v>&lt;Valeur name="ecriturebanque"&gt;247&lt;/Valeur&gt;</v>
      </c>
      <c r="AB264" t="str">
        <f t="shared" si="67"/>
        <v>&lt;Valeur name="datevaleur"&gt;2019/04/16&lt;/Valeur&gt;</v>
      </c>
      <c r="AC264" t="str">
        <f t="shared" si="68"/>
        <v>&lt;Valeur name="compte"&gt;1&lt;/Valeur&gt;</v>
      </c>
      <c r="AD264" t="str">
        <f t="shared" si="69"/>
        <v>&lt;Valeur name="description"&gt;RELEVE LCR DU  090419  CONFORME&lt;/Valeur&gt;</v>
      </c>
      <c r="AE264" t="str">
        <f t="shared" si="70"/>
        <v>&lt;Valeur name="valeur"&gt;5042.08&lt;/Valeur&gt;</v>
      </c>
      <c r="AF264" t="str">
        <f t="shared" si="71"/>
        <v>&lt;Valeur name="compta"&gt;1&lt;/Valeur&gt;</v>
      </c>
      <c r="AG264" t="str">
        <f t="shared" si="72"/>
        <v>&lt;Valeur name="tvapct"&gt;20&lt;/Valeur&gt;</v>
      </c>
      <c r="AH264" t="str">
        <f t="shared" si="73"/>
        <v>&lt;Valeur name="tva"&gt;840.346666666666&lt;/Valeur&gt;</v>
      </c>
      <c r="AL264" t="str">
        <f t="shared" si="74"/>
        <v>&lt;Insert&gt;&lt;Valeur name="no"&gt;263&lt;/Valeur&gt;&lt;Valeur name="ecriturebanque"&gt;247&lt;/Valeur&gt;&lt;Valeur name="datevaleur"&gt;2019/04/16&lt;/Valeur&gt;&lt;Valeur name="compte"&gt;1&lt;/Valeur&gt;&lt;Valeur name="description"&gt;RELEVE LCR DU  090419  CONFORME&lt;/Valeur&gt;&lt;Valeur name="valeur"&gt;5042.08&lt;/Valeur&gt;&lt;Valeur name="compta"&gt;1&lt;/Valeur&gt;&lt;Valeur name="tvapct"&gt;20&lt;/Valeur&gt;&lt;Valeur name="tva"&gt;840.346666666666&lt;/Valeur&gt;&lt;/Insert&gt;</v>
      </c>
    </row>
    <row r="265" spans="1:38" x14ac:dyDescent="0.25">
      <c r="A265">
        <v>248</v>
      </c>
      <c r="B265">
        <f>IF(A265&lt;&gt;"",VLOOKUP(A265,Banque!B:D,3,FALSE),1)</f>
        <v>1</v>
      </c>
      <c r="C265" s="1">
        <v>43571</v>
      </c>
      <c r="D265" t="s">
        <v>254</v>
      </c>
      <c r="E265" t="s">
        <v>461</v>
      </c>
      <c r="G265" s="10">
        <v>12.2</v>
      </c>
      <c r="I265" s="11">
        <f t="shared" si="60"/>
        <v>2.0333333333333332</v>
      </c>
      <c r="K265">
        <v>264</v>
      </c>
      <c r="L265">
        <v>248</v>
      </c>
      <c r="M265" s="16" t="s">
        <v>925</v>
      </c>
      <c r="N265">
        <f>IFERROR(VLOOKUP(D265,tab!A:B,2,FALSE),1)</f>
        <v>27</v>
      </c>
      <c r="O265" t="str">
        <f t="shared" si="61"/>
        <v>CB 454106 BOULANGERIE 59FERRIERE</v>
      </c>
      <c r="P265" s="14">
        <f t="shared" si="62"/>
        <v>12.2</v>
      </c>
      <c r="Q265" s="14">
        <f t="shared" si="63"/>
        <v>1</v>
      </c>
      <c r="R265" s="14">
        <v>20</v>
      </c>
      <c r="S265" s="14">
        <f t="shared" si="64"/>
        <v>2.0333333333333332</v>
      </c>
      <c r="Z265" t="str">
        <f t="shared" si="65"/>
        <v>&lt;Valeur name="no"&gt;264&lt;/Valeur&gt;</v>
      </c>
      <c r="AA265" t="str">
        <f t="shared" si="66"/>
        <v>&lt;Valeur name="ecriturebanque"&gt;248&lt;/Valeur&gt;</v>
      </c>
      <c r="AB265" t="str">
        <f t="shared" si="67"/>
        <v>&lt;Valeur name="datevaleur"&gt;2019/04/16&lt;/Valeur&gt;</v>
      </c>
      <c r="AC265" t="str">
        <f t="shared" si="68"/>
        <v>&lt;Valeur name="compte"&gt;27&lt;/Valeur&gt;</v>
      </c>
      <c r="AD265" t="str">
        <f t="shared" si="69"/>
        <v>&lt;Valeur name="description"&gt;CB 454106 BOULANGERIE 59FERRIERE&lt;/Valeur&gt;</v>
      </c>
      <c r="AE265" t="str">
        <f t="shared" si="70"/>
        <v>&lt;Valeur name="valeur"&gt;12.2&lt;/Valeur&gt;</v>
      </c>
      <c r="AF265" t="str">
        <f t="shared" si="71"/>
        <v>&lt;Valeur name="compta"&gt;1&lt;/Valeur&gt;</v>
      </c>
      <c r="AG265" t="str">
        <f t="shared" si="72"/>
        <v>&lt;Valeur name="tvapct"&gt;20&lt;/Valeur&gt;</v>
      </c>
      <c r="AH265" t="str">
        <f t="shared" si="73"/>
        <v>&lt;Valeur name="tva"&gt;2.03333333333333&lt;/Valeur&gt;</v>
      </c>
      <c r="AL265" t="str">
        <f t="shared" si="74"/>
        <v>&lt;Insert&gt;&lt;Valeur name="no"&gt;264&lt;/Valeur&gt;&lt;Valeur name="ecriturebanque"&gt;248&lt;/Valeur&gt;&lt;Valeur name="datevaleur"&gt;2019/04/16&lt;/Valeur&gt;&lt;Valeur name="compte"&gt;27&lt;/Valeur&gt;&lt;Valeur name="description"&gt;CB 454106 BOULANGERIE 59FERRIERE&lt;/Valeur&gt;&lt;Valeur name="valeur"&gt;12.2&lt;/Valeur&gt;&lt;Valeur name="compta"&gt;1&lt;/Valeur&gt;&lt;Valeur name="tvapct"&gt;20&lt;/Valeur&gt;&lt;Valeur name="tva"&gt;2.03333333333333&lt;/Valeur&gt;&lt;/Insert&gt;</v>
      </c>
    </row>
    <row r="266" spans="1:38" x14ac:dyDescent="0.25">
      <c r="A266">
        <v>249</v>
      </c>
      <c r="B266">
        <f>IF(A266&lt;&gt;"",VLOOKUP(A266,Banque!B:D,3,FALSE),1)</f>
        <v>1</v>
      </c>
      <c r="C266" s="1">
        <v>43571</v>
      </c>
      <c r="D266" t="s">
        <v>269</v>
      </c>
      <c r="E266" t="s">
        <v>47</v>
      </c>
      <c r="F266" t="s">
        <v>639</v>
      </c>
      <c r="G266" s="10">
        <v>3551</v>
      </c>
      <c r="I266" s="11">
        <f t="shared" si="60"/>
        <v>591.83333333333303</v>
      </c>
      <c r="K266">
        <v>265</v>
      </c>
      <c r="L266">
        <v>249</v>
      </c>
      <c r="M266" s="16" t="s">
        <v>925</v>
      </c>
      <c r="N266">
        <f>IFERROR(VLOOKUP(D266,tab!A:B,2,FALSE),1)</f>
        <v>14</v>
      </c>
      <c r="O266" t="str">
        <f t="shared" si="61"/>
        <v>PRLV SEPA URSSAF Nord-Pas-de-Cal / UR 317000001020473292    MARS197</v>
      </c>
      <c r="P266" s="14">
        <f t="shared" si="62"/>
        <v>3551</v>
      </c>
      <c r="Q266" s="14">
        <f t="shared" si="63"/>
        <v>1</v>
      </c>
      <c r="R266" s="14">
        <v>20</v>
      </c>
      <c r="S266" s="14">
        <f t="shared" si="64"/>
        <v>591.83333333333303</v>
      </c>
      <c r="Z266" t="str">
        <f t="shared" si="65"/>
        <v>&lt;Valeur name="no"&gt;265&lt;/Valeur&gt;</v>
      </c>
      <c r="AA266" t="str">
        <f t="shared" si="66"/>
        <v>&lt;Valeur name="ecriturebanque"&gt;249&lt;/Valeur&gt;</v>
      </c>
      <c r="AB266" t="str">
        <f t="shared" si="67"/>
        <v>&lt;Valeur name="datevaleur"&gt;2019/04/16&lt;/Valeur&gt;</v>
      </c>
      <c r="AC266" t="str">
        <f t="shared" si="68"/>
        <v>&lt;Valeur name="compte"&gt;14&lt;/Valeur&gt;</v>
      </c>
      <c r="AD266" t="str">
        <f t="shared" si="69"/>
        <v>&lt;Valeur name="description"&gt;PRLV SEPA URSSAF Nord-Pas-de-Cal / UR 317000001020473292    MARS197&lt;/Valeur&gt;</v>
      </c>
      <c r="AE266" t="str">
        <f t="shared" si="70"/>
        <v>&lt;Valeur name="valeur"&gt;3551&lt;/Valeur&gt;</v>
      </c>
      <c r="AF266" t="str">
        <f t="shared" si="71"/>
        <v>&lt;Valeur name="compta"&gt;1&lt;/Valeur&gt;</v>
      </c>
      <c r="AG266" t="str">
        <f t="shared" si="72"/>
        <v>&lt;Valeur name="tvapct"&gt;20&lt;/Valeur&gt;</v>
      </c>
      <c r="AH266" t="str">
        <f t="shared" si="73"/>
        <v>&lt;Valeur name="tva"&gt;591.833333333333&lt;/Valeur&gt;</v>
      </c>
      <c r="AL266" t="str">
        <f t="shared" si="74"/>
        <v>&lt;Insert&gt;&lt;Valeur name="no"&gt;265&lt;/Valeur&gt;&lt;Valeur name="ecriturebanque"&gt;249&lt;/Valeur&gt;&lt;Valeur name="datevaleur"&gt;2019/04/16&lt;/Valeur&gt;&lt;Valeur name="compte"&gt;14&lt;/Valeur&gt;&lt;Valeur name="description"&gt;PRLV SEPA URSSAF Nord-Pas-de-Cal / UR 317000001020473292    MARS197&lt;/Valeur&gt;&lt;Valeur name="valeur"&gt;3551&lt;/Valeur&gt;&lt;Valeur name="compta"&gt;1&lt;/Valeur&gt;&lt;Valeur name="tvapct"&gt;20&lt;/Valeur&gt;&lt;Valeur name="tva"&gt;591.833333333333&lt;/Valeur&gt;&lt;/Insert&gt;</v>
      </c>
    </row>
    <row r="267" spans="1:38" x14ac:dyDescent="0.25">
      <c r="A267">
        <v>250</v>
      </c>
      <c r="B267">
        <f>IF(A267&lt;&gt;"",VLOOKUP(A267,Banque!B:D,3,FALSE),1)</f>
        <v>1</v>
      </c>
      <c r="C267" s="1">
        <v>43572</v>
      </c>
      <c r="D267" t="s">
        <v>254</v>
      </c>
      <c r="E267" t="s">
        <v>641</v>
      </c>
      <c r="G267" s="10">
        <v>12.5</v>
      </c>
      <c r="I267" s="11">
        <f t="shared" si="60"/>
        <v>2.0833333333333321</v>
      </c>
      <c r="K267">
        <v>266</v>
      </c>
      <c r="L267">
        <v>250</v>
      </c>
      <c r="M267" s="16" t="s">
        <v>974</v>
      </c>
      <c r="N267">
        <f>IFERROR(VLOOKUP(D267,tab!A:B,2,FALSE),1)</f>
        <v>27</v>
      </c>
      <c r="O267" t="str">
        <f t="shared" si="61"/>
        <v>CB 454106 K0679       59LEZENNES</v>
      </c>
      <c r="P267" s="14">
        <f t="shared" si="62"/>
        <v>12.5</v>
      </c>
      <c r="Q267" s="14">
        <f t="shared" si="63"/>
        <v>1</v>
      </c>
      <c r="R267" s="14">
        <v>20</v>
      </c>
      <c r="S267" s="14">
        <f t="shared" si="64"/>
        <v>2.0833333333333321</v>
      </c>
      <c r="Z267" t="str">
        <f t="shared" si="65"/>
        <v>&lt;Valeur name="no"&gt;266&lt;/Valeur&gt;</v>
      </c>
      <c r="AA267" t="str">
        <f t="shared" si="66"/>
        <v>&lt;Valeur name="ecriturebanque"&gt;250&lt;/Valeur&gt;</v>
      </c>
      <c r="AB267" t="str">
        <f t="shared" si="67"/>
        <v>&lt;Valeur name="datevaleur"&gt;2019/04/17&lt;/Valeur&gt;</v>
      </c>
      <c r="AC267" t="str">
        <f t="shared" si="68"/>
        <v>&lt;Valeur name="compte"&gt;27&lt;/Valeur&gt;</v>
      </c>
      <c r="AD267" t="str">
        <f t="shared" si="69"/>
        <v>&lt;Valeur name="description"&gt;CB 454106 K0679       59LEZENNES&lt;/Valeur&gt;</v>
      </c>
      <c r="AE267" t="str">
        <f t="shared" si="70"/>
        <v>&lt;Valeur name="valeur"&gt;12.5&lt;/Valeur&gt;</v>
      </c>
      <c r="AF267" t="str">
        <f t="shared" si="71"/>
        <v>&lt;Valeur name="compta"&gt;1&lt;/Valeur&gt;</v>
      </c>
      <c r="AG267" t="str">
        <f t="shared" si="72"/>
        <v>&lt;Valeur name="tvapct"&gt;20&lt;/Valeur&gt;</v>
      </c>
      <c r="AH267" t="str">
        <f t="shared" si="73"/>
        <v>&lt;Valeur name="tva"&gt;2.08333333333333&lt;/Valeur&gt;</v>
      </c>
      <c r="AL267" t="str">
        <f t="shared" si="74"/>
        <v>&lt;Insert&gt;&lt;Valeur name="no"&gt;266&lt;/Valeur&gt;&lt;Valeur name="ecriturebanque"&gt;250&lt;/Valeur&gt;&lt;Valeur name="datevaleur"&gt;2019/04/17&lt;/Valeur&gt;&lt;Valeur name="compte"&gt;27&lt;/Valeur&gt;&lt;Valeur name="description"&gt;CB 454106 K0679       59LEZENNES&lt;/Valeur&gt;&lt;Valeur name="valeur"&gt;12.5&lt;/Valeur&gt;&lt;Valeur name="compta"&gt;1&lt;/Valeur&gt;&lt;Valeur name="tvapct"&gt;20&lt;/Valeur&gt;&lt;Valeur name="tva"&gt;2.08333333333333&lt;/Valeur&gt;&lt;/Insert&gt;</v>
      </c>
    </row>
    <row r="268" spans="1:38" x14ac:dyDescent="0.25">
      <c r="A268">
        <v>251</v>
      </c>
      <c r="B268">
        <f>IF(A268&lt;&gt;"",VLOOKUP(A268,Banque!B:D,3,FALSE),1)</f>
        <v>1</v>
      </c>
      <c r="C268" s="1">
        <v>43572</v>
      </c>
      <c r="D268" t="s">
        <v>372</v>
      </c>
      <c r="E268" t="s">
        <v>643</v>
      </c>
      <c r="G268" s="10">
        <v>4.0999999999999996</v>
      </c>
      <c r="I268" s="11">
        <f t="shared" si="60"/>
        <v>0.68333333333333313</v>
      </c>
      <c r="K268">
        <v>267</v>
      </c>
      <c r="L268">
        <v>251</v>
      </c>
      <c r="M268" s="16" t="s">
        <v>974</v>
      </c>
      <c r="N268">
        <f>IFERROR(VLOOKUP(D268,tab!A:B,2,FALSE),1)</f>
        <v>21</v>
      </c>
      <c r="O268" t="str">
        <f t="shared" si="61"/>
        <v>CB 454106 SANEF 0904- 60SENLIS</v>
      </c>
      <c r="P268" s="14">
        <f t="shared" si="62"/>
        <v>4.0999999999999996</v>
      </c>
      <c r="Q268" s="14">
        <f t="shared" si="63"/>
        <v>1</v>
      </c>
      <c r="R268" s="14">
        <v>20</v>
      </c>
      <c r="S268" s="14">
        <f t="shared" si="64"/>
        <v>0.68333333333333313</v>
      </c>
      <c r="Z268" t="str">
        <f t="shared" si="65"/>
        <v>&lt;Valeur name="no"&gt;267&lt;/Valeur&gt;</v>
      </c>
      <c r="AA268" t="str">
        <f t="shared" si="66"/>
        <v>&lt;Valeur name="ecriturebanque"&gt;251&lt;/Valeur&gt;</v>
      </c>
      <c r="AB268" t="str">
        <f t="shared" si="67"/>
        <v>&lt;Valeur name="datevaleur"&gt;2019/04/17&lt;/Valeur&gt;</v>
      </c>
      <c r="AC268" t="str">
        <f t="shared" si="68"/>
        <v>&lt;Valeur name="compte"&gt;21&lt;/Valeur&gt;</v>
      </c>
      <c r="AD268" t="str">
        <f t="shared" si="69"/>
        <v>&lt;Valeur name="description"&gt;CB 454106 SANEF 0904- 60SENLIS&lt;/Valeur&gt;</v>
      </c>
      <c r="AE268" t="str">
        <f t="shared" si="70"/>
        <v>&lt;Valeur name="valeur"&gt;4.1&lt;/Valeur&gt;</v>
      </c>
      <c r="AF268" t="str">
        <f t="shared" si="71"/>
        <v>&lt;Valeur name="compta"&gt;1&lt;/Valeur&gt;</v>
      </c>
      <c r="AG268" t="str">
        <f t="shared" si="72"/>
        <v>&lt;Valeur name="tvapct"&gt;20&lt;/Valeur&gt;</v>
      </c>
      <c r="AH268" t="str">
        <f t="shared" si="73"/>
        <v>&lt;Valeur name="tva"&gt;0.683333333333333&lt;/Valeur&gt;</v>
      </c>
      <c r="AL268" t="str">
        <f t="shared" si="74"/>
        <v>&lt;Insert&gt;&lt;Valeur name="no"&gt;267&lt;/Valeur&gt;&lt;Valeur name="ecriturebanque"&gt;251&lt;/Valeur&gt;&lt;Valeur name="datevaleur"&gt;2019/04/17&lt;/Valeur&gt;&lt;Valeur name="compte"&gt;21&lt;/Valeur&gt;&lt;Valeur name="description"&gt;CB 454106 SANEF 0904- 60SENLIS&lt;/Valeur&gt;&lt;Valeur name="valeur"&gt;4.1&lt;/Valeur&gt;&lt;Valeur name="compta"&gt;1&lt;/Valeur&gt;&lt;Valeur name="tvapct"&gt;20&lt;/Valeur&gt;&lt;Valeur name="tva"&gt;0.683333333333333&lt;/Valeur&gt;&lt;/Insert&gt;</v>
      </c>
    </row>
    <row r="269" spans="1:38" x14ac:dyDescent="0.25">
      <c r="A269">
        <v>252</v>
      </c>
      <c r="B269">
        <f>IF(A269&lt;&gt;"",VLOOKUP(A269,Banque!B:D,3,FALSE),1)</f>
        <v>1</v>
      </c>
      <c r="C269" s="1">
        <v>43573</v>
      </c>
      <c r="D269" t="s">
        <v>376</v>
      </c>
      <c r="E269" t="s">
        <v>645</v>
      </c>
      <c r="G269" s="10">
        <v>9.99</v>
      </c>
      <c r="I269" s="11">
        <f t="shared" si="60"/>
        <v>1.6649999999999991</v>
      </c>
      <c r="K269">
        <v>268</v>
      </c>
      <c r="L269">
        <v>252</v>
      </c>
      <c r="M269" s="16" t="s">
        <v>975</v>
      </c>
      <c r="N269">
        <f>IFERROR(VLOOKUP(D269,tab!A:B,2,FALSE),1)</f>
        <v>69</v>
      </c>
      <c r="O269" t="str">
        <f t="shared" si="61"/>
        <v>CB 548222 GOOGLE *GOO GB   9,99</v>
      </c>
      <c r="P269" s="14">
        <f t="shared" si="62"/>
        <v>9.99</v>
      </c>
      <c r="Q269" s="14">
        <f t="shared" si="63"/>
        <v>1</v>
      </c>
      <c r="R269" s="14">
        <v>20</v>
      </c>
      <c r="S269" s="14">
        <f t="shared" si="64"/>
        <v>1.6649999999999991</v>
      </c>
      <c r="Z269" t="str">
        <f t="shared" si="65"/>
        <v>&lt;Valeur name="no"&gt;268&lt;/Valeur&gt;</v>
      </c>
      <c r="AA269" t="str">
        <f t="shared" si="66"/>
        <v>&lt;Valeur name="ecriturebanque"&gt;252&lt;/Valeur&gt;</v>
      </c>
      <c r="AB269" t="str">
        <f t="shared" si="67"/>
        <v>&lt;Valeur name="datevaleur"&gt;2019/04/18&lt;/Valeur&gt;</v>
      </c>
      <c r="AC269" t="str">
        <f t="shared" si="68"/>
        <v>&lt;Valeur name="compte"&gt;69&lt;/Valeur&gt;</v>
      </c>
      <c r="AD269" t="str">
        <f t="shared" si="69"/>
        <v>&lt;Valeur name="description"&gt;CB 548222 GOOGLE *GOO GB   9,99&lt;/Valeur&gt;</v>
      </c>
      <c r="AE269" t="str">
        <f t="shared" si="70"/>
        <v>&lt;Valeur name="valeur"&gt;9.99&lt;/Valeur&gt;</v>
      </c>
      <c r="AF269" t="str">
        <f t="shared" si="71"/>
        <v>&lt;Valeur name="compta"&gt;1&lt;/Valeur&gt;</v>
      </c>
      <c r="AG269" t="str">
        <f t="shared" si="72"/>
        <v>&lt;Valeur name="tvapct"&gt;20&lt;/Valeur&gt;</v>
      </c>
      <c r="AH269" t="str">
        <f t="shared" si="73"/>
        <v>&lt;Valeur name="tva"&gt;1.665&lt;/Valeur&gt;</v>
      </c>
      <c r="AL269" t="str">
        <f t="shared" si="74"/>
        <v>&lt;Insert&gt;&lt;Valeur name="no"&gt;268&lt;/Valeur&gt;&lt;Valeur name="ecriturebanque"&gt;252&lt;/Valeur&gt;&lt;Valeur name="datevaleur"&gt;2019/04/18&lt;/Valeur&gt;&lt;Valeur name="compte"&gt;69&lt;/Valeur&gt;&lt;Valeur name="description"&gt;CB 548222 GOOGLE *GOO GB   9,99&lt;/Valeur&gt;&lt;Valeur name="valeur"&gt;9.99&lt;/Valeur&gt;&lt;Valeur name="compta"&gt;1&lt;/Valeur&gt;&lt;Valeur name="tvapct"&gt;20&lt;/Valeur&gt;&lt;Valeur name="tva"&gt;1.665&lt;/Valeur&gt;&lt;/Insert&gt;</v>
      </c>
    </row>
    <row r="270" spans="1:38" x14ac:dyDescent="0.25">
      <c r="A270">
        <v>253</v>
      </c>
      <c r="B270">
        <f>IF(A270&lt;&gt;"",VLOOKUP(A270,Banque!B:D,3,FALSE),1)</f>
        <v>1</v>
      </c>
      <c r="C270" s="1">
        <v>43578</v>
      </c>
      <c r="D270" t="s">
        <v>254</v>
      </c>
      <c r="E270" t="s">
        <v>647</v>
      </c>
      <c r="G270" s="10">
        <v>13.4</v>
      </c>
      <c r="I270" s="11">
        <f t="shared" si="60"/>
        <v>2.2333333333333325</v>
      </c>
      <c r="K270">
        <v>269</v>
      </c>
      <c r="L270">
        <v>253</v>
      </c>
      <c r="M270" s="16" t="s">
        <v>976</v>
      </c>
      <c r="N270">
        <f>IFERROR(VLOOKUP(D270,tab!A:B,2,FALSE),1)</f>
        <v>27</v>
      </c>
      <c r="O270" t="str">
        <f t="shared" si="61"/>
        <v>CB 454106 BOUL PROUVY 59PROUVY</v>
      </c>
      <c r="P270" s="14">
        <f t="shared" si="62"/>
        <v>13.4</v>
      </c>
      <c r="Q270" s="14">
        <f t="shared" si="63"/>
        <v>1</v>
      </c>
      <c r="R270" s="14">
        <v>20</v>
      </c>
      <c r="S270" s="14">
        <f t="shared" si="64"/>
        <v>2.2333333333333325</v>
      </c>
      <c r="Z270" t="str">
        <f t="shared" si="65"/>
        <v>&lt;Valeur name="no"&gt;269&lt;/Valeur&gt;</v>
      </c>
      <c r="AA270" t="str">
        <f t="shared" si="66"/>
        <v>&lt;Valeur name="ecriturebanque"&gt;253&lt;/Valeur&gt;</v>
      </c>
      <c r="AB270" t="str">
        <f t="shared" si="67"/>
        <v>&lt;Valeur name="datevaleur"&gt;2019/04/23&lt;/Valeur&gt;</v>
      </c>
      <c r="AC270" t="str">
        <f t="shared" si="68"/>
        <v>&lt;Valeur name="compte"&gt;27&lt;/Valeur&gt;</v>
      </c>
      <c r="AD270" t="str">
        <f t="shared" si="69"/>
        <v>&lt;Valeur name="description"&gt;CB 454106 BOUL PROUVY 59PROUVY&lt;/Valeur&gt;</v>
      </c>
      <c r="AE270" t="str">
        <f t="shared" si="70"/>
        <v>&lt;Valeur name="valeur"&gt;13.4&lt;/Valeur&gt;</v>
      </c>
      <c r="AF270" t="str">
        <f t="shared" si="71"/>
        <v>&lt;Valeur name="compta"&gt;1&lt;/Valeur&gt;</v>
      </c>
      <c r="AG270" t="str">
        <f t="shared" si="72"/>
        <v>&lt;Valeur name="tvapct"&gt;20&lt;/Valeur&gt;</v>
      </c>
      <c r="AH270" t="str">
        <f t="shared" si="73"/>
        <v>&lt;Valeur name="tva"&gt;2.23333333333333&lt;/Valeur&gt;</v>
      </c>
      <c r="AL270" t="str">
        <f t="shared" si="74"/>
        <v>&lt;Insert&gt;&lt;Valeur name="no"&gt;269&lt;/Valeur&gt;&lt;Valeur name="ecriturebanque"&gt;253&lt;/Valeur&gt;&lt;Valeur name="datevaleur"&gt;2019/04/23&lt;/Valeur&gt;&lt;Valeur name="compte"&gt;27&lt;/Valeur&gt;&lt;Valeur name="description"&gt;CB 454106 BOUL PROUVY 59PROUVY&lt;/Valeur&gt;&lt;Valeur name="valeur"&gt;13.4&lt;/Valeur&gt;&lt;Valeur name="compta"&gt;1&lt;/Valeur&gt;&lt;Valeur name="tvapct"&gt;20&lt;/Valeur&gt;&lt;Valeur name="tva"&gt;2.23333333333333&lt;/Valeur&gt;&lt;/Insert&gt;</v>
      </c>
    </row>
    <row r="271" spans="1:38" x14ac:dyDescent="0.25">
      <c r="A271">
        <v>254</v>
      </c>
      <c r="B271">
        <f>IF(A271&lt;&gt;"",VLOOKUP(A271,Banque!B:D,3,FALSE),1)</f>
        <v>1</v>
      </c>
      <c r="C271" s="1">
        <v>43579</v>
      </c>
      <c r="D271" t="s">
        <v>253</v>
      </c>
      <c r="E271" t="s">
        <v>9</v>
      </c>
      <c r="G271" s="10">
        <v>82.11</v>
      </c>
      <c r="I271" s="11">
        <f t="shared" si="60"/>
        <v>13.685000000000002</v>
      </c>
      <c r="K271">
        <v>270</v>
      </c>
      <c r="L271">
        <v>254</v>
      </c>
      <c r="M271" s="16" t="s">
        <v>918</v>
      </c>
      <c r="N271">
        <f>IFERROR(VLOOKUP(D271,tab!A:B,2,FALSE),1)</f>
        <v>13</v>
      </c>
      <c r="O271" t="str">
        <f t="shared" si="61"/>
        <v>CB 548222 DAC AUCHAN  59VALENCIE</v>
      </c>
      <c r="P271" s="14">
        <f t="shared" si="62"/>
        <v>82.11</v>
      </c>
      <c r="Q271" s="14">
        <f t="shared" si="63"/>
        <v>1</v>
      </c>
      <c r="R271" s="14">
        <v>20</v>
      </c>
      <c r="S271" s="14">
        <f t="shared" si="64"/>
        <v>13.685000000000002</v>
      </c>
      <c r="Z271" t="str">
        <f t="shared" si="65"/>
        <v>&lt;Valeur name="no"&gt;270&lt;/Valeur&gt;</v>
      </c>
      <c r="AA271" t="str">
        <f t="shared" si="66"/>
        <v>&lt;Valeur name="ecriturebanque"&gt;254&lt;/Valeur&gt;</v>
      </c>
      <c r="AB271" t="str">
        <f t="shared" si="67"/>
        <v>&lt;Valeur name="datevaleur"&gt;2019/04/24&lt;/Valeur&gt;</v>
      </c>
      <c r="AC271" t="str">
        <f t="shared" si="68"/>
        <v>&lt;Valeur name="compte"&gt;13&lt;/Valeur&gt;</v>
      </c>
      <c r="AD271" t="str">
        <f t="shared" si="69"/>
        <v>&lt;Valeur name="description"&gt;CB 548222 DAC AUCHAN  59VALENCIE&lt;/Valeur&gt;</v>
      </c>
      <c r="AE271" t="str">
        <f t="shared" si="70"/>
        <v>&lt;Valeur name="valeur"&gt;82.11&lt;/Valeur&gt;</v>
      </c>
      <c r="AF271" t="str">
        <f t="shared" si="71"/>
        <v>&lt;Valeur name="compta"&gt;1&lt;/Valeur&gt;</v>
      </c>
      <c r="AG271" t="str">
        <f t="shared" si="72"/>
        <v>&lt;Valeur name="tvapct"&gt;20&lt;/Valeur&gt;</v>
      </c>
      <c r="AH271" t="str">
        <f t="shared" si="73"/>
        <v>&lt;Valeur name="tva"&gt;13.685&lt;/Valeur&gt;</v>
      </c>
      <c r="AL271" t="str">
        <f t="shared" si="74"/>
        <v>&lt;Insert&gt;&lt;Valeur name="no"&gt;270&lt;/Valeur&gt;&lt;Valeur name="ecriturebanque"&gt;254&lt;/Valeur&gt;&lt;Valeur name="datevaleur"&gt;2019/04/24&lt;/Valeur&gt;&lt;Valeur name="compte"&gt;13&lt;/Valeur&gt;&lt;Valeur name="description"&gt;CB 548222 DAC AUCHAN  59VALENCIE&lt;/Valeur&gt;&lt;Valeur name="valeur"&gt;82.11&lt;/Valeur&gt;&lt;Valeur name="compta"&gt;1&lt;/Valeur&gt;&lt;Valeur name="tvapct"&gt;20&lt;/Valeur&gt;&lt;Valeur name="tva"&gt;13.685&lt;/Valeur&gt;&lt;/Insert&gt;</v>
      </c>
    </row>
    <row r="272" spans="1:38" x14ac:dyDescent="0.25">
      <c r="A272">
        <v>255</v>
      </c>
      <c r="B272">
        <f>IF(A272&lt;&gt;"",VLOOKUP(A272,Banque!B:D,3,FALSE),1)</f>
        <v>1</v>
      </c>
      <c r="C272" s="1">
        <v>43579</v>
      </c>
      <c r="D272" t="s">
        <v>254</v>
      </c>
      <c r="E272" t="s">
        <v>7</v>
      </c>
      <c r="G272" s="10">
        <v>12.6</v>
      </c>
      <c r="I272" s="11">
        <f t="shared" si="60"/>
        <v>2.0999999999999996</v>
      </c>
      <c r="K272">
        <v>271</v>
      </c>
      <c r="L272">
        <v>255</v>
      </c>
      <c r="M272" s="16" t="s">
        <v>918</v>
      </c>
      <c r="N272">
        <f>IFERROR(VLOOKUP(D272,tab!A:B,2,FALSE),1)</f>
        <v>27</v>
      </c>
      <c r="O272" t="str">
        <f t="shared" si="61"/>
        <v>CB 454106 SNACK THIER 59BAVAY</v>
      </c>
      <c r="P272" s="14">
        <f t="shared" si="62"/>
        <v>12.6</v>
      </c>
      <c r="Q272" s="14">
        <f t="shared" si="63"/>
        <v>1</v>
      </c>
      <c r="R272" s="14">
        <v>20</v>
      </c>
      <c r="S272" s="14">
        <f t="shared" si="64"/>
        <v>2.0999999999999996</v>
      </c>
      <c r="Z272" t="str">
        <f t="shared" si="65"/>
        <v>&lt;Valeur name="no"&gt;271&lt;/Valeur&gt;</v>
      </c>
      <c r="AA272" t="str">
        <f t="shared" si="66"/>
        <v>&lt;Valeur name="ecriturebanque"&gt;255&lt;/Valeur&gt;</v>
      </c>
      <c r="AB272" t="str">
        <f t="shared" si="67"/>
        <v>&lt;Valeur name="datevaleur"&gt;2019/04/24&lt;/Valeur&gt;</v>
      </c>
      <c r="AC272" t="str">
        <f t="shared" si="68"/>
        <v>&lt;Valeur name="compte"&gt;27&lt;/Valeur&gt;</v>
      </c>
      <c r="AD272" t="str">
        <f t="shared" si="69"/>
        <v>&lt;Valeur name="description"&gt;CB 454106 SNACK THIER 59BAVAY&lt;/Valeur&gt;</v>
      </c>
      <c r="AE272" t="str">
        <f t="shared" si="70"/>
        <v>&lt;Valeur name="valeur"&gt;12.6&lt;/Valeur&gt;</v>
      </c>
      <c r="AF272" t="str">
        <f t="shared" si="71"/>
        <v>&lt;Valeur name="compta"&gt;1&lt;/Valeur&gt;</v>
      </c>
      <c r="AG272" t="str">
        <f t="shared" si="72"/>
        <v>&lt;Valeur name="tvapct"&gt;20&lt;/Valeur&gt;</v>
      </c>
      <c r="AH272" t="str">
        <f t="shared" si="73"/>
        <v>&lt;Valeur name="tva"&gt;2.1&lt;/Valeur&gt;</v>
      </c>
      <c r="AL272" t="str">
        <f t="shared" si="74"/>
        <v>&lt;Insert&gt;&lt;Valeur name="no"&gt;271&lt;/Valeur&gt;&lt;Valeur name="ecriturebanque"&gt;255&lt;/Valeur&gt;&lt;Valeur name="datevaleur"&gt;2019/04/24&lt;/Valeur&gt;&lt;Valeur name="compte"&gt;27&lt;/Valeur&gt;&lt;Valeur name="description"&gt;CB 454106 SNACK THIER 59BAVAY&lt;/Valeur&gt;&lt;Valeur name="valeur"&gt;12.6&lt;/Valeur&gt;&lt;Valeur name="compta"&gt;1&lt;/Valeur&gt;&lt;Valeur name="tvapct"&gt;20&lt;/Valeur&gt;&lt;Valeur name="tva"&gt;2.1&lt;/Valeur&gt;&lt;/Insert&gt;</v>
      </c>
    </row>
    <row r="273" spans="1:38" x14ac:dyDescent="0.25">
      <c r="A273">
        <v>256</v>
      </c>
      <c r="B273">
        <f>IF(A273&lt;&gt;"",VLOOKUP(A273,Banque!B:D,3,FALSE),1)</f>
        <v>1</v>
      </c>
      <c r="C273" s="1">
        <v>43579</v>
      </c>
      <c r="D273" t="s">
        <v>375</v>
      </c>
      <c r="E273" t="s">
        <v>77</v>
      </c>
      <c r="G273" s="10">
        <v>1168.9000000000001</v>
      </c>
      <c r="I273" s="11">
        <f t="shared" si="60"/>
        <v>194.81666666666661</v>
      </c>
      <c r="K273">
        <v>272</v>
      </c>
      <c r="L273">
        <v>256</v>
      </c>
      <c r="M273" s="16" t="s">
        <v>918</v>
      </c>
      <c r="N273">
        <f>IFERROR(VLOOKUP(D273,tab!A:B,2,FALSE),1)</f>
        <v>52</v>
      </c>
      <c r="O273" t="str">
        <f t="shared" si="61"/>
        <v>CB 548222 DESIGN PROD 14TROARN</v>
      </c>
      <c r="P273" s="14">
        <f t="shared" si="62"/>
        <v>1168.9000000000001</v>
      </c>
      <c r="Q273" s="14">
        <f t="shared" si="63"/>
        <v>1</v>
      </c>
      <c r="R273" s="14">
        <v>20</v>
      </c>
      <c r="S273" s="14">
        <f t="shared" si="64"/>
        <v>194.81666666666661</v>
      </c>
      <c r="Z273" t="str">
        <f t="shared" si="65"/>
        <v>&lt;Valeur name="no"&gt;272&lt;/Valeur&gt;</v>
      </c>
      <c r="AA273" t="str">
        <f t="shared" si="66"/>
        <v>&lt;Valeur name="ecriturebanque"&gt;256&lt;/Valeur&gt;</v>
      </c>
      <c r="AB273" t="str">
        <f t="shared" si="67"/>
        <v>&lt;Valeur name="datevaleur"&gt;2019/04/24&lt;/Valeur&gt;</v>
      </c>
      <c r="AC273" t="str">
        <f t="shared" si="68"/>
        <v>&lt;Valeur name="compte"&gt;52&lt;/Valeur&gt;</v>
      </c>
      <c r="AD273" t="str">
        <f t="shared" si="69"/>
        <v>&lt;Valeur name="description"&gt;CB 548222 DESIGN PROD 14TROARN&lt;/Valeur&gt;</v>
      </c>
      <c r="AE273" t="str">
        <f t="shared" si="70"/>
        <v>&lt;Valeur name="valeur"&gt;1168.9&lt;/Valeur&gt;</v>
      </c>
      <c r="AF273" t="str">
        <f t="shared" si="71"/>
        <v>&lt;Valeur name="compta"&gt;1&lt;/Valeur&gt;</v>
      </c>
      <c r="AG273" t="str">
        <f t="shared" si="72"/>
        <v>&lt;Valeur name="tvapct"&gt;20&lt;/Valeur&gt;</v>
      </c>
      <c r="AH273" t="str">
        <f t="shared" si="73"/>
        <v>&lt;Valeur name="tva"&gt;194.816666666667&lt;/Valeur&gt;</v>
      </c>
      <c r="AL273" t="str">
        <f t="shared" si="74"/>
        <v>&lt;Insert&gt;&lt;Valeur name="no"&gt;272&lt;/Valeur&gt;&lt;Valeur name="ecriturebanque"&gt;256&lt;/Valeur&gt;&lt;Valeur name="datevaleur"&gt;2019/04/24&lt;/Valeur&gt;&lt;Valeur name="compte"&gt;52&lt;/Valeur&gt;&lt;Valeur name="description"&gt;CB 548222 DESIGN PROD 14TROARN&lt;/Valeur&gt;&lt;Valeur name="valeur"&gt;1168.9&lt;/Valeur&gt;&lt;Valeur name="compta"&gt;1&lt;/Valeur&gt;&lt;Valeur name="tvapct"&gt;20&lt;/Valeur&gt;&lt;Valeur name="tva"&gt;194.816666666667&lt;/Valeur&gt;&lt;/Insert&gt;</v>
      </c>
    </row>
    <row r="274" spans="1:38" x14ac:dyDescent="0.25">
      <c r="A274">
        <v>257</v>
      </c>
      <c r="B274">
        <f>IF(A274&lt;&gt;"",VLOOKUP(A274,Banque!B:D,3,FALSE),1)</f>
        <v>1</v>
      </c>
      <c r="C274" s="1">
        <v>43579</v>
      </c>
      <c r="D274" t="s">
        <v>269</v>
      </c>
      <c r="E274" t="s">
        <v>15</v>
      </c>
      <c r="F274" t="s">
        <v>653</v>
      </c>
      <c r="G274" s="10">
        <v>155</v>
      </c>
      <c r="I274" s="11">
        <f t="shared" si="60"/>
        <v>25.833333333333314</v>
      </c>
      <c r="K274">
        <v>273</v>
      </c>
      <c r="L274">
        <v>257</v>
      </c>
      <c r="M274" s="16" t="s">
        <v>918</v>
      </c>
      <c r="N274">
        <f>IFERROR(VLOOKUP(D274,tab!A:B,2,FALSE),1)</f>
        <v>14</v>
      </c>
      <c r="O274" t="str">
        <f t="shared" si="61"/>
        <v>PRLV B2B DGFIP / PASDSN15042019-032019-7945135310</v>
      </c>
      <c r="P274" s="14">
        <f t="shared" si="62"/>
        <v>155</v>
      </c>
      <c r="Q274" s="14">
        <f t="shared" si="63"/>
        <v>1</v>
      </c>
      <c r="R274" s="14">
        <v>20</v>
      </c>
      <c r="S274" s="14">
        <f t="shared" si="64"/>
        <v>25.833333333333314</v>
      </c>
      <c r="Z274" t="str">
        <f t="shared" si="65"/>
        <v>&lt;Valeur name="no"&gt;273&lt;/Valeur&gt;</v>
      </c>
      <c r="AA274" t="str">
        <f t="shared" si="66"/>
        <v>&lt;Valeur name="ecriturebanque"&gt;257&lt;/Valeur&gt;</v>
      </c>
      <c r="AB274" t="str">
        <f t="shared" si="67"/>
        <v>&lt;Valeur name="datevaleur"&gt;2019/04/24&lt;/Valeur&gt;</v>
      </c>
      <c r="AC274" t="str">
        <f t="shared" si="68"/>
        <v>&lt;Valeur name="compte"&gt;14&lt;/Valeur&gt;</v>
      </c>
      <c r="AD274" t="str">
        <f t="shared" si="69"/>
        <v>&lt;Valeur name="description"&gt;PRLV B2B DGFIP / PASDSN15042019-032019-7945135310&lt;/Valeur&gt;</v>
      </c>
      <c r="AE274" t="str">
        <f t="shared" si="70"/>
        <v>&lt;Valeur name="valeur"&gt;155&lt;/Valeur&gt;</v>
      </c>
      <c r="AF274" t="str">
        <f t="shared" si="71"/>
        <v>&lt;Valeur name="compta"&gt;1&lt;/Valeur&gt;</v>
      </c>
      <c r="AG274" t="str">
        <f t="shared" si="72"/>
        <v>&lt;Valeur name="tvapct"&gt;20&lt;/Valeur&gt;</v>
      </c>
      <c r="AH274" t="str">
        <f t="shared" si="73"/>
        <v>&lt;Valeur name="tva"&gt;25.8333333333333&lt;/Valeur&gt;</v>
      </c>
      <c r="AL274" t="str">
        <f t="shared" si="74"/>
        <v>&lt;Insert&gt;&lt;Valeur name="no"&gt;273&lt;/Valeur&gt;&lt;Valeur name="ecriturebanque"&gt;257&lt;/Valeur&gt;&lt;Valeur name="datevaleur"&gt;2019/04/24&lt;/Valeur&gt;&lt;Valeur name="compte"&gt;14&lt;/Valeur&gt;&lt;Valeur name="description"&gt;PRLV B2B DGFIP / PASDSN15042019-032019-7945135310&lt;/Valeur&gt;&lt;Valeur name="valeur"&gt;155&lt;/Valeur&gt;&lt;Valeur name="compta"&gt;1&lt;/Valeur&gt;&lt;Valeur name="tvapct"&gt;20&lt;/Valeur&gt;&lt;Valeur name="tva"&gt;25.8333333333333&lt;/Valeur&gt;&lt;/Insert&gt;</v>
      </c>
    </row>
    <row r="275" spans="1:38" x14ac:dyDescent="0.25">
      <c r="A275">
        <v>258</v>
      </c>
      <c r="B275">
        <f>IF(A275&lt;&gt;"",VLOOKUP(A275,Banque!B:D,3,FALSE),1)</f>
        <v>1</v>
      </c>
      <c r="C275" s="1">
        <v>43580</v>
      </c>
      <c r="D275" t="s">
        <v>253</v>
      </c>
      <c r="E275" t="s">
        <v>27</v>
      </c>
      <c r="G275" s="10">
        <v>83.52</v>
      </c>
      <c r="I275" s="11">
        <f t="shared" si="60"/>
        <v>13.920000000000002</v>
      </c>
      <c r="K275">
        <v>274</v>
      </c>
      <c r="L275">
        <v>258</v>
      </c>
      <c r="M275" s="16" t="s">
        <v>934</v>
      </c>
      <c r="N275">
        <f>IFERROR(VLOOKUP(D275,tab!A:B,2,FALSE),1)</f>
        <v>13</v>
      </c>
      <c r="O275" t="str">
        <f t="shared" si="61"/>
        <v>CB 454106 CARREFOUR D 59AULNOY L</v>
      </c>
      <c r="P275" s="14">
        <f t="shared" si="62"/>
        <v>83.52</v>
      </c>
      <c r="Q275" s="14">
        <f t="shared" si="63"/>
        <v>1</v>
      </c>
      <c r="R275" s="14">
        <v>20</v>
      </c>
      <c r="S275" s="14">
        <f t="shared" si="64"/>
        <v>13.920000000000002</v>
      </c>
      <c r="Z275" t="str">
        <f t="shared" si="65"/>
        <v>&lt;Valeur name="no"&gt;274&lt;/Valeur&gt;</v>
      </c>
      <c r="AA275" t="str">
        <f t="shared" si="66"/>
        <v>&lt;Valeur name="ecriturebanque"&gt;258&lt;/Valeur&gt;</v>
      </c>
      <c r="AB275" t="str">
        <f t="shared" si="67"/>
        <v>&lt;Valeur name="datevaleur"&gt;2019/04/25&lt;/Valeur&gt;</v>
      </c>
      <c r="AC275" t="str">
        <f t="shared" si="68"/>
        <v>&lt;Valeur name="compte"&gt;13&lt;/Valeur&gt;</v>
      </c>
      <c r="AD275" t="str">
        <f t="shared" si="69"/>
        <v>&lt;Valeur name="description"&gt;CB 454106 CARREFOUR D 59AULNOY L&lt;/Valeur&gt;</v>
      </c>
      <c r="AE275" t="str">
        <f t="shared" si="70"/>
        <v>&lt;Valeur name="valeur"&gt;83.52&lt;/Valeur&gt;</v>
      </c>
      <c r="AF275" t="str">
        <f t="shared" si="71"/>
        <v>&lt;Valeur name="compta"&gt;1&lt;/Valeur&gt;</v>
      </c>
      <c r="AG275" t="str">
        <f t="shared" si="72"/>
        <v>&lt;Valeur name="tvapct"&gt;20&lt;/Valeur&gt;</v>
      </c>
      <c r="AH275" t="str">
        <f t="shared" si="73"/>
        <v>&lt;Valeur name="tva"&gt;13.92&lt;/Valeur&gt;</v>
      </c>
      <c r="AL275" t="str">
        <f t="shared" si="74"/>
        <v>&lt;Insert&gt;&lt;Valeur name="no"&gt;274&lt;/Valeur&gt;&lt;Valeur name="ecriturebanque"&gt;258&lt;/Valeur&gt;&lt;Valeur name="datevaleur"&gt;2019/04/25&lt;/Valeur&gt;&lt;Valeur name="compte"&gt;13&lt;/Valeur&gt;&lt;Valeur name="description"&gt;CB 454106 CARREFOUR D 59AULNOY L&lt;/Valeur&gt;&lt;Valeur name="valeur"&gt;83.52&lt;/Valeur&gt;&lt;Valeur name="compta"&gt;1&lt;/Valeur&gt;&lt;Valeur name="tvapct"&gt;20&lt;/Valeur&gt;&lt;Valeur name="tva"&gt;13.92&lt;/Valeur&gt;&lt;/Insert&gt;</v>
      </c>
    </row>
    <row r="276" spans="1:38" x14ac:dyDescent="0.25">
      <c r="A276">
        <v>259</v>
      </c>
      <c r="B276">
        <f>IF(A276&lt;&gt;"",VLOOKUP(A276,Banque!B:D,3,FALSE),1)</f>
        <v>1</v>
      </c>
      <c r="C276" s="1">
        <v>43580</v>
      </c>
      <c r="D276" t="s">
        <v>437</v>
      </c>
      <c r="E276" t="s">
        <v>247</v>
      </c>
      <c r="G276" s="10">
        <v>252</v>
      </c>
      <c r="I276" s="11">
        <f t="shared" si="60"/>
        <v>42</v>
      </c>
      <c r="K276">
        <v>275</v>
      </c>
      <c r="L276">
        <v>259</v>
      </c>
      <c r="M276" s="16" t="s">
        <v>934</v>
      </c>
      <c r="N276">
        <f>IFERROR(VLOOKUP(D276,tab!A:B,2,FALSE),1)</f>
        <v>41</v>
      </c>
      <c r="O276" t="str">
        <f t="shared" si="61"/>
        <v>CB 548222 CARREFOUR V 59AULNOY L</v>
      </c>
      <c r="P276" s="14">
        <f t="shared" si="62"/>
        <v>252</v>
      </c>
      <c r="Q276" s="14">
        <f t="shared" si="63"/>
        <v>1</v>
      </c>
      <c r="R276" s="14">
        <v>20</v>
      </c>
      <c r="S276" s="14">
        <f t="shared" si="64"/>
        <v>42</v>
      </c>
      <c r="Z276" t="str">
        <f t="shared" si="65"/>
        <v>&lt;Valeur name="no"&gt;275&lt;/Valeur&gt;</v>
      </c>
      <c r="AA276" t="str">
        <f t="shared" si="66"/>
        <v>&lt;Valeur name="ecriturebanque"&gt;259&lt;/Valeur&gt;</v>
      </c>
      <c r="AB276" t="str">
        <f t="shared" si="67"/>
        <v>&lt;Valeur name="datevaleur"&gt;2019/04/25&lt;/Valeur&gt;</v>
      </c>
      <c r="AC276" t="str">
        <f t="shared" si="68"/>
        <v>&lt;Valeur name="compte"&gt;41&lt;/Valeur&gt;</v>
      </c>
      <c r="AD276" t="str">
        <f t="shared" si="69"/>
        <v>&lt;Valeur name="description"&gt;CB 548222 CARREFOUR V 59AULNOY L&lt;/Valeur&gt;</v>
      </c>
      <c r="AE276" t="str">
        <f t="shared" si="70"/>
        <v>&lt;Valeur name="valeur"&gt;252&lt;/Valeur&gt;</v>
      </c>
      <c r="AF276" t="str">
        <f t="shared" si="71"/>
        <v>&lt;Valeur name="compta"&gt;1&lt;/Valeur&gt;</v>
      </c>
      <c r="AG276" t="str">
        <f t="shared" si="72"/>
        <v>&lt;Valeur name="tvapct"&gt;20&lt;/Valeur&gt;</v>
      </c>
      <c r="AH276" t="str">
        <f t="shared" si="73"/>
        <v>&lt;Valeur name="tva"&gt;42&lt;/Valeur&gt;</v>
      </c>
      <c r="AL276" t="str">
        <f t="shared" si="74"/>
        <v>&lt;Insert&gt;&lt;Valeur name="no"&gt;275&lt;/Valeur&gt;&lt;Valeur name="ecriturebanque"&gt;259&lt;/Valeur&gt;&lt;Valeur name="datevaleur"&gt;2019/04/25&lt;/Valeur&gt;&lt;Valeur name="compte"&gt;41&lt;/Valeur&gt;&lt;Valeur name="description"&gt;CB 548222 CARREFOUR V 59AULNOY L&lt;/Valeur&gt;&lt;Valeur name="valeur"&gt;252&lt;/Valeur&gt;&lt;Valeur name="compta"&gt;1&lt;/Valeur&gt;&lt;Valeur name="tvapct"&gt;20&lt;/Valeur&gt;&lt;Valeur name="tva"&gt;42&lt;/Valeur&gt;&lt;/Insert&gt;</v>
      </c>
    </row>
    <row r="277" spans="1:38" x14ac:dyDescent="0.25">
      <c r="A277">
        <v>260</v>
      </c>
      <c r="B277">
        <f>IF(A277&lt;&gt;"",VLOOKUP(A277,Banque!B:D,3,FALSE),1)</f>
        <v>0</v>
      </c>
      <c r="C277" s="1">
        <v>43581</v>
      </c>
      <c r="D277" t="s">
        <v>291</v>
      </c>
      <c r="E277" t="s">
        <v>657</v>
      </c>
      <c r="G277" s="10">
        <v>204</v>
      </c>
      <c r="I277" s="11">
        <f t="shared" si="60"/>
        <v>34</v>
      </c>
      <c r="K277">
        <v>276</v>
      </c>
      <c r="L277">
        <v>260</v>
      </c>
      <c r="M277" s="16" t="s">
        <v>977</v>
      </c>
      <c r="N277">
        <f>IFERROR(VLOOKUP(D277,tab!A:B,2,FALSE),1)</f>
        <v>71</v>
      </c>
      <c r="O277" t="str">
        <f t="shared" si="61"/>
        <v>E-VIR SEPA Hoornaert mars</v>
      </c>
      <c r="P277" s="14">
        <f t="shared" si="62"/>
        <v>204</v>
      </c>
      <c r="Q277" s="14">
        <f t="shared" si="63"/>
        <v>0</v>
      </c>
      <c r="R277" s="14">
        <v>20</v>
      </c>
      <c r="S277" s="14">
        <f t="shared" si="64"/>
        <v>34</v>
      </c>
      <c r="Z277" t="str">
        <f t="shared" si="65"/>
        <v>&lt;Valeur name="no"&gt;276&lt;/Valeur&gt;</v>
      </c>
      <c r="AA277" t="str">
        <f t="shared" si="66"/>
        <v>&lt;Valeur name="ecriturebanque"&gt;260&lt;/Valeur&gt;</v>
      </c>
      <c r="AB277" t="str">
        <f t="shared" si="67"/>
        <v>&lt;Valeur name="datevaleur"&gt;2019/04/26&lt;/Valeur&gt;</v>
      </c>
      <c r="AC277" t="str">
        <f t="shared" si="68"/>
        <v>&lt;Valeur name="compte"&gt;71&lt;/Valeur&gt;</v>
      </c>
      <c r="AD277" t="str">
        <f t="shared" si="69"/>
        <v>&lt;Valeur name="description"&gt;E-VIR SEPA Hoornaert mars&lt;/Valeur&gt;</v>
      </c>
      <c r="AE277" t="str">
        <f t="shared" si="70"/>
        <v>&lt;Valeur name="valeur"&gt;204&lt;/Valeur&gt;</v>
      </c>
      <c r="AF277" t="str">
        <f t="shared" si="71"/>
        <v>&lt;Valeur name="compta"&gt;0&lt;/Valeur&gt;</v>
      </c>
      <c r="AG277" t="str">
        <f t="shared" si="72"/>
        <v>&lt;Valeur name="tvapct"&gt;20&lt;/Valeur&gt;</v>
      </c>
      <c r="AH277" t="str">
        <f t="shared" si="73"/>
        <v>&lt;Valeur name="tva"&gt;34&lt;/Valeur&gt;</v>
      </c>
      <c r="AL277" t="str">
        <f t="shared" si="74"/>
        <v>&lt;Insert&gt;&lt;Valeur name="no"&gt;276&lt;/Valeur&gt;&lt;Valeur name="ecriturebanque"&gt;260&lt;/Valeur&gt;&lt;Valeur name="datevaleur"&gt;2019/04/26&lt;/Valeur&gt;&lt;Valeur name="compte"&gt;71&lt;/Valeur&gt;&lt;Valeur name="description"&gt;E-VIR SEPA Hoornaert mars&lt;/Valeur&gt;&lt;Valeur name="valeur"&gt;204&lt;/Valeur&gt;&lt;Valeur name="compta"&gt;0&lt;/Valeur&gt;&lt;Valeur name="tvapct"&gt;20&lt;/Valeur&gt;&lt;Valeur name="tva"&gt;34&lt;/Valeur&gt;&lt;/Insert&gt;</v>
      </c>
    </row>
    <row r="278" spans="1:38" x14ac:dyDescent="0.25">
      <c r="A278">
        <v>261</v>
      </c>
      <c r="B278">
        <f>IF(A278&lt;&gt;"",VLOOKUP(A278,Banque!B:D,3,FALSE),1)</f>
        <v>1</v>
      </c>
      <c r="C278" s="1">
        <v>43581</v>
      </c>
      <c r="D278" t="s">
        <v>674</v>
      </c>
      <c r="E278" t="s">
        <v>659</v>
      </c>
      <c r="G278" s="10">
        <v>97.58</v>
      </c>
      <c r="I278" s="11">
        <f t="shared" si="60"/>
        <v>16.263333333333335</v>
      </c>
      <c r="K278">
        <v>277</v>
      </c>
      <c r="L278">
        <v>261</v>
      </c>
      <c r="M278" s="16" t="s">
        <v>977</v>
      </c>
      <c r="N278">
        <f>IFERROR(VLOOKUP(D278,tab!A:B,2,FALSE),1)</f>
        <v>98</v>
      </c>
      <c r="O278" t="str">
        <f t="shared" si="61"/>
        <v>CB 548222 QUINCAILLER 80AMIENS</v>
      </c>
      <c r="P278" s="14">
        <f t="shared" si="62"/>
        <v>97.58</v>
      </c>
      <c r="Q278" s="14">
        <f t="shared" si="63"/>
        <v>1</v>
      </c>
      <c r="R278" s="14">
        <v>20</v>
      </c>
      <c r="S278" s="14">
        <f t="shared" si="64"/>
        <v>16.263333333333335</v>
      </c>
      <c r="Z278" t="str">
        <f t="shared" si="65"/>
        <v>&lt;Valeur name="no"&gt;277&lt;/Valeur&gt;</v>
      </c>
      <c r="AA278" t="str">
        <f t="shared" si="66"/>
        <v>&lt;Valeur name="ecriturebanque"&gt;261&lt;/Valeur&gt;</v>
      </c>
      <c r="AB278" t="str">
        <f t="shared" si="67"/>
        <v>&lt;Valeur name="datevaleur"&gt;2019/04/26&lt;/Valeur&gt;</v>
      </c>
      <c r="AC278" t="str">
        <f t="shared" si="68"/>
        <v>&lt;Valeur name="compte"&gt;98&lt;/Valeur&gt;</v>
      </c>
      <c r="AD278" t="str">
        <f t="shared" si="69"/>
        <v>&lt;Valeur name="description"&gt;CB 548222 QUINCAILLER 80AMIENS&lt;/Valeur&gt;</v>
      </c>
      <c r="AE278" t="str">
        <f t="shared" si="70"/>
        <v>&lt;Valeur name="valeur"&gt;97.58&lt;/Valeur&gt;</v>
      </c>
      <c r="AF278" t="str">
        <f t="shared" si="71"/>
        <v>&lt;Valeur name="compta"&gt;1&lt;/Valeur&gt;</v>
      </c>
      <c r="AG278" t="str">
        <f t="shared" si="72"/>
        <v>&lt;Valeur name="tvapct"&gt;20&lt;/Valeur&gt;</v>
      </c>
      <c r="AH278" t="str">
        <f t="shared" si="73"/>
        <v>&lt;Valeur name="tva"&gt;16.2633333333333&lt;/Valeur&gt;</v>
      </c>
      <c r="AL278" t="str">
        <f t="shared" si="74"/>
        <v>&lt;Insert&gt;&lt;Valeur name="no"&gt;277&lt;/Valeur&gt;&lt;Valeur name="ecriturebanque"&gt;261&lt;/Valeur&gt;&lt;Valeur name="datevaleur"&gt;2019/04/26&lt;/Valeur&gt;&lt;Valeur name="compte"&gt;98&lt;/Valeur&gt;&lt;Valeur name="description"&gt;CB 548222 QUINCAILLER 80AMIENS&lt;/Valeur&gt;&lt;Valeur name="valeur"&gt;97.58&lt;/Valeur&gt;&lt;Valeur name="compta"&gt;1&lt;/Valeur&gt;&lt;Valeur name="tvapct"&gt;20&lt;/Valeur&gt;&lt;Valeur name="tva"&gt;16.2633333333333&lt;/Valeur&gt;&lt;/Insert&gt;</v>
      </c>
    </row>
    <row r="279" spans="1:38" x14ac:dyDescent="0.25">
      <c r="A279">
        <v>262</v>
      </c>
      <c r="B279">
        <f>IF(A279&lt;&gt;"",VLOOKUP(A279,Banque!B:D,3,FALSE),1)</f>
        <v>1</v>
      </c>
      <c r="C279" s="1">
        <v>43581</v>
      </c>
      <c r="D279" t="s">
        <v>254</v>
      </c>
      <c r="E279" t="s">
        <v>661</v>
      </c>
      <c r="G279" s="10">
        <v>15</v>
      </c>
      <c r="I279" s="11">
        <f t="shared" si="60"/>
        <v>2.5</v>
      </c>
      <c r="K279">
        <v>278</v>
      </c>
      <c r="L279">
        <v>262</v>
      </c>
      <c r="M279" s="16" t="s">
        <v>977</v>
      </c>
      <c r="N279">
        <f>IFERROR(VLOOKUP(D279,tab!A:B,2,FALSE),1)</f>
        <v>27</v>
      </c>
      <c r="O279" t="str">
        <f t="shared" si="61"/>
        <v>CB 548222 BRASSERIE D 80AMIENS</v>
      </c>
      <c r="P279" s="14">
        <f t="shared" si="62"/>
        <v>15</v>
      </c>
      <c r="Q279" s="14">
        <f t="shared" si="63"/>
        <v>1</v>
      </c>
      <c r="R279" s="14">
        <v>20</v>
      </c>
      <c r="S279" s="14">
        <f t="shared" si="64"/>
        <v>2.5</v>
      </c>
      <c r="Z279" t="str">
        <f t="shared" si="65"/>
        <v>&lt;Valeur name="no"&gt;278&lt;/Valeur&gt;</v>
      </c>
      <c r="AA279" t="str">
        <f t="shared" si="66"/>
        <v>&lt;Valeur name="ecriturebanque"&gt;262&lt;/Valeur&gt;</v>
      </c>
      <c r="AB279" t="str">
        <f t="shared" si="67"/>
        <v>&lt;Valeur name="datevaleur"&gt;2019/04/26&lt;/Valeur&gt;</v>
      </c>
      <c r="AC279" t="str">
        <f t="shared" si="68"/>
        <v>&lt;Valeur name="compte"&gt;27&lt;/Valeur&gt;</v>
      </c>
      <c r="AD279" t="str">
        <f t="shared" si="69"/>
        <v>&lt;Valeur name="description"&gt;CB 548222 BRASSERIE D 80AMIENS&lt;/Valeur&gt;</v>
      </c>
      <c r="AE279" t="str">
        <f t="shared" si="70"/>
        <v>&lt;Valeur name="valeur"&gt;15&lt;/Valeur&gt;</v>
      </c>
      <c r="AF279" t="str">
        <f t="shared" si="71"/>
        <v>&lt;Valeur name="compta"&gt;1&lt;/Valeur&gt;</v>
      </c>
      <c r="AG279" t="str">
        <f t="shared" si="72"/>
        <v>&lt;Valeur name="tvapct"&gt;20&lt;/Valeur&gt;</v>
      </c>
      <c r="AH279" t="str">
        <f t="shared" si="73"/>
        <v>&lt;Valeur name="tva"&gt;2.5&lt;/Valeur&gt;</v>
      </c>
      <c r="AL279" t="str">
        <f t="shared" si="74"/>
        <v>&lt;Insert&gt;&lt;Valeur name="no"&gt;278&lt;/Valeur&gt;&lt;Valeur name="ecriturebanque"&gt;262&lt;/Valeur&gt;&lt;Valeur name="datevaleur"&gt;2019/04/26&lt;/Valeur&gt;&lt;Valeur name="compte"&gt;27&lt;/Valeur&gt;&lt;Valeur name="description"&gt;CB 548222 BRASSERIE D 80AMIENS&lt;/Valeur&gt;&lt;Valeur name="valeur"&gt;15&lt;/Valeur&gt;&lt;Valeur name="compta"&gt;1&lt;/Valeur&gt;&lt;Valeur name="tvapct"&gt;20&lt;/Valeur&gt;&lt;Valeur name="tva"&gt;2.5&lt;/Valeur&gt;&lt;/Insert&gt;</v>
      </c>
    </row>
    <row r="280" spans="1:38" x14ac:dyDescent="0.25">
      <c r="A280">
        <v>263</v>
      </c>
      <c r="B280">
        <f>IF(A280&lt;&gt;"",VLOOKUP(A280,Banque!B:D,3,FALSE),1)</f>
        <v>1</v>
      </c>
      <c r="C280" s="1">
        <v>43584</v>
      </c>
      <c r="D280" t="s">
        <v>437</v>
      </c>
      <c r="E280" t="s">
        <v>27</v>
      </c>
      <c r="G280" s="10">
        <v>67.42</v>
      </c>
      <c r="I280" s="11">
        <f t="shared" si="60"/>
        <v>11.236666666666665</v>
      </c>
      <c r="K280">
        <v>279</v>
      </c>
      <c r="L280">
        <v>263</v>
      </c>
      <c r="M280" s="16" t="s">
        <v>978</v>
      </c>
      <c r="N280">
        <f>IFERROR(VLOOKUP(D280,tab!A:B,2,FALSE),1)</f>
        <v>41</v>
      </c>
      <c r="O280" t="str">
        <f t="shared" si="61"/>
        <v>CB 454106 CARREFOUR D 59AULNOY L</v>
      </c>
      <c r="P280" s="14">
        <f t="shared" si="62"/>
        <v>67.42</v>
      </c>
      <c r="Q280" s="14">
        <f t="shared" si="63"/>
        <v>1</v>
      </c>
      <c r="R280" s="14">
        <v>20</v>
      </c>
      <c r="S280" s="14">
        <f t="shared" si="64"/>
        <v>11.236666666666665</v>
      </c>
      <c r="Z280" t="str">
        <f t="shared" si="65"/>
        <v>&lt;Valeur name="no"&gt;279&lt;/Valeur&gt;</v>
      </c>
      <c r="AA280" t="str">
        <f t="shared" si="66"/>
        <v>&lt;Valeur name="ecriturebanque"&gt;263&lt;/Valeur&gt;</v>
      </c>
      <c r="AB280" t="str">
        <f t="shared" si="67"/>
        <v>&lt;Valeur name="datevaleur"&gt;2019/04/29&lt;/Valeur&gt;</v>
      </c>
      <c r="AC280" t="str">
        <f t="shared" si="68"/>
        <v>&lt;Valeur name="compte"&gt;41&lt;/Valeur&gt;</v>
      </c>
      <c r="AD280" t="str">
        <f t="shared" si="69"/>
        <v>&lt;Valeur name="description"&gt;CB 454106 CARREFOUR D 59AULNOY L&lt;/Valeur&gt;</v>
      </c>
      <c r="AE280" t="str">
        <f t="shared" si="70"/>
        <v>&lt;Valeur name="valeur"&gt;67.42&lt;/Valeur&gt;</v>
      </c>
      <c r="AF280" t="str">
        <f t="shared" si="71"/>
        <v>&lt;Valeur name="compta"&gt;1&lt;/Valeur&gt;</v>
      </c>
      <c r="AG280" t="str">
        <f t="shared" si="72"/>
        <v>&lt;Valeur name="tvapct"&gt;20&lt;/Valeur&gt;</v>
      </c>
      <c r="AH280" t="str">
        <f t="shared" si="73"/>
        <v>&lt;Valeur name="tva"&gt;11.2366666666667&lt;/Valeur&gt;</v>
      </c>
      <c r="AL280" t="str">
        <f t="shared" si="74"/>
        <v>&lt;Insert&gt;&lt;Valeur name="no"&gt;279&lt;/Valeur&gt;&lt;Valeur name="ecriturebanque"&gt;263&lt;/Valeur&gt;&lt;Valeur name="datevaleur"&gt;2019/04/29&lt;/Valeur&gt;&lt;Valeur name="compte"&gt;41&lt;/Valeur&gt;&lt;Valeur name="description"&gt;CB 454106 CARREFOUR D 59AULNOY L&lt;/Valeur&gt;&lt;Valeur name="valeur"&gt;67.42&lt;/Valeur&gt;&lt;Valeur name="compta"&gt;1&lt;/Valeur&gt;&lt;Valeur name="tvapct"&gt;20&lt;/Valeur&gt;&lt;Valeur name="tva"&gt;11.2366666666667&lt;/Valeur&gt;&lt;/Insert&gt;</v>
      </c>
    </row>
    <row r="281" spans="1:38" x14ac:dyDescent="0.25">
      <c r="A281">
        <v>264</v>
      </c>
      <c r="B281">
        <f>IF(A281&lt;&gt;"",VLOOKUP(A281,Banque!B:D,3,FALSE),1)</f>
        <v>1</v>
      </c>
      <c r="C281" s="1">
        <v>43584</v>
      </c>
      <c r="D281" t="s">
        <v>272</v>
      </c>
      <c r="E281" t="s">
        <v>15</v>
      </c>
      <c r="F281" t="s">
        <v>664</v>
      </c>
      <c r="G281" s="10">
        <v>9255</v>
      </c>
      <c r="I281" s="11">
        <f t="shared" si="60"/>
        <v>1542.5</v>
      </c>
      <c r="K281">
        <v>280</v>
      </c>
      <c r="L281">
        <v>264</v>
      </c>
      <c r="M281" s="16" t="s">
        <v>978</v>
      </c>
      <c r="N281">
        <f>IFERROR(VLOOKUP(D281,tab!A:B,2,FALSE),1)</f>
        <v>29</v>
      </c>
      <c r="O281" t="str">
        <f t="shared" si="61"/>
        <v>PRLV B2B DGFIP / TVA1-042019-3310CA3</v>
      </c>
      <c r="P281" s="14">
        <f t="shared" si="62"/>
        <v>9255</v>
      </c>
      <c r="Q281" s="14">
        <f t="shared" si="63"/>
        <v>1</v>
      </c>
      <c r="R281" s="14">
        <v>20</v>
      </c>
      <c r="S281" s="14">
        <f t="shared" si="64"/>
        <v>1542.5</v>
      </c>
      <c r="Z281" t="str">
        <f t="shared" si="65"/>
        <v>&lt;Valeur name="no"&gt;280&lt;/Valeur&gt;</v>
      </c>
      <c r="AA281" t="str">
        <f t="shared" si="66"/>
        <v>&lt;Valeur name="ecriturebanque"&gt;264&lt;/Valeur&gt;</v>
      </c>
      <c r="AB281" t="str">
        <f t="shared" si="67"/>
        <v>&lt;Valeur name="datevaleur"&gt;2019/04/29&lt;/Valeur&gt;</v>
      </c>
      <c r="AC281" t="str">
        <f t="shared" si="68"/>
        <v>&lt;Valeur name="compte"&gt;29&lt;/Valeur&gt;</v>
      </c>
      <c r="AD281" t="str">
        <f t="shared" si="69"/>
        <v>&lt;Valeur name="description"&gt;PRLV B2B DGFIP / TVA1-042019-3310CA3&lt;/Valeur&gt;</v>
      </c>
      <c r="AE281" t="str">
        <f t="shared" si="70"/>
        <v>&lt;Valeur name="valeur"&gt;9255&lt;/Valeur&gt;</v>
      </c>
      <c r="AF281" t="str">
        <f t="shared" si="71"/>
        <v>&lt;Valeur name="compta"&gt;1&lt;/Valeur&gt;</v>
      </c>
      <c r="AG281" t="str">
        <f t="shared" si="72"/>
        <v>&lt;Valeur name="tvapct"&gt;20&lt;/Valeur&gt;</v>
      </c>
      <c r="AH281" t="str">
        <f t="shared" si="73"/>
        <v>&lt;Valeur name="tva"&gt;1542.5&lt;/Valeur&gt;</v>
      </c>
      <c r="AL281" t="str">
        <f t="shared" si="74"/>
        <v>&lt;Insert&gt;&lt;Valeur name="no"&gt;280&lt;/Valeur&gt;&lt;Valeur name="ecriturebanque"&gt;264&lt;/Valeur&gt;&lt;Valeur name="datevaleur"&gt;2019/04/29&lt;/Valeur&gt;&lt;Valeur name="compte"&gt;29&lt;/Valeur&gt;&lt;Valeur name="description"&gt;PRLV B2B DGFIP / TVA1-042019-3310CA3&lt;/Valeur&gt;&lt;Valeur name="valeur"&gt;9255&lt;/Valeur&gt;&lt;Valeur name="compta"&gt;1&lt;/Valeur&gt;&lt;Valeur name="tvapct"&gt;20&lt;/Valeur&gt;&lt;Valeur name="tva"&gt;1542.5&lt;/Valeur&gt;&lt;/Insert&gt;</v>
      </c>
    </row>
    <row r="282" spans="1:38" x14ac:dyDescent="0.25">
      <c r="A282">
        <v>265</v>
      </c>
      <c r="B282">
        <f>IF(A282&lt;&gt;"",VLOOKUP(A282,Banque!B:D,3,FALSE),1)</f>
        <v>1</v>
      </c>
      <c r="C282" s="1">
        <v>43584</v>
      </c>
      <c r="D282" t="s">
        <v>257</v>
      </c>
      <c r="E282" t="s">
        <v>31</v>
      </c>
      <c r="G282" s="10">
        <v>0.21</v>
      </c>
      <c r="I282" s="11">
        <f t="shared" si="60"/>
        <v>3.5000000000000003E-2</v>
      </c>
      <c r="K282">
        <v>281</v>
      </c>
      <c r="L282">
        <v>265</v>
      </c>
      <c r="M282" s="16" t="s">
        <v>978</v>
      </c>
      <c r="N282">
        <f>IFERROR(VLOOKUP(D282,tab!A:B,2,FALSE),1)</f>
        <v>18</v>
      </c>
      <c r="O282" t="str">
        <f t="shared" si="61"/>
        <v>FRAIS E-VIR SEPA VERS EEE</v>
      </c>
      <c r="P282" s="14">
        <f t="shared" si="62"/>
        <v>0.21</v>
      </c>
      <c r="Q282" s="14">
        <f t="shared" si="63"/>
        <v>1</v>
      </c>
      <c r="R282" s="14">
        <v>20</v>
      </c>
      <c r="S282" s="14">
        <f t="shared" si="64"/>
        <v>3.5000000000000003E-2</v>
      </c>
      <c r="Z282" t="str">
        <f t="shared" si="65"/>
        <v>&lt;Valeur name="no"&gt;281&lt;/Valeur&gt;</v>
      </c>
      <c r="AA282" t="str">
        <f t="shared" si="66"/>
        <v>&lt;Valeur name="ecriturebanque"&gt;265&lt;/Valeur&gt;</v>
      </c>
      <c r="AB282" t="str">
        <f t="shared" si="67"/>
        <v>&lt;Valeur name="datevaleur"&gt;2019/04/29&lt;/Valeur&gt;</v>
      </c>
      <c r="AC282" t="str">
        <f t="shared" si="68"/>
        <v>&lt;Valeur name="compte"&gt;18&lt;/Valeur&gt;</v>
      </c>
      <c r="AD282" t="str">
        <f t="shared" si="69"/>
        <v>&lt;Valeur name="description"&gt;FRAIS E-VIR SEPA VERS EEE&lt;/Valeur&gt;</v>
      </c>
      <c r="AE282" t="str">
        <f t="shared" si="70"/>
        <v>&lt;Valeur name="valeur"&gt;0.21&lt;/Valeur&gt;</v>
      </c>
      <c r="AF282" t="str">
        <f t="shared" si="71"/>
        <v>&lt;Valeur name="compta"&gt;1&lt;/Valeur&gt;</v>
      </c>
      <c r="AG282" t="str">
        <f t="shared" si="72"/>
        <v>&lt;Valeur name="tvapct"&gt;20&lt;/Valeur&gt;</v>
      </c>
      <c r="AH282" t="str">
        <f t="shared" si="73"/>
        <v>&lt;Valeur name="tva"&gt;0.035&lt;/Valeur&gt;</v>
      </c>
      <c r="AL282" t="str">
        <f t="shared" si="74"/>
        <v>&lt;Insert&gt;&lt;Valeur name="no"&gt;281&lt;/Valeur&gt;&lt;Valeur name="ecriturebanque"&gt;265&lt;/Valeur&gt;&lt;Valeur name="datevaleur"&gt;2019/04/29&lt;/Valeur&gt;&lt;Valeur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283" spans="1:38" x14ac:dyDescent="0.25">
      <c r="A283">
        <v>266</v>
      </c>
      <c r="B283">
        <f>IF(A283&lt;&gt;"",VLOOKUP(A283,Banque!B:D,3,FALSE),1)</f>
        <v>0</v>
      </c>
      <c r="C283" s="1">
        <v>43585</v>
      </c>
      <c r="E283" t="s">
        <v>667</v>
      </c>
      <c r="G283" s="10">
        <v>3327.31</v>
      </c>
      <c r="I283" s="11">
        <f t="shared" si="60"/>
        <v>554.55166666666673</v>
      </c>
      <c r="K283">
        <v>282</v>
      </c>
      <c r="L283">
        <v>266</v>
      </c>
      <c r="M283" s="16" t="s">
        <v>882</v>
      </c>
      <c r="N283">
        <f>IFERROR(VLOOKUP(D283,tab!A:B,2,FALSE),1)</f>
        <v>1</v>
      </c>
      <c r="O283" t="str">
        <f t="shared" si="61"/>
        <v>RELEVE LCR DU  230419  CONFORME</v>
      </c>
      <c r="P283" s="14">
        <f t="shared" si="62"/>
        <v>3327.31</v>
      </c>
      <c r="Q283" s="14">
        <f t="shared" si="63"/>
        <v>0</v>
      </c>
      <c r="R283" s="14">
        <v>20</v>
      </c>
      <c r="S283" s="14">
        <f t="shared" si="64"/>
        <v>554.55166666666673</v>
      </c>
      <c r="Z283" t="str">
        <f t="shared" si="65"/>
        <v>&lt;Valeur name="no"&gt;282&lt;/Valeur&gt;</v>
      </c>
      <c r="AA283" t="str">
        <f t="shared" si="66"/>
        <v>&lt;Valeur name="ecriturebanque"&gt;266&lt;/Valeur&gt;</v>
      </c>
      <c r="AB283" t="str">
        <f t="shared" si="67"/>
        <v>&lt;Valeur name="datevaleur"&gt;2019/04/30&lt;/Valeur&gt;</v>
      </c>
      <c r="AC283" t="str">
        <f t="shared" si="68"/>
        <v>&lt;Valeur name="compte"&gt;1&lt;/Valeur&gt;</v>
      </c>
      <c r="AD283" t="str">
        <f t="shared" si="69"/>
        <v>&lt;Valeur name="description"&gt;RELEVE LCR DU  230419  CONFORME&lt;/Valeur&gt;</v>
      </c>
      <c r="AE283" t="str">
        <f t="shared" si="70"/>
        <v>&lt;Valeur name="valeur"&gt;3327.31&lt;/Valeur&gt;</v>
      </c>
      <c r="AF283" t="str">
        <f t="shared" si="71"/>
        <v>&lt;Valeur name="compta"&gt;0&lt;/Valeur&gt;</v>
      </c>
      <c r="AG283" t="str">
        <f t="shared" si="72"/>
        <v>&lt;Valeur name="tvapct"&gt;20&lt;/Valeur&gt;</v>
      </c>
      <c r="AH283" t="str">
        <f t="shared" si="73"/>
        <v>&lt;Valeur name="tva"&gt;554.551666666667&lt;/Valeur&gt;</v>
      </c>
      <c r="AL283" t="str">
        <f t="shared" si="74"/>
        <v>&lt;Insert&gt;&lt;Valeur name="no"&gt;282&lt;/Valeur&gt;&lt;Valeur name="ecriturebanque"&gt;266&lt;/Valeur&gt;&lt;Valeur name="datevaleur"&gt;2019/04/30&lt;/Valeur&gt;&lt;Valeur name="compte"&gt;1&lt;/Valeur&gt;&lt;Valeur name="description"&gt;RELEVE LCR DU  230419  CONFORME&lt;/Valeur&gt;&lt;Valeur name="valeur"&gt;3327.31&lt;/Valeur&gt;&lt;Valeur name="compta"&gt;0&lt;/Valeur&gt;&lt;Valeur name="tvapct"&gt;20&lt;/Valeur&gt;&lt;Valeur name="tva"&gt;554.551666666667&lt;/Valeur&gt;&lt;/Insert&gt;</v>
      </c>
    </row>
    <row r="284" spans="1:38" x14ac:dyDescent="0.25">
      <c r="A284">
        <v>267</v>
      </c>
      <c r="B284">
        <f>IF(A284&lt;&gt;"",VLOOKUP(A284,Banque!B:D,3,FALSE),1)</f>
        <v>1</v>
      </c>
      <c r="C284" s="1">
        <v>43585</v>
      </c>
      <c r="D284" t="s">
        <v>269</v>
      </c>
      <c r="E284" t="s">
        <v>669</v>
      </c>
      <c r="F284" t="s">
        <v>670</v>
      </c>
      <c r="G284" s="10">
        <v>1602.97</v>
      </c>
      <c r="I284" s="11">
        <f t="shared" si="60"/>
        <v>267.16166666666663</v>
      </c>
      <c r="K284">
        <v>283</v>
      </c>
      <c r="L284">
        <v>267</v>
      </c>
      <c r="M284" s="16" t="s">
        <v>882</v>
      </c>
      <c r="N284">
        <f>IFERROR(VLOOKUP(D284,tab!A:B,2,FALSE),1)</f>
        <v>14</v>
      </c>
      <c r="O284" t="str">
        <f t="shared" si="61"/>
        <v>PRLV SEPA PROBTP RETRAITE-PRO BT / CNRO 71353254.4304042 DU 260419</v>
      </c>
      <c r="P284" s="14">
        <f t="shared" si="62"/>
        <v>1602.97</v>
      </c>
      <c r="Q284" s="14">
        <f t="shared" si="63"/>
        <v>1</v>
      </c>
      <c r="R284" s="14">
        <v>20</v>
      </c>
      <c r="S284" s="14">
        <f t="shared" si="64"/>
        <v>267.16166666666663</v>
      </c>
      <c r="Z284" t="str">
        <f t="shared" si="65"/>
        <v>&lt;Valeur name="no"&gt;283&lt;/Valeur&gt;</v>
      </c>
      <c r="AA284" t="str">
        <f t="shared" si="66"/>
        <v>&lt;Valeur name="ecriturebanque"&gt;267&lt;/Valeur&gt;</v>
      </c>
      <c r="AB284" t="str">
        <f t="shared" si="67"/>
        <v>&lt;Valeur name="datevaleur"&gt;2019/04/30&lt;/Valeur&gt;</v>
      </c>
      <c r="AC284" t="str">
        <f t="shared" si="68"/>
        <v>&lt;Valeur name="compte"&gt;14&lt;/Valeur&gt;</v>
      </c>
      <c r="AD284" t="str">
        <f t="shared" si="69"/>
        <v>&lt;Valeur name="description"&gt;PRLV SEPA PROBTP RETRAITE-PRO BT / CNRO 71353254.4304042 DU 260419&lt;/Valeur&gt;</v>
      </c>
      <c r="AE284" t="str">
        <f t="shared" si="70"/>
        <v>&lt;Valeur name="valeur"&gt;1602.97&lt;/Valeur&gt;</v>
      </c>
      <c r="AF284" t="str">
        <f t="shared" si="71"/>
        <v>&lt;Valeur name="compta"&gt;1&lt;/Valeur&gt;</v>
      </c>
      <c r="AG284" t="str">
        <f t="shared" si="72"/>
        <v>&lt;Valeur name="tvapct"&gt;20&lt;/Valeur&gt;</v>
      </c>
      <c r="AH284" t="str">
        <f t="shared" si="73"/>
        <v>&lt;Valeur name="tva"&gt;267.161666666667&lt;/Valeur&gt;</v>
      </c>
      <c r="AL284" t="str">
        <f t="shared" si="74"/>
        <v>&lt;Insert&gt;&lt;Valeur name="no"&gt;283&lt;/Valeur&gt;&lt;Valeur name="ecriturebanque"&gt;267&lt;/Valeur&gt;&lt;Valeur name="datevaleur"&gt;2019/04/30&lt;/Valeur&gt;&lt;Valeur name="compte"&gt;14&lt;/Valeur&gt;&lt;Valeur name="description"&gt;PRLV SEPA PROBTP RETRAITE-PRO BT / CNRO 71353254.4304042 DU 260419&lt;/Valeur&gt;&lt;Valeur name="valeur"&gt;1602.97&lt;/Valeur&gt;&lt;Valeur name="compta"&gt;1&lt;/Valeur&gt;&lt;Valeur name="tvapct"&gt;20&lt;/Valeur&gt;&lt;Valeur name="tva"&gt;267.161666666667&lt;/Valeur&gt;&lt;/Insert&gt;</v>
      </c>
    </row>
    <row r="285" spans="1:38" x14ac:dyDescent="0.25">
      <c r="A285">
        <v>268</v>
      </c>
      <c r="B285">
        <f>IF(A285&lt;&gt;"",VLOOKUP(A285,Banque!B:D,3,FALSE),1)</f>
        <v>1</v>
      </c>
      <c r="C285" s="1">
        <v>43585</v>
      </c>
      <c r="D285" t="s">
        <v>269</v>
      </c>
      <c r="E285" t="s">
        <v>672</v>
      </c>
      <c r="F285" t="s">
        <v>673</v>
      </c>
      <c r="G285" s="10">
        <v>1723.68</v>
      </c>
      <c r="I285" s="11">
        <f t="shared" si="60"/>
        <v>287.27999999999997</v>
      </c>
      <c r="K285">
        <v>284</v>
      </c>
      <c r="L285">
        <v>268</v>
      </c>
      <c r="M285" s="16" t="s">
        <v>882</v>
      </c>
      <c r="N285">
        <f>IFERROR(VLOOKUP(D285,tab!A:B,2,FALSE),1)</f>
        <v>14</v>
      </c>
      <c r="O285" t="str">
        <f t="shared" si="61"/>
        <v>PRLV SEPA PROBTP ADP-PRO BTP / CNRO 71353254.4304007 DU 300419</v>
      </c>
      <c r="P285" s="14">
        <f t="shared" si="62"/>
        <v>1723.68</v>
      </c>
      <c r="Q285" s="14">
        <f t="shared" si="63"/>
        <v>1</v>
      </c>
      <c r="R285" s="14">
        <v>20</v>
      </c>
      <c r="S285" s="14">
        <f t="shared" si="64"/>
        <v>287.27999999999997</v>
      </c>
      <c r="Z285" t="str">
        <f t="shared" si="65"/>
        <v>&lt;Valeur name="no"&gt;284&lt;/Valeur&gt;</v>
      </c>
      <c r="AA285" t="str">
        <f t="shared" si="66"/>
        <v>&lt;Valeur name="ecriturebanque"&gt;268&lt;/Valeur&gt;</v>
      </c>
      <c r="AB285" t="str">
        <f t="shared" si="67"/>
        <v>&lt;Valeur name="datevaleur"&gt;2019/04/30&lt;/Valeur&gt;</v>
      </c>
      <c r="AC285" t="str">
        <f t="shared" si="68"/>
        <v>&lt;Valeur name="compte"&gt;14&lt;/Valeur&gt;</v>
      </c>
      <c r="AD285" t="str">
        <f t="shared" si="69"/>
        <v>&lt;Valeur name="description"&gt;PRLV SEPA PROBTP ADP-PRO BTP / CNRO 71353254.4304007 DU 300419&lt;/Valeur&gt;</v>
      </c>
      <c r="AE285" t="str">
        <f t="shared" si="70"/>
        <v>&lt;Valeur name="valeur"&gt;1723.68&lt;/Valeur&gt;</v>
      </c>
      <c r="AF285" t="str">
        <f t="shared" si="71"/>
        <v>&lt;Valeur name="compta"&gt;1&lt;/Valeur&gt;</v>
      </c>
      <c r="AG285" t="str">
        <f t="shared" si="72"/>
        <v>&lt;Valeur name="tvapct"&gt;20&lt;/Valeur&gt;</v>
      </c>
      <c r="AH285" t="str">
        <f t="shared" si="73"/>
        <v>&lt;Valeur name="tva"&gt;287.28&lt;/Valeur&gt;</v>
      </c>
      <c r="AL285" t="str">
        <f t="shared" si="74"/>
        <v>&lt;Insert&gt;&lt;Valeur name="no"&gt;284&lt;/Valeur&gt;&lt;Valeur name="ecriturebanque"&gt;268&lt;/Valeur&gt;&lt;Valeur name="datevaleur"&gt;2019/04/30&lt;/Valeur&gt;&lt;Valeur name="compte"&gt;14&lt;/Valeur&gt;&lt;Valeur name="description"&gt;PRLV SEPA PROBTP ADP-PRO BTP / CNRO 71353254.4304007 DU 300419&lt;/Valeur&gt;&lt;Valeur name="valeur"&gt;1723.68&lt;/Valeur&gt;&lt;Valeur name="compta"&gt;1&lt;/Valeur&gt;&lt;Valeur name="tvapct"&gt;20&lt;/Valeur&gt;&lt;Valeur name="tva"&gt;287.28&lt;/Valeur&gt;&lt;/Insert&gt;</v>
      </c>
    </row>
    <row r="286" spans="1:38" x14ac:dyDescent="0.25">
      <c r="A286">
        <v>269</v>
      </c>
      <c r="B286">
        <f>IF(A286&lt;&gt;"",VLOOKUP(A286,Banque!B:D,3,FALSE),1)</f>
        <v>1</v>
      </c>
      <c r="C286" s="1">
        <v>43584</v>
      </c>
      <c r="D286" t="s">
        <v>680</v>
      </c>
      <c r="E286" t="s">
        <v>676</v>
      </c>
      <c r="G286" s="10">
        <v>61.22</v>
      </c>
      <c r="I286" s="11">
        <f t="shared" si="60"/>
        <v>10.203333333333333</v>
      </c>
      <c r="K286">
        <v>285</v>
      </c>
      <c r="L286">
        <v>269</v>
      </c>
      <c r="M286" s="16" t="s">
        <v>978</v>
      </c>
      <c r="N286">
        <f>IFERROR(VLOOKUP(D286,tab!A:B,2,FALSE),1)</f>
        <v>103</v>
      </c>
      <c r="O286" t="str">
        <f t="shared" si="61"/>
        <v>E-VIR SEPA Glass solution 05/201</v>
      </c>
      <c r="P286" s="14">
        <f t="shared" si="62"/>
        <v>61.22</v>
      </c>
      <c r="Q286" s="14">
        <f t="shared" si="63"/>
        <v>1</v>
      </c>
      <c r="R286" s="14">
        <v>20</v>
      </c>
      <c r="S286" s="14">
        <f t="shared" si="64"/>
        <v>10.203333333333333</v>
      </c>
      <c r="Z286" t="str">
        <f t="shared" si="65"/>
        <v>&lt;Valeur name="no"&gt;285&lt;/Valeur&gt;</v>
      </c>
      <c r="AA286" t="str">
        <f t="shared" si="66"/>
        <v>&lt;Valeur name="ecriturebanque"&gt;269&lt;/Valeur&gt;</v>
      </c>
      <c r="AB286" t="str">
        <f t="shared" si="67"/>
        <v>&lt;Valeur name="datevaleur"&gt;2019/04/29&lt;/Valeur&gt;</v>
      </c>
      <c r="AC286" t="str">
        <f t="shared" si="68"/>
        <v>&lt;Valeur name="compte"&gt;103&lt;/Valeur&gt;</v>
      </c>
      <c r="AD286" t="str">
        <f t="shared" si="69"/>
        <v>&lt;Valeur name="description"&gt;E-VIR SEPA Glass solution 05/201&lt;/Valeur&gt;</v>
      </c>
      <c r="AE286" t="str">
        <f t="shared" si="70"/>
        <v>&lt;Valeur name="valeur"&gt;61.22&lt;/Valeur&gt;</v>
      </c>
      <c r="AF286" t="str">
        <f t="shared" si="71"/>
        <v>&lt;Valeur name="compta"&gt;1&lt;/Valeur&gt;</v>
      </c>
      <c r="AG286" t="str">
        <f t="shared" si="72"/>
        <v>&lt;Valeur name="tvapct"&gt;20&lt;/Valeur&gt;</v>
      </c>
      <c r="AH286" t="str">
        <f t="shared" si="73"/>
        <v>&lt;Valeur name="tva"&gt;10.2033333333333&lt;/Valeur&gt;</v>
      </c>
      <c r="AL286" t="str">
        <f t="shared" si="74"/>
        <v>&lt;Insert&gt;&lt;Valeur name="no"&gt;285&lt;/Valeur&gt;&lt;Valeur name="ecriturebanque"&gt;269&lt;/Valeur&gt;&lt;Valeur name="datevaleur"&gt;2019/04/29&lt;/Valeur&gt;&lt;Valeur name="compte"&gt;103&lt;/Valeur&gt;&lt;Valeur name="description"&gt;E-VIR SEPA Glass solution 05/201&lt;/Valeur&gt;&lt;Valeur name="valeur"&gt;61.22&lt;/Valeur&gt;&lt;Valeur name="compta"&gt;1&lt;/Valeur&gt;&lt;Valeur name="tvapct"&gt;20&lt;/Valeur&gt;&lt;Valeur name="tva"&gt;10.2033333333333&lt;/Valeur&gt;&lt;/Insert&gt;</v>
      </c>
    </row>
    <row r="287" spans="1:38" x14ac:dyDescent="0.25">
      <c r="A287">
        <v>270</v>
      </c>
      <c r="B287">
        <f>IF(A287&lt;&gt;"",VLOOKUP(A287,Banque!B:D,3,FALSE),1)</f>
        <v>1</v>
      </c>
      <c r="C287" s="1">
        <v>43585</v>
      </c>
      <c r="D287" t="s">
        <v>253</v>
      </c>
      <c r="E287" t="s">
        <v>142</v>
      </c>
      <c r="G287" s="10">
        <v>66.66</v>
      </c>
      <c r="I287" s="11">
        <f t="shared" si="60"/>
        <v>11.11</v>
      </c>
      <c r="K287">
        <v>286</v>
      </c>
      <c r="L287">
        <v>270</v>
      </c>
      <c r="M287" s="16" t="s">
        <v>882</v>
      </c>
      <c r="N287">
        <f>IFERROR(VLOOKUP(D287,tab!A:B,2,FALSE),1)</f>
        <v>13</v>
      </c>
      <c r="O287" t="str">
        <f t="shared" si="61"/>
        <v>CB 454106 DAC SM MATC 59BAVAY</v>
      </c>
      <c r="P287" s="14">
        <f t="shared" si="62"/>
        <v>66.66</v>
      </c>
      <c r="Q287" s="14">
        <f t="shared" si="63"/>
        <v>1</v>
      </c>
      <c r="R287" s="14">
        <v>20</v>
      </c>
      <c r="S287" s="14">
        <f t="shared" si="64"/>
        <v>11.11</v>
      </c>
      <c r="Z287" t="str">
        <f t="shared" si="65"/>
        <v>&lt;Valeur name="no"&gt;286&lt;/Valeur&gt;</v>
      </c>
      <c r="AA287" t="str">
        <f t="shared" si="66"/>
        <v>&lt;Valeur name="ecriturebanque"&gt;270&lt;/Valeur&gt;</v>
      </c>
      <c r="AB287" t="str">
        <f t="shared" si="67"/>
        <v>&lt;Valeur name="datevaleur"&gt;2019/04/30&lt;/Valeur&gt;</v>
      </c>
      <c r="AC287" t="str">
        <f t="shared" si="68"/>
        <v>&lt;Valeur name="compte"&gt;13&lt;/Valeur&gt;</v>
      </c>
      <c r="AD287" t="str">
        <f t="shared" si="69"/>
        <v>&lt;Valeur name="description"&gt;CB 454106 DAC SM MATC 59BAVAY&lt;/Valeur&gt;</v>
      </c>
      <c r="AE287" t="str">
        <f t="shared" si="70"/>
        <v>&lt;Valeur name="valeur"&gt;66.66&lt;/Valeur&gt;</v>
      </c>
      <c r="AF287" t="str">
        <f t="shared" si="71"/>
        <v>&lt;Valeur name="compta"&gt;1&lt;/Valeur&gt;</v>
      </c>
      <c r="AG287" t="str">
        <f t="shared" si="72"/>
        <v>&lt;Valeur name="tvapct"&gt;20&lt;/Valeur&gt;</v>
      </c>
      <c r="AH287" t="str">
        <f t="shared" si="73"/>
        <v>&lt;Valeur name="tva"&gt;11.11&lt;/Valeur&gt;</v>
      </c>
      <c r="AL287" t="str">
        <f t="shared" si="74"/>
        <v>&lt;Insert&gt;&lt;Valeur name="no"&gt;286&lt;/Valeur&gt;&lt;Valeur name="ecriturebanque"&gt;270&lt;/Valeur&gt;&lt;Valeur name="datevaleur"&gt;2019/04/30&lt;/Valeur&gt;&lt;Valeur name="compte"&gt;13&lt;/Valeur&gt;&lt;Valeur name="description"&gt;CB 454106 DAC SM MATC 59BAVAY&lt;/Valeur&gt;&lt;Valeur name="valeur"&gt;66.66&lt;/Valeur&gt;&lt;Valeur name="compta"&gt;1&lt;/Valeur&gt;&lt;Valeur name="tvapct"&gt;20&lt;/Valeur&gt;&lt;Valeur name="tva"&gt;11.11&lt;/Valeur&gt;&lt;/Insert&gt;</v>
      </c>
    </row>
    <row r="288" spans="1:38" x14ac:dyDescent="0.25">
      <c r="A288">
        <v>271</v>
      </c>
      <c r="B288">
        <f>IF(A288&lt;&gt;"",VLOOKUP(A288,Banque!B:D,3,FALSE),1)</f>
        <v>1</v>
      </c>
      <c r="C288" s="1">
        <v>43585</v>
      </c>
      <c r="D288" t="s">
        <v>254</v>
      </c>
      <c r="E288" t="s">
        <v>7</v>
      </c>
      <c r="G288" s="10">
        <v>30</v>
      </c>
      <c r="I288" s="11">
        <f t="shared" si="60"/>
        <v>5</v>
      </c>
      <c r="K288">
        <v>287</v>
      </c>
      <c r="L288">
        <v>271</v>
      </c>
      <c r="M288" s="16" t="s">
        <v>882</v>
      </c>
      <c r="N288">
        <f>IFERROR(VLOOKUP(D288,tab!A:B,2,FALSE),1)</f>
        <v>27</v>
      </c>
      <c r="O288" t="str">
        <f t="shared" si="61"/>
        <v>CB 454106 SNACK THIER 59BAVAY</v>
      </c>
      <c r="P288" s="14">
        <f t="shared" si="62"/>
        <v>30</v>
      </c>
      <c r="Q288" s="14">
        <f t="shared" si="63"/>
        <v>1</v>
      </c>
      <c r="R288" s="14">
        <v>20</v>
      </c>
      <c r="S288" s="14">
        <f t="shared" si="64"/>
        <v>5</v>
      </c>
      <c r="Z288" t="str">
        <f t="shared" si="65"/>
        <v>&lt;Valeur name="no"&gt;287&lt;/Valeur&gt;</v>
      </c>
      <c r="AA288" t="str">
        <f t="shared" si="66"/>
        <v>&lt;Valeur name="ecriturebanque"&gt;271&lt;/Valeur&gt;</v>
      </c>
      <c r="AB288" t="str">
        <f t="shared" si="67"/>
        <v>&lt;Valeur name="datevaleur"&gt;2019/04/30&lt;/Valeur&gt;</v>
      </c>
      <c r="AC288" t="str">
        <f t="shared" si="68"/>
        <v>&lt;Valeur name="compte"&gt;27&lt;/Valeur&gt;</v>
      </c>
      <c r="AD288" t="str">
        <f t="shared" si="69"/>
        <v>&lt;Valeur name="description"&gt;CB 454106 SNACK THIER 59BAVAY&lt;/Valeur&gt;</v>
      </c>
      <c r="AE288" t="str">
        <f t="shared" si="70"/>
        <v>&lt;Valeur name="valeur"&gt;30&lt;/Valeur&gt;</v>
      </c>
      <c r="AF288" t="str">
        <f t="shared" si="71"/>
        <v>&lt;Valeur name="compta"&gt;1&lt;/Valeur&gt;</v>
      </c>
      <c r="AG288" t="str">
        <f t="shared" si="72"/>
        <v>&lt;Valeur name="tvapct"&gt;20&lt;/Valeur&gt;</v>
      </c>
      <c r="AH288" t="str">
        <f t="shared" si="73"/>
        <v>&lt;Valeur name="tva"&gt;5&lt;/Valeur&gt;</v>
      </c>
      <c r="AL288" t="str">
        <f t="shared" si="74"/>
        <v>&lt;Insert&gt;&lt;Valeur name="no"&gt;287&lt;/Valeur&gt;&lt;Valeur name="ecriturebanque"&gt;271&lt;/Valeur&gt;&lt;Valeur name="datevaleur"&gt;2019/04/30&lt;/Valeur&gt;&lt;Valeur name="compte"&gt;27&lt;/Valeur&gt;&lt;Valeur name="description"&gt;CB 454106 SNACK THIER 59BAVAY&lt;/Valeur&gt;&lt;Valeur name="valeur"&gt;30&lt;/Valeur&gt;&lt;Valeur name="compta"&gt;1&lt;/Valeur&gt;&lt;Valeur name="tvapct"&gt;20&lt;/Valeur&gt;&lt;Valeur name="tva"&gt;5&lt;/Valeur&gt;&lt;/Insert&gt;</v>
      </c>
    </row>
    <row r="289" spans="1:38" x14ac:dyDescent="0.25">
      <c r="A289">
        <v>272</v>
      </c>
      <c r="B289">
        <f>IF(A289&lt;&gt;"",VLOOKUP(A289,Banque!B:D,3,FALSE),1)</f>
        <v>1</v>
      </c>
      <c r="C289" s="1">
        <v>43585</v>
      </c>
      <c r="D289" t="s">
        <v>257</v>
      </c>
      <c r="E289" t="s">
        <v>31</v>
      </c>
      <c r="G289" s="10">
        <v>0.21</v>
      </c>
      <c r="I289" s="11">
        <f t="shared" si="60"/>
        <v>3.5000000000000003E-2</v>
      </c>
      <c r="K289">
        <v>288</v>
      </c>
      <c r="L289">
        <v>272</v>
      </c>
      <c r="M289" s="16" t="s">
        <v>882</v>
      </c>
      <c r="N289">
        <f>IFERROR(VLOOKUP(D289,tab!A:B,2,FALSE),1)</f>
        <v>18</v>
      </c>
      <c r="O289" t="str">
        <f t="shared" si="61"/>
        <v>FRAIS E-VIR SEPA VERS EEE</v>
      </c>
      <c r="P289" s="14">
        <f t="shared" si="62"/>
        <v>0.21</v>
      </c>
      <c r="Q289" s="14">
        <f t="shared" si="63"/>
        <v>1</v>
      </c>
      <c r="R289" s="14">
        <v>20</v>
      </c>
      <c r="S289" s="14">
        <f t="shared" si="64"/>
        <v>3.5000000000000003E-2</v>
      </c>
      <c r="Z289" t="str">
        <f t="shared" si="65"/>
        <v>&lt;Valeur name="no"&gt;288&lt;/Valeur&gt;</v>
      </c>
      <c r="AA289" t="str">
        <f t="shared" si="66"/>
        <v>&lt;Valeur name="ecriturebanque"&gt;272&lt;/Valeur&gt;</v>
      </c>
      <c r="AB289" t="str">
        <f t="shared" si="67"/>
        <v>&lt;Valeur name="datevaleur"&gt;2019/04/30&lt;/Valeur&gt;</v>
      </c>
      <c r="AC289" t="str">
        <f t="shared" si="68"/>
        <v>&lt;Valeur name="compte"&gt;18&lt;/Valeur&gt;</v>
      </c>
      <c r="AD289" t="str">
        <f t="shared" si="69"/>
        <v>&lt;Valeur name="description"&gt;FRAIS E-VIR SEPA VERS EEE&lt;/Valeur&gt;</v>
      </c>
      <c r="AE289" t="str">
        <f t="shared" si="70"/>
        <v>&lt;Valeur name="valeur"&gt;0.21&lt;/Valeur&gt;</v>
      </c>
      <c r="AF289" t="str">
        <f t="shared" si="71"/>
        <v>&lt;Valeur name="compta"&gt;1&lt;/Valeur&gt;</v>
      </c>
      <c r="AG289" t="str">
        <f t="shared" si="72"/>
        <v>&lt;Valeur name="tvapct"&gt;20&lt;/Valeur&gt;</v>
      </c>
      <c r="AH289" t="str">
        <f t="shared" si="73"/>
        <v>&lt;Valeur name="tva"&gt;0.035&lt;/Valeur&gt;</v>
      </c>
      <c r="AL289" t="str">
        <f t="shared" si="74"/>
        <v>&lt;Insert&gt;&lt;Valeur name="no"&gt;288&lt;/Valeur&gt;&lt;Valeur name="ecriturebanque"&gt;272&lt;/Valeur&gt;&lt;Valeur name="datevaleur"&gt;2019/04/30&lt;/Valeur&gt;&lt;Valeur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290" spans="1:38" x14ac:dyDescent="0.25">
      <c r="A290">
        <v>273</v>
      </c>
      <c r="B290">
        <f>IF(A290&lt;&gt;"",VLOOKUP(A290,Banque!B:D,3,FALSE),1)</f>
        <v>1</v>
      </c>
      <c r="C290" s="1">
        <v>43587</v>
      </c>
      <c r="D290" t="s">
        <v>271</v>
      </c>
      <c r="E290" t="s">
        <v>717</v>
      </c>
      <c r="G290" s="10">
        <v>27.8</v>
      </c>
      <c r="I290" s="11">
        <f t="shared" si="60"/>
        <v>4.6333333333333329</v>
      </c>
      <c r="K290">
        <v>289</v>
      </c>
      <c r="L290">
        <v>273</v>
      </c>
      <c r="M290" s="16" t="s">
        <v>979</v>
      </c>
      <c r="N290">
        <f>IFERROR(VLOOKUP(D290,tab!A:B,2,FALSE),1)</f>
        <v>15</v>
      </c>
      <c r="O290" t="str">
        <f t="shared" si="61"/>
        <v>CB 548222 SANEF 2304- 60SENLIS</v>
      </c>
      <c r="P290" s="14">
        <f t="shared" si="62"/>
        <v>27.8</v>
      </c>
      <c r="Q290" s="14">
        <f t="shared" si="63"/>
        <v>1</v>
      </c>
      <c r="R290" s="14">
        <v>20</v>
      </c>
      <c r="S290" s="14">
        <f t="shared" si="64"/>
        <v>4.6333333333333329</v>
      </c>
      <c r="Z290" t="str">
        <f t="shared" si="65"/>
        <v>&lt;Valeur name="no"&gt;289&lt;/Valeur&gt;</v>
      </c>
      <c r="AA290" t="str">
        <f t="shared" si="66"/>
        <v>&lt;Valeur name="ecriturebanque"&gt;273&lt;/Valeur&gt;</v>
      </c>
      <c r="AB290" t="str">
        <f t="shared" si="67"/>
        <v>&lt;Valeur name="datevaleur"&gt;2019/05/02&lt;/Valeur&gt;</v>
      </c>
      <c r="AC290" t="str">
        <f t="shared" si="68"/>
        <v>&lt;Valeur name="compte"&gt;15&lt;/Valeur&gt;</v>
      </c>
      <c r="AD290" t="str">
        <f t="shared" si="69"/>
        <v>&lt;Valeur name="description"&gt;CB 548222 SANEF 2304- 60SENLIS&lt;/Valeur&gt;</v>
      </c>
      <c r="AE290" t="str">
        <f t="shared" si="70"/>
        <v>&lt;Valeur name="valeur"&gt;27.8&lt;/Valeur&gt;</v>
      </c>
      <c r="AF290" t="str">
        <f t="shared" si="71"/>
        <v>&lt;Valeur name="compta"&gt;1&lt;/Valeur&gt;</v>
      </c>
      <c r="AG290" t="str">
        <f t="shared" si="72"/>
        <v>&lt;Valeur name="tvapct"&gt;20&lt;/Valeur&gt;</v>
      </c>
      <c r="AH290" t="str">
        <f t="shared" si="73"/>
        <v>&lt;Valeur name="tva"&gt;4.63333333333333&lt;/Valeur&gt;</v>
      </c>
      <c r="AL290" t="str">
        <f t="shared" si="74"/>
        <v>&lt;Insert&gt;&lt;Valeur name="no"&gt;289&lt;/Valeur&gt;&lt;Valeur name="ecriturebanque"&gt;273&lt;/Valeur&gt;&lt;Valeur name="datevaleur"&gt;2019/05/02&lt;/Valeur&gt;&lt;Valeur name="compte"&gt;15&lt;/Valeur&gt;&lt;Valeur name="description"&gt;CB 548222 SANEF 2304- 60SENLIS&lt;/Valeur&gt;&lt;Valeur name="valeur"&gt;27.8&lt;/Valeur&gt;&lt;Valeur name="compta"&gt;1&lt;/Valeur&gt;&lt;Valeur name="tvapct"&gt;20&lt;/Valeur&gt;&lt;Valeur name="tva"&gt;4.63333333333333&lt;/Valeur&gt;&lt;/Insert&gt;</v>
      </c>
    </row>
    <row r="291" spans="1:38" x14ac:dyDescent="0.25">
      <c r="A291">
        <v>274</v>
      </c>
      <c r="B291">
        <f>IF(A291&lt;&gt;"",VLOOKUP(A291,Banque!B:D,3,FALSE),1)</f>
        <v>0</v>
      </c>
      <c r="C291" s="1">
        <v>43587</v>
      </c>
      <c r="E291" t="s">
        <v>719</v>
      </c>
      <c r="G291" s="10">
        <v>283.12</v>
      </c>
      <c r="I291" s="11">
        <f t="shared" si="60"/>
        <v>47.186666666666667</v>
      </c>
      <c r="K291">
        <v>290</v>
      </c>
      <c r="L291">
        <v>274</v>
      </c>
      <c r="M291" s="16" t="s">
        <v>979</v>
      </c>
      <c r="N291">
        <f>IFERROR(VLOOKUP(D291,tab!A:B,2,FALSE),1)</f>
        <v>1</v>
      </c>
      <c r="O291" t="str">
        <f t="shared" si="61"/>
        <v>CB 454106 AGENCE CITR 59BAVAY</v>
      </c>
      <c r="P291" s="14">
        <f t="shared" si="62"/>
        <v>283.12</v>
      </c>
      <c r="Q291" s="14">
        <f t="shared" si="63"/>
        <v>0</v>
      </c>
      <c r="R291" s="14">
        <v>20</v>
      </c>
      <c r="S291" s="14">
        <f t="shared" si="64"/>
        <v>47.186666666666667</v>
      </c>
      <c r="Z291" t="str">
        <f t="shared" si="65"/>
        <v>&lt;Valeur name="no"&gt;290&lt;/Valeur&gt;</v>
      </c>
      <c r="AA291" t="str">
        <f t="shared" si="66"/>
        <v>&lt;Valeur name="ecriturebanque"&gt;274&lt;/Valeur&gt;</v>
      </c>
      <c r="AB291" t="str">
        <f t="shared" si="67"/>
        <v>&lt;Valeur name="datevaleur"&gt;2019/05/02&lt;/Valeur&gt;</v>
      </c>
      <c r="AC291" t="str">
        <f t="shared" si="68"/>
        <v>&lt;Valeur name="compte"&gt;1&lt;/Valeur&gt;</v>
      </c>
      <c r="AD291" t="str">
        <f t="shared" si="69"/>
        <v>&lt;Valeur name="description"&gt;CB 454106 AGENCE CITR 59BAVAY&lt;/Valeur&gt;</v>
      </c>
      <c r="AE291" t="str">
        <f t="shared" si="70"/>
        <v>&lt;Valeur name="valeur"&gt;283.12&lt;/Valeur&gt;</v>
      </c>
      <c r="AF291" t="str">
        <f t="shared" si="71"/>
        <v>&lt;Valeur name="compta"&gt;0&lt;/Valeur&gt;</v>
      </c>
      <c r="AG291" t="str">
        <f t="shared" si="72"/>
        <v>&lt;Valeur name="tvapct"&gt;20&lt;/Valeur&gt;</v>
      </c>
      <c r="AH291" t="str">
        <f t="shared" si="73"/>
        <v>&lt;Valeur name="tva"&gt;47.1866666666667&lt;/Valeur&gt;</v>
      </c>
      <c r="AL291" t="str">
        <f t="shared" si="74"/>
        <v>&lt;Insert&gt;&lt;Valeur name="no"&gt;290&lt;/Valeur&gt;&lt;Valeur name="ecriturebanque"&gt;274&lt;/Valeur&gt;&lt;Valeur name="datevaleur"&gt;2019/05/02&lt;/Valeur&gt;&lt;Valeur name="compte"&gt;1&lt;/Valeur&gt;&lt;Valeur name="description"&gt;CB 454106 AGENCE CITR 59BAVAY&lt;/Valeur&gt;&lt;Valeur name="valeur"&gt;283.12&lt;/Valeur&gt;&lt;Valeur name="compta"&gt;0&lt;/Valeur&gt;&lt;Valeur name="tvapct"&gt;20&lt;/Valeur&gt;&lt;Valeur name="tva"&gt;47.1866666666667&lt;/Valeur&gt;&lt;/Insert&gt;</v>
      </c>
    </row>
    <row r="292" spans="1:38" x14ac:dyDescent="0.25">
      <c r="A292">
        <v>275</v>
      </c>
      <c r="B292">
        <f>IF(A292&lt;&gt;"",VLOOKUP(A292,Banque!B:D,3,FALSE),1)</f>
        <v>1</v>
      </c>
      <c r="C292" s="1">
        <v>43587</v>
      </c>
      <c r="D292" t="s">
        <v>271</v>
      </c>
      <c r="E292" t="s">
        <v>721</v>
      </c>
      <c r="G292" s="10">
        <v>17.399999999999999</v>
      </c>
      <c r="I292" s="11">
        <f t="shared" si="60"/>
        <v>2.8999999999999986</v>
      </c>
      <c r="K292">
        <v>291</v>
      </c>
      <c r="L292">
        <v>275</v>
      </c>
      <c r="M292" s="16" t="s">
        <v>979</v>
      </c>
      <c r="N292">
        <f>IFERROR(VLOOKUP(D292,tab!A:B,2,FALSE),1)</f>
        <v>15</v>
      </c>
      <c r="O292" t="str">
        <f t="shared" si="61"/>
        <v>CB 454106 SANEF 2304- 60SENLIS</v>
      </c>
      <c r="P292" s="14">
        <f t="shared" si="62"/>
        <v>17.399999999999999</v>
      </c>
      <c r="Q292" s="14">
        <f t="shared" si="63"/>
        <v>1</v>
      </c>
      <c r="R292" s="14">
        <v>20</v>
      </c>
      <c r="S292" s="14">
        <f t="shared" si="64"/>
        <v>2.8999999999999986</v>
      </c>
      <c r="Z292" t="str">
        <f t="shared" si="65"/>
        <v>&lt;Valeur name="no"&gt;291&lt;/Valeur&gt;</v>
      </c>
      <c r="AA292" t="str">
        <f t="shared" si="66"/>
        <v>&lt;Valeur name="ecriturebanque"&gt;275&lt;/Valeur&gt;</v>
      </c>
      <c r="AB292" t="str">
        <f t="shared" si="67"/>
        <v>&lt;Valeur name="datevaleur"&gt;2019/05/02&lt;/Valeur&gt;</v>
      </c>
      <c r="AC292" t="str">
        <f t="shared" si="68"/>
        <v>&lt;Valeur name="compte"&gt;15&lt;/Valeur&gt;</v>
      </c>
      <c r="AD292" t="str">
        <f t="shared" si="69"/>
        <v>&lt;Valeur name="description"&gt;CB 454106 SANEF 2304- 60SENLIS&lt;/Valeur&gt;</v>
      </c>
      <c r="AE292" t="str">
        <f t="shared" si="70"/>
        <v>&lt;Valeur name="valeur"&gt;17.4&lt;/Valeur&gt;</v>
      </c>
      <c r="AF292" t="str">
        <f t="shared" si="71"/>
        <v>&lt;Valeur name="compta"&gt;1&lt;/Valeur&gt;</v>
      </c>
      <c r="AG292" t="str">
        <f t="shared" si="72"/>
        <v>&lt;Valeur name="tvapct"&gt;20&lt;/Valeur&gt;</v>
      </c>
      <c r="AH292" t="str">
        <f t="shared" si="73"/>
        <v>&lt;Valeur name="tva"&gt;2.9&lt;/Valeur&gt;</v>
      </c>
      <c r="AL292" t="str">
        <f t="shared" si="74"/>
        <v>&lt;Insert&gt;&lt;Valeur name="no"&gt;291&lt;/Valeur&gt;&lt;Valeur name="ecriturebanque"&gt;275&lt;/Valeur&gt;&lt;Valeur name="datevaleur"&gt;2019/05/02&lt;/Valeur&gt;&lt;Valeur name="compte"&gt;15&lt;/Valeur&gt;&lt;Valeur name="description"&gt;CB 454106 SANEF 2304- 60SENLIS&lt;/Valeur&gt;&lt;Valeur name="valeur"&gt;17.4&lt;/Valeur&gt;&lt;Valeur name="compta"&gt;1&lt;/Valeur&gt;&lt;Valeur name="tvapct"&gt;20&lt;/Valeur&gt;&lt;Valeur name="tva"&gt;2.9&lt;/Valeur&gt;&lt;/Insert&gt;</v>
      </c>
    </row>
    <row r="293" spans="1:38" x14ac:dyDescent="0.25">
      <c r="A293">
        <v>276</v>
      </c>
      <c r="B293">
        <f>IF(A293&lt;&gt;"",VLOOKUP(A293,Banque!B:D,3,FALSE),1)</f>
        <v>0</v>
      </c>
      <c r="C293" s="1">
        <v>43587</v>
      </c>
      <c r="E293" t="s">
        <v>144</v>
      </c>
      <c r="H293" s="10">
        <v>2880</v>
      </c>
      <c r="I293" s="11">
        <f t="shared" si="60"/>
        <v>-480</v>
      </c>
      <c r="K293">
        <v>292</v>
      </c>
      <c r="L293">
        <v>276</v>
      </c>
      <c r="M293" s="16" t="s">
        <v>979</v>
      </c>
      <c r="N293">
        <f>IFERROR(VLOOKUP(D293,tab!A:B,2,FALSE),1)</f>
        <v>1</v>
      </c>
      <c r="O293" t="str">
        <f t="shared" si="61"/>
        <v>REMISE CHEQUES</v>
      </c>
      <c r="P293" s="14">
        <f t="shared" si="62"/>
        <v>2880</v>
      </c>
      <c r="Q293" s="14">
        <f t="shared" si="63"/>
        <v>0</v>
      </c>
      <c r="R293" s="14">
        <v>20</v>
      </c>
      <c r="S293" s="14">
        <f t="shared" si="64"/>
        <v>-480</v>
      </c>
      <c r="Z293" t="str">
        <f t="shared" si="65"/>
        <v>&lt;Valeur name="no"&gt;292&lt;/Valeur&gt;</v>
      </c>
      <c r="AA293" t="str">
        <f t="shared" si="66"/>
        <v>&lt;Valeur name="ecriturebanque"&gt;276&lt;/Valeur&gt;</v>
      </c>
      <c r="AB293" t="str">
        <f t="shared" si="67"/>
        <v>&lt;Valeur name="datevaleur"&gt;2019/05/02&lt;/Valeur&gt;</v>
      </c>
      <c r="AC293" t="str">
        <f t="shared" si="68"/>
        <v>&lt;Valeur name="compte"&gt;1&lt;/Valeur&gt;</v>
      </c>
      <c r="AD293" t="str">
        <f t="shared" si="69"/>
        <v>&lt;Valeur name="description"&gt;REMISE CHEQUES&lt;/Valeur&gt;</v>
      </c>
      <c r="AE293" t="str">
        <f t="shared" si="70"/>
        <v>&lt;Valeur name="valeur"&gt;2880&lt;/Valeur&gt;</v>
      </c>
      <c r="AF293" t="str">
        <f t="shared" si="71"/>
        <v>&lt;Valeur name="compta"&gt;0&lt;/Valeur&gt;</v>
      </c>
      <c r="AG293" t="str">
        <f t="shared" si="72"/>
        <v>&lt;Valeur name="tvapct"&gt;20&lt;/Valeur&gt;</v>
      </c>
      <c r="AH293" t="str">
        <f t="shared" si="73"/>
        <v>&lt;Valeur name="tva"&gt;-480&lt;/Valeur&gt;</v>
      </c>
      <c r="AL293" t="str">
        <f t="shared" si="74"/>
        <v>&lt;Insert&gt;&lt;Valeur name="no"&gt;292&lt;/Valeur&gt;&lt;Valeur name="ecriturebanque"&gt;276&lt;/Valeur&gt;&lt;Valeur name="datevaleur"&gt;2019/05/02&lt;/Valeur&gt;&lt;Valeur name="compte"&gt;1&lt;/Valeur&gt;&lt;Valeur name="description"&gt;REMISE CHEQUES&lt;/Valeur&gt;&lt;Valeur name="valeur"&gt;2880&lt;/Valeur&gt;&lt;Valeur name="compta"&gt;0&lt;/Valeur&gt;&lt;Valeur name="tvapct"&gt;20&lt;/Valeur&gt;&lt;Valeur name="tva"&gt;-480&lt;/Valeur&gt;&lt;/Insert&gt;</v>
      </c>
    </row>
    <row r="294" spans="1:38" x14ac:dyDescent="0.25">
      <c r="A294">
        <v>277</v>
      </c>
      <c r="B294">
        <f>IF(A294&lt;&gt;"",VLOOKUP(A294,Banque!B:D,3,FALSE),1)</f>
        <v>1</v>
      </c>
      <c r="C294" s="1">
        <v>43588</v>
      </c>
      <c r="D294" t="s">
        <v>256</v>
      </c>
      <c r="E294" t="s">
        <v>724</v>
      </c>
      <c r="G294" s="10">
        <v>724.89</v>
      </c>
      <c r="I294" s="11">
        <f t="shared" si="60"/>
        <v>120.81499999999994</v>
      </c>
      <c r="K294">
        <v>293</v>
      </c>
      <c r="L294">
        <v>277</v>
      </c>
      <c r="M294" s="16" t="s">
        <v>980</v>
      </c>
      <c r="N294">
        <f>IFERROR(VLOOKUP(D294,tab!A:B,2,FALSE),1)</f>
        <v>28</v>
      </c>
      <c r="O294" t="str">
        <f t="shared" si="61"/>
        <v>E-VIR SEPA Salaire Hutin 04/2019</v>
      </c>
      <c r="P294" s="14">
        <f t="shared" si="62"/>
        <v>724.89</v>
      </c>
      <c r="Q294" s="14">
        <f t="shared" si="63"/>
        <v>1</v>
      </c>
      <c r="R294" s="14">
        <v>20</v>
      </c>
      <c r="S294" s="14">
        <f t="shared" si="64"/>
        <v>120.81499999999994</v>
      </c>
      <c r="Z294" t="str">
        <f t="shared" si="65"/>
        <v>&lt;Valeur name="no"&gt;293&lt;/Valeur&gt;</v>
      </c>
      <c r="AA294" t="str">
        <f t="shared" si="66"/>
        <v>&lt;Valeur name="ecriturebanque"&gt;277&lt;/Valeur&gt;</v>
      </c>
      <c r="AB294" t="str">
        <f t="shared" si="67"/>
        <v>&lt;Valeur name="datevaleur"&gt;2019/05/03&lt;/Valeur&gt;</v>
      </c>
      <c r="AC294" t="str">
        <f t="shared" si="68"/>
        <v>&lt;Valeur name="compte"&gt;28&lt;/Valeur&gt;</v>
      </c>
      <c r="AD294" t="str">
        <f t="shared" si="69"/>
        <v>&lt;Valeur name="description"&gt;E-VIR SEPA Salaire Hutin 04/2019&lt;/Valeur&gt;</v>
      </c>
      <c r="AE294" t="str">
        <f t="shared" si="70"/>
        <v>&lt;Valeur name="valeur"&gt;724.89&lt;/Valeur&gt;</v>
      </c>
      <c r="AF294" t="str">
        <f t="shared" si="71"/>
        <v>&lt;Valeur name="compta"&gt;1&lt;/Valeur&gt;</v>
      </c>
      <c r="AG294" t="str">
        <f t="shared" si="72"/>
        <v>&lt;Valeur name="tvapct"&gt;20&lt;/Valeur&gt;</v>
      </c>
      <c r="AH294" t="str">
        <f t="shared" si="73"/>
        <v>&lt;Valeur name="tva"&gt;120.815&lt;/Valeur&gt;</v>
      </c>
      <c r="AL294" t="str">
        <f t="shared" si="74"/>
        <v>&lt;Insert&gt;&lt;Valeur name="no"&gt;293&lt;/Valeur&gt;&lt;Valeur name="ecriturebanque"&gt;277&lt;/Valeur&gt;&lt;Valeur name="datevaleur"&gt;2019/05/03&lt;/Valeur&gt;&lt;Valeur name="compte"&gt;28&lt;/Valeur&gt;&lt;Valeur name="description"&gt;E-VIR SEPA Salaire Hutin 04/2019&lt;/Valeur&gt;&lt;Valeur name="valeur"&gt;724.89&lt;/Valeur&gt;&lt;Valeur name="compta"&gt;1&lt;/Valeur&gt;&lt;Valeur name="tvapct"&gt;20&lt;/Valeur&gt;&lt;Valeur name="tva"&gt;120.815&lt;/Valeur&gt;&lt;/Insert&gt;</v>
      </c>
    </row>
    <row r="295" spans="1:38" x14ac:dyDescent="0.25">
      <c r="A295">
        <v>278</v>
      </c>
      <c r="B295">
        <f>IF(A295&lt;&gt;"",VLOOKUP(A295,Banque!B:D,3,FALSE),1)</f>
        <v>1</v>
      </c>
      <c r="C295" s="1">
        <v>43588</v>
      </c>
      <c r="D295" t="s">
        <v>256</v>
      </c>
      <c r="E295" t="s">
        <v>726</v>
      </c>
      <c r="G295" s="10">
        <v>1196.3499999999999</v>
      </c>
      <c r="I295" s="11">
        <f t="shared" si="60"/>
        <v>199.39166666666665</v>
      </c>
      <c r="K295">
        <v>294</v>
      </c>
      <c r="L295">
        <v>278</v>
      </c>
      <c r="M295" s="16" t="s">
        <v>980</v>
      </c>
      <c r="N295">
        <f>IFERROR(VLOOKUP(D295,tab!A:B,2,FALSE),1)</f>
        <v>28</v>
      </c>
      <c r="O295" t="str">
        <f t="shared" si="61"/>
        <v>E-VIR SEPA Salaire Lefort 04/201</v>
      </c>
      <c r="P295" s="14">
        <f t="shared" si="62"/>
        <v>1196.3499999999999</v>
      </c>
      <c r="Q295" s="14">
        <f t="shared" si="63"/>
        <v>1</v>
      </c>
      <c r="R295" s="14">
        <v>20</v>
      </c>
      <c r="S295" s="14">
        <f t="shared" si="64"/>
        <v>199.39166666666665</v>
      </c>
      <c r="Z295" t="str">
        <f t="shared" si="65"/>
        <v>&lt;Valeur name="no"&gt;294&lt;/Valeur&gt;</v>
      </c>
      <c r="AA295" t="str">
        <f t="shared" si="66"/>
        <v>&lt;Valeur name="ecriturebanque"&gt;278&lt;/Valeur&gt;</v>
      </c>
      <c r="AB295" t="str">
        <f t="shared" si="67"/>
        <v>&lt;Valeur name="datevaleur"&gt;2019/05/03&lt;/Valeur&gt;</v>
      </c>
      <c r="AC295" t="str">
        <f t="shared" si="68"/>
        <v>&lt;Valeur name="compte"&gt;28&lt;/Valeur&gt;</v>
      </c>
      <c r="AD295" t="str">
        <f t="shared" si="69"/>
        <v>&lt;Valeur name="description"&gt;E-VIR SEPA Salaire Lefort 04/201&lt;/Valeur&gt;</v>
      </c>
      <c r="AE295" t="str">
        <f t="shared" si="70"/>
        <v>&lt;Valeur name="valeur"&gt;1196.35&lt;/Valeur&gt;</v>
      </c>
      <c r="AF295" t="str">
        <f t="shared" si="71"/>
        <v>&lt;Valeur name="compta"&gt;1&lt;/Valeur&gt;</v>
      </c>
      <c r="AG295" t="str">
        <f t="shared" si="72"/>
        <v>&lt;Valeur name="tvapct"&gt;20&lt;/Valeur&gt;</v>
      </c>
      <c r="AH295" t="str">
        <f t="shared" si="73"/>
        <v>&lt;Valeur name="tva"&gt;199.391666666667&lt;/Valeur&gt;</v>
      </c>
      <c r="AL295" t="str">
        <f t="shared" si="74"/>
        <v>&lt;Insert&gt;&lt;Valeur name="no"&gt;294&lt;/Valeur&gt;&lt;Valeur name="ecriturebanque"&gt;278&lt;/Valeur&gt;&lt;Valeur name="datevaleur"&gt;2019/05/03&lt;/Valeur&gt;&lt;Valeur name="compte"&gt;28&lt;/Valeur&gt;&lt;Valeur name="description"&gt;E-VIR SEPA Salaire Lefort 04/201&lt;/Valeur&gt;&lt;Valeur name="valeur"&gt;1196.35&lt;/Valeur&gt;&lt;Valeur name="compta"&gt;1&lt;/Valeur&gt;&lt;Valeur name="tvapct"&gt;20&lt;/Valeur&gt;&lt;Valeur name="tva"&gt;199.391666666667&lt;/Valeur&gt;&lt;/Insert&gt;</v>
      </c>
    </row>
    <row r="296" spans="1:38" x14ac:dyDescent="0.25">
      <c r="A296">
        <v>279</v>
      </c>
      <c r="B296">
        <f>IF(A296&lt;&gt;"",VLOOKUP(A296,Banque!B:D,3,FALSE),1)</f>
        <v>1</v>
      </c>
      <c r="C296" s="1">
        <v>43588</v>
      </c>
      <c r="D296" t="s">
        <v>256</v>
      </c>
      <c r="E296" t="s">
        <v>728</v>
      </c>
      <c r="G296" s="10">
        <v>754.01</v>
      </c>
      <c r="I296" s="11">
        <f t="shared" si="60"/>
        <v>125.66833333333329</v>
      </c>
      <c r="K296">
        <v>295</v>
      </c>
      <c r="L296">
        <v>279</v>
      </c>
      <c r="M296" s="16" t="s">
        <v>980</v>
      </c>
      <c r="N296">
        <f>IFERROR(VLOOKUP(D296,tab!A:B,2,FALSE),1)</f>
        <v>28</v>
      </c>
      <c r="O296" t="str">
        <f t="shared" si="61"/>
        <v>E-VIR SEPA Salaire Gournay 04/20</v>
      </c>
      <c r="P296" s="14">
        <f t="shared" si="62"/>
        <v>754.01</v>
      </c>
      <c r="Q296" s="14">
        <f t="shared" si="63"/>
        <v>1</v>
      </c>
      <c r="R296" s="14">
        <v>20</v>
      </c>
      <c r="S296" s="14">
        <f t="shared" si="64"/>
        <v>125.66833333333329</v>
      </c>
      <c r="Z296" t="str">
        <f t="shared" si="65"/>
        <v>&lt;Valeur name="no"&gt;295&lt;/Valeur&gt;</v>
      </c>
      <c r="AA296" t="str">
        <f t="shared" si="66"/>
        <v>&lt;Valeur name="ecriturebanque"&gt;279&lt;/Valeur&gt;</v>
      </c>
      <c r="AB296" t="str">
        <f t="shared" si="67"/>
        <v>&lt;Valeur name="datevaleur"&gt;2019/05/03&lt;/Valeur&gt;</v>
      </c>
      <c r="AC296" t="str">
        <f t="shared" si="68"/>
        <v>&lt;Valeur name="compte"&gt;28&lt;/Valeur&gt;</v>
      </c>
      <c r="AD296" t="str">
        <f t="shared" si="69"/>
        <v>&lt;Valeur name="description"&gt;E-VIR SEPA Salaire Gournay 04/20&lt;/Valeur&gt;</v>
      </c>
      <c r="AE296" t="str">
        <f t="shared" si="70"/>
        <v>&lt;Valeur name="valeur"&gt;754.01&lt;/Valeur&gt;</v>
      </c>
      <c r="AF296" t="str">
        <f t="shared" si="71"/>
        <v>&lt;Valeur name="compta"&gt;1&lt;/Valeur&gt;</v>
      </c>
      <c r="AG296" t="str">
        <f t="shared" si="72"/>
        <v>&lt;Valeur name="tvapct"&gt;20&lt;/Valeur&gt;</v>
      </c>
      <c r="AH296" t="str">
        <f t="shared" si="73"/>
        <v>&lt;Valeur name="tva"&gt;125.668333333333&lt;/Valeur&gt;</v>
      </c>
      <c r="AL296" t="str">
        <f t="shared" si="74"/>
        <v>&lt;Insert&gt;&lt;Valeur name="no"&gt;295&lt;/Valeur&gt;&lt;Valeur name="ecriturebanque"&gt;279&lt;/Valeur&gt;&lt;Valeur name="datevaleur"&gt;2019/05/03&lt;/Valeur&gt;&lt;Valeur name="compte"&gt;28&lt;/Valeur&gt;&lt;Valeur name="description"&gt;E-VIR SEPA Salaire Gournay 04/20&lt;/Valeur&gt;&lt;Valeur name="valeur"&gt;754.01&lt;/Valeur&gt;&lt;Valeur name="compta"&gt;1&lt;/Valeur&gt;&lt;Valeur name="tvapct"&gt;20&lt;/Valeur&gt;&lt;Valeur name="tva"&gt;125.668333333333&lt;/Valeur&gt;&lt;/Insert&gt;</v>
      </c>
    </row>
    <row r="297" spans="1:38" x14ac:dyDescent="0.25">
      <c r="A297">
        <v>280</v>
      </c>
      <c r="B297">
        <f>IF(A297&lt;&gt;"",VLOOKUP(A297,Banque!B:D,3,FALSE),1)</f>
        <v>0</v>
      </c>
      <c r="C297" s="1">
        <v>43588</v>
      </c>
      <c r="E297" t="s">
        <v>730</v>
      </c>
      <c r="G297" s="10">
        <v>561.6</v>
      </c>
      <c r="I297" s="11">
        <f t="shared" si="60"/>
        <v>93.599999999999966</v>
      </c>
      <c r="K297">
        <v>296</v>
      </c>
      <c r="L297">
        <v>280</v>
      </c>
      <c r="M297" s="16" t="s">
        <v>980</v>
      </c>
      <c r="N297">
        <f>IFERROR(VLOOKUP(D297,tab!A:B,2,FALSE),1)</f>
        <v>1</v>
      </c>
      <c r="O297" t="str">
        <f t="shared" si="61"/>
        <v>RELEVE LCR DU  250419  CONFORME</v>
      </c>
      <c r="P297" s="14">
        <f t="shared" si="62"/>
        <v>561.6</v>
      </c>
      <c r="Q297" s="14">
        <f t="shared" si="63"/>
        <v>0</v>
      </c>
      <c r="R297" s="14">
        <v>20</v>
      </c>
      <c r="S297" s="14">
        <f t="shared" si="64"/>
        <v>93.599999999999966</v>
      </c>
      <c r="Z297" t="str">
        <f t="shared" si="65"/>
        <v>&lt;Valeur name="no"&gt;296&lt;/Valeur&gt;</v>
      </c>
      <c r="AA297" t="str">
        <f t="shared" si="66"/>
        <v>&lt;Valeur name="ecriturebanque"&gt;280&lt;/Valeur&gt;</v>
      </c>
      <c r="AB297" t="str">
        <f t="shared" si="67"/>
        <v>&lt;Valeur name="datevaleur"&gt;2019/05/03&lt;/Valeur&gt;</v>
      </c>
      <c r="AC297" t="str">
        <f t="shared" si="68"/>
        <v>&lt;Valeur name="compte"&gt;1&lt;/Valeur&gt;</v>
      </c>
      <c r="AD297" t="str">
        <f t="shared" si="69"/>
        <v>&lt;Valeur name="description"&gt;RELEVE LCR DU  250419  CONFORME&lt;/Valeur&gt;</v>
      </c>
      <c r="AE297" t="str">
        <f t="shared" si="70"/>
        <v>&lt;Valeur name="valeur"&gt;561.6&lt;/Valeur&gt;</v>
      </c>
      <c r="AF297" t="str">
        <f t="shared" si="71"/>
        <v>&lt;Valeur name="compta"&gt;0&lt;/Valeur&gt;</v>
      </c>
      <c r="AG297" t="str">
        <f t="shared" si="72"/>
        <v>&lt;Valeur name="tvapct"&gt;20&lt;/Valeur&gt;</v>
      </c>
      <c r="AH297" t="str">
        <f t="shared" si="73"/>
        <v>&lt;Valeur name="tva"&gt;93.6&lt;/Valeur&gt;</v>
      </c>
      <c r="AL297" t="str">
        <f t="shared" si="74"/>
        <v>&lt;Insert&gt;&lt;Valeur name="no"&gt;296&lt;/Valeur&gt;&lt;Valeur name="ecriturebanque"&gt;280&lt;/Valeur&gt;&lt;Valeur name="datevaleur"&gt;2019/05/03&lt;/Valeur&gt;&lt;Valeur name="compte"&gt;1&lt;/Valeur&gt;&lt;Valeur name="description"&gt;RELEVE LCR DU  250419  CONFORME&lt;/Valeur&gt;&lt;Valeur name="valeur"&gt;561.6&lt;/Valeur&gt;&lt;Valeur name="compta"&gt;0&lt;/Valeur&gt;&lt;Valeur name="tvapct"&gt;20&lt;/Valeur&gt;&lt;Valeur name="tva"&gt;93.6&lt;/Valeur&gt;&lt;/Insert&gt;</v>
      </c>
    </row>
    <row r="298" spans="1:38" x14ac:dyDescent="0.25">
      <c r="A298">
        <v>281</v>
      </c>
      <c r="B298">
        <f>IF(A298&lt;&gt;"",VLOOKUP(A298,Banque!B:D,3,FALSE),1)</f>
        <v>1</v>
      </c>
      <c r="C298" s="1">
        <v>43588</v>
      </c>
      <c r="D298" t="s">
        <v>376</v>
      </c>
      <c r="E298" t="s">
        <v>139</v>
      </c>
      <c r="F298" t="s">
        <v>140</v>
      </c>
      <c r="G298" s="10">
        <v>10.31</v>
      </c>
      <c r="I298" s="11">
        <f t="shared" si="60"/>
        <v>1.7183333333333337</v>
      </c>
      <c r="K298">
        <v>297</v>
      </c>
      <c r="L298">
        <v>281</v>
      </c>
      <c r="M298" s="16" t="s">
        <v>980</v>
      </c>
      <c r="N298">
        <f>IFERROR(VLOOKUP(D298,tab!A:B,2,FALSE),1)</f>
        <v>69</v>
      </c>
      <c r="O298" t="str">
        <f t="shared" si="61"/>
        <v>PRLV SEPA Google Ireland Limited / APPS COMMERCE:le-metal.net:GG101</v>
      </c>
      <c r="P298" s="14">
        <f t="shared" si="62"/>
        <v>10.31</v>
      </c>
      <c r="Q298" s="14">
        <f t="shared" si="63"/>
        <v>1</v>
      </c>
      <c r="R298" s="14">
        <v>20</v>
      </c>
      <c r="S298" s="14">
        <f t="shared" si="64"/>
        <v>1.7183333333333337</v>
      </c>
      <c r="Z298" t="str">
        <f t="shared" si="65"/>
        <v>&lt;Valeur name="no"&gt;297&lt;/Valeur&gt;</v>
      </c>
      <c r="AA298" t="str">
        <f t="shared" si="66"/>
        <v>&lt;Valeur name="ecriturebanque"&gt;281&lt;/Valeur&gt;</v>
      </c>
      <c r="AB298" t="str">
        <f t="shared" si="67"/>
        <v>&lt;Valeur name="datevaleur"&gt;2019/05/03&lt;/Valeur&gt;</v>
      </c>
      <c r="AC298" t="str">
        <f t="shared" si="68"/>
        <v>&lt;Valeur name="compte"&gt;69&lt;/Valeur&gt;</v>
      </c>
      <c r="AD298" t="str">
        <f t="shared" si="69"/>
        <v>&lt;Valeur name="description"&gt;PRLV SEPA Google Ireland Limited / APPS COMMERCE:le-metal.net:GG101&lt;/Valeur&gt;</v>
      </c>
      <c r="AE298" t="str">
        <f t="shared" si="70"/>
        <v>&lt;Valeur name="valeur"&gt;10.31&lt;/Valeur&gt;</v>
      </c>
      <c r="AF298" t="str">
        <f t="shared" si="71"/>
        <v>&lt;Valeur name="compta"&gt;1&lt;/Valeur&gt;</v>
      </c>
      <c r="AG298" t="str">
        <f t="shared" si="72"/>
        <v>&lt;Valeur name="tvapct"&gt;20&lt;/Valeur&gt;</v>
      </c>
      <c r="AH298" t="str">
        <f t="shared" si="73"/>
        <v>&lt;Valeur name="tva"&gt;1.71833333333333&lt;/Valeur&gt;</v>
      </c>
      <c r="AL298" t="str">
        <f t="shared" si="74"/>
        <v>&lt;Insert&gt;&lt;Valeur name="no"&gt;297&lt;/Valeur&gt;&lt;Valeur name="ecriturebanque"&gt;281&lt;/Valeur&gt;&lt;Valeur name="datevaleur"&gt;2019/05/03&lt;/Valeur&gt;&lt;Valeur name="compte"&gt;69&lt;/Valeur&gt;&lt;Valeur name="description"&gt;PRLV SEPA Google Ireland Limited / APPS COMMERCE:le-metal.net:GG101&lt;/Valeur&gt;&lt;Valeur name="valeur"&gt;10.31&lt;/Valeur&gt;&lt;Valeur name="compta"&gt;1&lt;/Valeur&gt;&lt;Valeur name="tvapct"&gt;20&lt;/Valeur&gt;&lt;Valeur name="tva"&gt;1.71833333333333&lt;/Valeur&gt;&lt;/Insert&gt;</v>
      </c>
    </row>
    <row r="299" spans="1:38" x14ac:dyDescent="0.25">
      <c r="A299">
        <v>282</v>
      </c>
      <c r="B299">
        <f>IF(A299&lt;&gt;"",VLOOKUP(A299,Banque!B:D,3,FALSE),1)</f>
        <v>1</v>
      </c>
      <c r="C299" s="1">
        <v>43591</v>
      </c>
      <c r="D299" t="s">
        <v>257</v>
      </c>
      <c r="E299" t="s">
        <v>156</v>
      </c>
      <c r="H299" s="10">
        <v>0</v>
      </c>
      <c r="I299" s="11">
        <f t="shared" si="60"/>
        <v>0</v>
      </c>
      <c r="K299">
        <v>298</v>
      </c>
      <c r="L299">
        <v>282</v>
      </c>
      <c r="M299" s="16" t="s">
        <v>935</v>
      </c>
      <c r="N299">
        <f>IFERROR(VLOOKUP(D299,tab!A:B,2,FALSE),1)</f>
        <v>18</v>
      </c>
      <c r="O299" t="str">
        <f t="shared" si="61"/>
        <v>INTERNET PRO (GRATUIT AVEC C.ALL</v>
      </c>
      <c r="P299" s="14">
        <f t="shared" si="62"/>
        <v>0</v>
      </c>
      <c r="Q299" s="14">
        <f t="shared" si="63"/>
        <v>1</v>
      </c>
      <c r="R299" s="14">
        <v>20</v>
      </c>
      <c r="S299" s="14">
        <f t="shared" si="64"/>
        <v>0</v>
      </c>
      <c r="Z299" t="str">
        <f t="shared" si="65"/>
        <v>&lt;Valeur name="no"&gt;298&lt;/Valeur&gt;</v>
      </c>
      <c r="AA299" t="str">
        <f t="shared" si="66"/>
        <v>&lt;Valeur name="ecriturebanque"&gt;282&lt;/Valeur&gt;</v>
      </c>
      <c r="AB299" t="str">
        <f t="shared" si="67"/>
        <v>&lt;Valeur name="datevaleur"&gt;2019/05/06&lt;/Valeur&gt;</v>
      </c>
      <c r="AC299" t="str">
        <f t="shared" si="68"/>
        <v>&lt;Valeur name="compte"&gt;18&lt;/Valeur&gt;</v>
      </c>
      <c r="AD299" t="str">
        <f t="shared" si="69"/>
        <v>&lt;Valeur name="description"&gt;INTERNET PRO (GRATUIT AVEC C.ALL&lt;/Valeur&gt;</v>
      </c>
      <c r="AE299" t="str">
        <f t="shared" si="70"/>
        <v>&lt;Valeur name="valeur"&gt;0&lt;/Valeur&gt;</v>
      </c>
      <c r="AF299" t="str">
        <f t="shared" si="71"/>
        <v>&lt;Valeur name="compta"&gt;1&lt;/Valeur&gt;</v>
      </c>
      <c r="AG299" t="str">
        <f t="shared" si="72"/>
        <v>&lt;Valeur name="tvapct"&gt;20&lt;/Valeur&gt;</v>
      </c>
      <c r="AH299" t="str">
        <f t="shared" si="73"/>
        <v>&lt;Valeur name="tva"&gt;0&lt;/Valeur&gt;</v>
      </c>
      <c r="AL299" t="str">
        <f t="shared" si="74"/>
        <v>&lt;Insert&gt;&lt;Valeur name="no"&gt;298&lt;/Valeur&gt;&lt;Valeur name="ecriturebanque"&gt;282&lt;/Valeur&gt;&lt;Valeur name="datevaleur"&gt;2019/05/06&lt;/Valeur&gt;&lt;Valeur name="compte"&gt;18&lt;/Valeur&gt;&lt;Valeur name="description"&gt;INTERNET PRO (GRATUIT AVEC C.ALL&lt;/Valeur&gt;&lt;Valeur name="valeur"&gt;0&lt;/Valeur&gt;&lt;Valeur name="compta"&gt;1&lt;/Valeur&gt;&lt;Valeur name="tvapct"&gt;20&lt;/Valeur&gt;&lt;Valeur name="tva"&gt;0&lt;/Valeur&gt;&lt;/Insert&gt;</v>
      </c>
    </row>
    <row r="300" spans="1:38" x14ac:dyDescent="0.25">
      <c r="A300">
        <v>283</v>
      </c>
      <c r="B300">
        <f>IF(A300&lt;&gt;"",VLOOKUP(A300,Banque!B:D,3,FALSE),1)</f>
        <v>1</v>
      </c>
      <c r="C300" s="1">
        <v>43591</v>
      </c>
      <c r="D300" t="s">
        <v>254</v>
      </c>
      <c r="E300" t="s">
        <v>397</v>
      </c>
      <c r="G300" s="10">
        <v>49.5</v>
      </c>
      <c r="I300" s="11">
        <f t="shared" si="60"/>
        <v>8.25</v>
      </c>
      <c r="K300">
        <v>299</v>
      </c>
      <c r="L300">
        <v>283</v>
      </c>
      <c r="M300" s="16" t="s">
        <v>935</v>
      </c>
      <c r="N300">
        <f>IFERROR(VLOOKUP(D300,tab!A:B,2,FALSE),1)</f>
        <v>27</v>
      </c>
      <c r="O300" t="str">
        <f t="shared" si="61"/>
        <v>CB 454106 PIZZA   PAS 59BAVAY</v>
      </c>
      <c r="P300" s="14">
        <f t="shared" si="62"/>
        <v>49.5</v>
      </c>
      <c r="Q300" s="14">
        <f t="shared" si="63"/>
        <v>1</v>
      </c>
      <c r="R300" s="14">
        <v>20</v>
      </c>
      <c r="S300" s="14">
        <f t="shared" si="64"/>
        <v>8.25</v>
      </c>
      <c r="Z300" t="str">
        <f t="shared" si="65"/>
        <v>&lt;Valeur name="no"&gt;299&lt;/Valeur&gt;</v>
      </c>
      <c r="AA300" t="str">
        <f t="shared" si="66"/>
        <v>&lt;Valeur name="ecriturebanque"&gt;283&lt;/Valeur&gt;</v>
      </c>
      <c r="AB300" t="str">
        <f t="shared" si="67"/>
        <v>&lt;Valeur name="datevaleur"&gt;2019/05/06&lt;/Valeur&gt;</v>
      </c>
      <c r="AC300" t="str">
        <f t="shared" si="68"/>
        <v>&lt;Valeur name="compte"&gt;27&lt;/Valeur&gt;</v>
      </c>
      <c r="AD300" t="str">
        <f t="shared" si="69"/>
        <v>&lt;Valeur name="description"&gt;CB 454106 PIZZA   PAS 59BAVAY&lt;/Valeur&gt;</v>
      </c>
      <c r="AE300" t="str">
        <f t="shared" si="70"/>
        <v>&lt;Valeur name="valeur"&gt;49.5&lt;/Valeur&gt;</v>
      </c>
      <c r="AF300" t="str">
        <f t="shared" si="71"/>
        <v>&lt;Valeur name="compta"&gt;1&lt;/Valeur&gt;</v>
      </c>
      <c r="AG300" t="str">
        <f t="shared" si="72"/>
        <v>&lt;Valeur name="tvapct"&gt;20&lt;/Valeur&gt;</v>
      </c>
      <c r="AH300" t="str">
        <f t="shared" si="73"/>
        <v>&lt;Valeur name="tva"&gt;8.25&lt;/Valeur&gt;</v>
      </c>
      <c r="AL300" t="str">
        <f t="shared" si="74"/>
        <v>&lt;Insert&gt;&lt;Valeur name="no"&gt;299&lt;/Valeur&gt;&lt;Valeur name="ecriturebanque"&gt;283&lt;/Valeur&gt;&lt;Valeur name="datevaleur"&gt;2019/05/06&lt;/Valeur&gt;&lt;Valeur name="compte"&gt;27&lt;/Valeur&gt;&lt;Valeur name="description"&gt;CB 454106 PIZZA   PAS 59BAVAY&lt;/Valeur&gt;&lt;Valeur name="valeur"&gt;49.5&lt;/Valeur&gt;&lt;Valeur name="compta"&gt;1&lt;/Valeur&gt;&lt;Valeur name="tvapct"&gt;20&lt;/Valeur&gt;&lt;Valeur name="tva"&gt;8.25&lt;/Valeur&gt;&lt;/Insert&gt;</v>
      </c>
    </row>
    <row r="301" spans="1:38" x14ac:dyDescent="0.25">
      <c r="A301">
        <v>284</v>
      </c>
      <c r="B301">
        <f>IF(A301&lt;&gt;"",VLOOKUP(A301,Banque!B:D,3,FALSE),1)</f>
        <v>1</v>
      </c>
      <c r="C301" s="1">
        <v>43591</v>
      </c>
      <c r="D301" t="s">
        <v>253</v>
      </c>
      <c r="E301" t="s">
        <v>9</v>
      </c>
      <c r="G301" s="10">
        <v>73.290000000000006</v>
      </c>
      <c r="I301" s="11">
        <f t="shared" si="60"/>
        <v>12.214999999999996</v>
      </c>
      <c r="K301">
        <v>300</v>
      </c>
      <c r="L301">
        <v>284</v>
      </c>
      <c r="M301" s="16" t="s">
        <v>935</v>
      </c>
      <c r="N301">
        <f>IFERROR(VLOOKUP(D301,tab!A:B,2,FALSE),1)</f>
        <v>13</v>
      </c>
      <c r="O301" t="str">
        <f t="shared" si="61"/>
        <v>CB 548222 DAC AUCHAN  59VALENCIE</v>
      </c>
      <c r="P301" s="14">
        <f t="shared" si="62"/>
        <v>73.290000000000006</v>
      </c>
      <c r="Q301" s="14">
        <f t="shared" si="63"/>
        <v>1</v>
      </c>
      <c r="R301" s="14">
        <v>20</v>
      </c>
      <c r="S301" s="14">
        <f t="shared" si="64"/>
        <v>12.214999999999996</v>
      </c>
      <c r="Z301" t="str">
        <f t="shared" si="65"/>
        <v>&lt;Valeur name="no"&gt;300&lt;/Valeur&gt;</v>
      </c>
      <c r="AA301" t="str">
        <f t="shared" si="66"/>
        <v>&lt;Valeur name="ecriturebanque"&gt;284&lt;/Valeur&gt;</v>
      </c>
      <c r="AB301" t="str">
        <f t="shared" si="67"/>
        <v>&lt;Valeur name="datevaleur"&gt;2019/05/06&lt;/Valeur&gt;</v>
      </c>
      <c r="AC301" t="str">
        <f t="shared" si="68"/>
        <v>&lt;Valeur name="compte"&gt;13&lt;/Valeur&gt;</v>
      </c>
      <c r="AD301" t="str">
        <f t="shared" si="69"/>
        <v>&lt;Valeur name="description"&gt;CB 548222 DAC AUCHAN  59VALENCIE&lt;/Valeur&gt;</v>
      </c>
      <c r="AE301" t="str">
        <f t="shared" si="70"/>
        <v>&lt;Valeur name="valeur"&gt;73.29&lt;/Valeur&gt;</v>
      </c>
      <c r="AF301" t="str">
        <f t="shared" si="71"/>
        <v>&lt;Valeur name="compta"&gt;1&lt;/Valeur&gt;</v>
      </c>
      <c r="AG301" t="str">
        <f t="shared" si="72"/>
        <v>&lt;Valeur name="tvapct"&gt;20&lt;/Valeur&gt;</v>
      </c>
      <c r="AH301" t="str">
        <f t="shared" si="73"/>
        <v>&lt;Valeur name="tva"&gt;12.215&lt;/Valeur&gt;</v>
      </c>
      <c r="AL301" t="str">
        <f t="shared" si="74"/>
        <v>&lt;Insert&gt;&lt;Valeur name="no"&gt;300&lt;/Valeur&gt;&lt;Valeur name="ecriturebanque"&gt;284&lt;/Valeur&gt;&lt;Valeur name="datevaleur"&gt;2019/05/06&lt;/Valeur&gt;&lt;Valeur name="compte"&gt;13&lt;/Valeur&gt;&lt;Valeur name="description"&gt;CB 548222 DAC AUCHAN  59VALENCIE&lt;/Valeur&gt;&lt;Valeur name="valeur"&gt;73.29&lt;/Valeur&gt;&lt;Valeur name="compta"&gt;1&lt;/Valeur&gt;&lt;Valeur name="tvapct"&gt;20&lt;/Valeur&gt;&lt;Valeur name="tva"&gt;12.215&lt;/Valeur&gt;&lt;/Insert&gt;</v>
      </c>
    </row>
    <row r="302" spans="1:38" x14ac:dyDescent="0.25">
      <c r="A302">
        <v>285</v>
      </c>
      <c r="B302">
        <f>IF(A302&lt;&gt;"",VLOOKUP(A302,Banque!B:D,3,FALSE),1)</f>
        <v>1</v>
      </c>
      <c r="C302" s="1">
        <v>43591</v>
      </c>
      <c r="D302" t="s">
        <v>253</v>
      </c>
      <c r="E302" t="s">
        <v>142</v>
      </c>
      <c r="G302" s="10">
        <v>77.36</v>
      </c>
      <c r="I302" s="11">
        <f t="shared" si="60"/>
        <v>12.893333333333331</v>
      </c>
      <c r="K302">
        <v>301</v>
      </c>
      <c r="L302">
        <v>285</v>
      </c>
      <c r="M302" s="16" t="s">
        <v>935</v>
      </c>
      <c r="N302">
        <f>IFERROR(VLOOKUP(D302,tab!A:B,2,FALSE),1)</f>
        <v>13</v>
      </c>
      <c r="O302" t="str">
        <f t="shared" si="61"/>
        <v>CB 454106 DAC SM MATC 59BAVAY</v>
      </c>
      <c r="P302" s="14">
        <f t="shared" si="62"/>
        <v>77.36</v>
      </c>
      <c r="Q302" s="14">
        <f t="shared" si="63"/>
        <v>1</v>
      </c>
      <c r="R302" s="14">
        <v>20</v>
      </c>
      <c r="S302" s="14">
        <f t="shared" si="64"/>
        <v>12.893333333333331</v>
      </c>
      <c r="Z302" t="str">
        <f t="shared" si="65"/>
        <v>&lt;Valeur name="no"&gt;301&lt;/Valeur&gt;</v>
      </c>
      <c r="AA302" t="str">
        <f t="shared" si="66"/>
        <v>&lt;Valeur name="ecriturebanque"&gt;285&lt;/Valeur&gt;</v>
      </c>
      <c r="AB302" t="str">
        <f t="shared" si="67"/>
        <v>&lt;Valeur name="datevaleur"&gt;2019/05/06&lt;/Valeur&gt;</v>
      </c>
      <c r="AC302" t="str">
        <f t="shared" si="68"/>
        <v>&lt;Valeur name="compte"&gt;13&lt;/Valeur&gt;</v>
      </c>
      <c r="AD302" t="str">
        <f t="shared" si="69"/>
        <v>&lt;Valeur name="description"&gt;CB 454106 DAC SM MATC 59BAVAY&lt;/Valeur&gt;</v>
      </c>
      <c r="AE302" t="str">
        <f t="shared" si="70"/>
        <v>&lt;Valeur name="valeur"&gt;77.36&lt;/Valeur&gt;</v>
      </c>
      <c r="AF302" t="str">
        <f t="shared" si="71"/>
        <v>&lt;Valeur name="compta"&gt;1&lt;/Valeur&gt;</v>
      </c>
      <c r="AG302" t="str">
        <f t="shared" si="72"/>
        <v>&lt;Valeur name="tvapct"&gt;20&lt;/Valeur&gt;</v>
      </c>
      <c r="AH302" t="str">
        <f t="shared" si="73"/>
        <v>&lt;Valeur name="tva"&gt;12.8933333333333&lt;/Valeur&gt;</v>
      </c>
      <c r="AL302" t="str">
        <f t="shared" si="74"/>
        <v>&lt;Insert&gt;&lt;Valeur name="no"&gt;301&lt;/Valeur&gt;&lt;Valeur name="ecriturebanque"&gt;285&lt;/Valeur&gt;&lt;Valeur name="datevaleur"&gt;2019/05/06&lt;/Valeur&gt;&lt;Valeur name="compte"&gt;13&lt;/Valeur&gt;&lt;Valeur name="description"&gt;CB 454106 DAC SM MATC 59BAVAY&lt;/Valeur&gt;&lt;Valeur name="valeur"&gt;77.36&lt;/Valeur&gt;&lt;Valeur name="compta"&gt;1&lt;/Valeur&gt;&lt;Valeur name="tvapct"&gt;20&lt;/Valeur&gt;&lt;Valeur name="tva"&gt;12.8933333333333&lt;/Valeur&gt;&lt;/Insert&gt;</v>
      </c>
    </row>
    <row r="303" spans="1:38" x14ac:dyDescent="0.25">
      <c r="A303">
        <v>286</v>
      </c>
      <c r="B303">
        <f>IF(A303&lt;&gt;"",VLOOKUP(A303,Banque!B:D,3,FALSE),1)</f>
        <v>1</v>
      </c>
      <c r="C303" s="1">
        <v>43591</v>
      </c>
      <c r="D303" t="s">
        <v>257</v>
      </c>
      <c r="E303" t="s">
        <v>31</v>
      </c>
      <c r="G303" s="10">
        <v>0.21</v>
      </c>
      <c r="I303" s="11">
        <f t="shared" si="60"/>
        <v>3.5000000000000003E-2</v>
      </c>
      <c r="K303">
        <v>302</v>
      </c>
      <c r="L303">
        <v>286</v>
      </c>
      <c r="M303" s="16" t="s">
        <v>935</v>
      </c>
      <c r="N303">
        <f>IFERROR(VLOOKUP(D303,tab!A:B,2,FALSE),1)</f>
        <v>18</v>
      </c>
      <c r="O303" t="str">
        <f t="shared" si="61"/>
        <v>FRAIS E-VIR SEPA VERS EEE</v>
      </c>
      <c r="P303" s="14">
        <f t="shared" si="62"/>
        <v>0.21</v>
      </c>
      <c r="Q303" s="14">
        <f t="shared" si="63"/>
        <v>1</v>
      </c>
      <c r="R303" s="14">
        <v>20</v>
      </c>
      <c r="S303" s="14">
        <f t="shared" si="64"/>
        <v>3.5000000000000003E-2</v>
      </c>
      <c r="Z303" t="str">
        <f t="shared" si="65"/>
        <v>&lt;Valeur name="no"&gt;302&lt;/Valeur&gt;</v>
      </c>
      <c r="AA303" t="str">
        <f t="shared" si="66"/>
        <v>&lt;Valeur name="ecriturebanque"&gt;286&lt;/Valeur&gt;</v>
      </c>
      <c r="AB303" t="str">
        <f t="shared" si="67"/>
        <v>&lt;Valeur name="datevaleur"&gt;2019/05/06&lt;/Valeur&gt;</v>
      </c>
      <c r="AC303" t="str">
        <f t="shared" si="68"/>
        <v>&lt;Valeur name="compte"&gt;18&lt;/Valeur&gt;</v>
      </c>
      <c r="AD303" t="str">
        <f t="shared" si="69"/>
        <v>&lt;Valeur name="description"&gt;FRAIS E-VIR SEPA VERS EEE&lt;/Valeur&gt;</v>
      </c>
      <c r="AE303" t="str">
        <f t="shared" si="70"/>
        <v>&lt;Valeur name="valeur"&gt;0.21&lt;/Valeur&gt;</v>
      </c>
      <c r="AF303" t="str">
        <f t="shared" si="71"/>
        <v>&lt;Valeur name="compta"&gt;1&lt;/Valeur&gt;</v>
      </c>
      <c r="AG303" t="str">
        <f t="shared" si="72"/>
        <v>&lt;Valeur name="tvapct"&gt;20&lt;/Valeur&gt;</v>
      </c>
      <c r="AH303" t="str">
        <f t="shared" si="73"/>
        <v>&lt;Valeur name="tva"&gt;0.035&lt;/Valeur&gt;</v>
      </c>
      <c r="AL303" t="str">
        <f t="shared" si="74"/>
        <v>&lt;Insert&gt;&lt;Valeur name="no"&gt;302&lt;/Valeur&gt;&lt;Valeur name="ecriturebanque"&gt;286&lt;/Valeur&gt;&lt;Valeur name="datevaleur"&gt;2019/05/06&lt;/Valeur&gt;&lt;Valeur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304" spans="1:38" x14ac:dyDescent="0.25">
      <c r="A304">
        <v>287</v>
      </c>
      <c r="B304">
        <f>IF(A304&lt;&gt;"",VLOOKUP(A304,Banque!B:D,3,FALSE),1)</f>
        <v>1</v>
      </c>
      <c r="C304" s="1">
        <v>43591</v>
      </c>
      <c r="D304" t="s">
        <v>257</v>
      </c>
      <c r="E304" t="s">
        <v>31</v>
      </c>
      <c r="G304" s="10">
        <v>0.21</v>
      </c>
      <c r="I304" s="11">
        <f t="shared" si="60"/>
        <v>3.5000000000000003E-2</v>
      </c>
      <c r="K304">
        <v>303</v>
      </c>
      <c r="L304">
        <v>287</v>
      </c>
      <c r="M304" s="16" t="s">
        <v>935</v>
      </c>
      <c r="N304">
        <f>IFERROR(VLOOKUP(D304,tab!A:B,2,FALSE),1)</f>
        <v>18</v>
      </c>
      <c r="O304" t="str">
        <f t="shared" si="61"/>
        <v>FRAIS E-VIR SEPA VERS EEE</v>
      </c>
      <c r="P304" s="14">
        <f t="shared" si="62"/>
        <v>0.21</v>
      </c>
      <c r="Q304" s="14">
        <f t="shared" si="63"/>
        <v>1</v>
      </c>
      <c r="R304" s="14">
        <v>20</v>
      </c>
      <c r="S304" s="14">
        <f t="shared" si="64"/>
        <v>3.5000000000000003E-2</v>
      </c>
      <c r="Z304" t="str">
        <f t="shared" si="65"/>
        <v>&lt;Valeur name="no"&gt;303&lt;/Valeur&gt;</v>
      </c>
      <c r="AA304" t="str">
        <f t="shared" si="66"/>
        <v>&lt;Valeur name="ecriturebanque"&gt;287&lt;/Valeur&gt;</v>
      </c>
      <c r="AB304" t="str">
        <f t="shared" si="67"/>
        <v>&lt;Valeur name="datevaleur"&gt;2019/05/06&lt;/Valeur&gt;</v>
      </c>
      <c r="AC304" t="str">
        <f t="shared" si="68"/>
        <v>&lt;Valeur name="compte"&gt;18&lt;/Valeur&gt;</v>
      </c>
      <c r="AD304" t="str">
        <f t="shared" si="69"/>
        <v>&lt;Valeur name="description"&gt;FRAIS E-VIR SEPA VERS EEE&lt;/Valeur&gt;</v>
      </c>
      <c r="AE304" t="str">
        <f t="shared" si="70"/>
        <v>&lt;Valeur name="valeur"&gt;0.21&lt;/Valeur&gt;</v>
      </c>
      <c r="AF304" t="str">
        <f t="shared" si="71"/>
        <v>&lt;Valeur name="compta"&gt;1&lt;/Valeur&gt;</v>
      </c>
      <c r="AG304" t="str">
        <f t="shared" si="72"/>
        <v>&lt;Valeur name="tvapct"&gt;20&lt;/Valeur&gt;</v>
      </c>
      <c r="AH304" t="str">
        <f t="shared" si="73"/>
        <v>&lt;Valeur name="tva"&gt;0.035&lt;/Valeur&gt;</v>
      </c>
      <c r="AL304" t="str">
        <f t="shared" si="74"/>
        <v>&lt;Insert&gt;&lt;Valeur name="no"&gt;303&lt;/Valeur&gt;&lt;Valeur name="ecriturebanque"&gt;287&lt;/Valeur&gt;&lt;Valeur name="datevaleur"&gt;2019/05/06&lt;/Valeur&gt;&lt;Valeur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305" spans="1:38" x14ac:dyDescent="0.25">
      <c r="A305">
        <v>288</v>
      </c>
      <c r="B305">
        <f>IF(A305&lt;&gt;"",VLOOKUP(A305,Banque!B:D,3,FALSE),1)</f>
        <v>1</v>
      </c>
      <c r="C305" s="1">
        <v>43591</v>
      </c>
      <c r="D305" t="s">
        <v>257</v>
      </c>
      <c r="E305" t="s">
        <v>31</v>
      </c>
      <c r="G305" s="10">
        <v>0.21</v>
      </c>
      <c r="I305" s="11">
        <f t="shared" si="60"/>
        <v>3.5000000000000003E-2</v>
      </c>
      <c r="K305">
        <v>304</v>
      </c>
      <c r="L305">
        <v>288</v>
      </c>
      <c r="M305" s="16" t="s">
        <v>935</v>
      </c>
      <c r="N305">
        <f>IFERROR(VLOOKUP(D305,tab!A:B,2,FALSE),1)</f>
        <v>18</v>
      </c>
      <c r="O305" t="str">
        <f t="shared" si="61"/>
        <v>FRAIS E-VIR SEPA VERS EEE</v>
      </c>
      <c r="P305" s="14">
        <f t="shared" si="62"/>
        <v>0.21</v>
      </c>
      <c r="Q305" s="14">
        <f t="shared" si="63"/>
        <v>1</v>
      </c>
      <c r="R305" s="14">
        <v>20</v>
      </c>
      <c r="S305" s="14">
        <f t="shared" si="64"/>
        <v>3.5000000000000003E-2</v>
      </c>
      <c r="Z305" t="str">
        <f t="shared" si="65"/>
        <v>&lt;Valeur name="no"&gt;304&lt;/Valeur&gt;</v>
      </c>
      <c r="AA305" t="str">
        <f t="shared" si="66"/>
        <v>&lt;Valeur name="ecriturebanque"&gt;288&lt;/Valeur&gt;</v>
      </c>
      <c r="AB305" t="str">
        <f t="shared" si="67"/>
        <v>&lt;Valeur name="datevaleur"&gt;2019/05/06&lt;/Valeur&gt;</v>
      </c>
      <c r="AC305" t="str">
        <f t="shared" si="68"/>
        <v>&lt;Valeur name="compte"&gt;18&lt;/Valeur&gt;</v>
      </c>
      <c r="AD305" t="str">
        <f t="shared" si="69"/>
        <v>&lt;Valeur name="description"&gt;FRAIS E-VIR SEPA VERS EEE&lt;/Valeur&gt;</v>
      </c>
      <c r="AE305" t="str">
        <f t="shared" si="70"/>
        <v>&lt;Valeur name="valeur"&gt;0.21&lt;/Valeur&gt;</v>
      </c>
      <c r="AF305" t="str">
        <f t="shared" si="71"/>
        <v>&lt;Valeur name="compta"&gt;1&lt;/Valeur&gt;</v>
      </c>
      <c r="AG305" t="str">
        <f t="shared" si="72"/>
        <v>&lt;Valeur name="tvapct"&gt;20&lt;/Valeur&gt;</v>
      </c>
      <c r="AH305" t="str">
        <f t="shared" si="73"/>
        <v>&lt;Valeur name="tva"&gt;0.035&lt;/Valeur&gt;</v>
      </c>
      <c r="AL305" t="str">
        <f t="shared" si="74"/>
        <v>&lt;Insert&gt;&lt;Valeur name="no"&gt;304&lt;/Valeur&gt;&lt;Valeur name="ecriturebanque"&gt;288&lt;/Valeur&gt;&lt;Valeur name="datevaleur"&gt;2019/05/06&lt;/Valeur&gt;&lt;Valeur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306" spans="1:38" x14ac:dyDescent="0.25">
      <c r="A306">
        <v>289</v>
      </c>
      <c r="B306">
        <f>IF(A306&lt;&gt;"",VLOOKUP(A306,Banque!B:D,3,FALSE),1)</f>
        <v>0</v>
      </c>
      <c r="C306" s="1">
        <v>43592</v>
      </c>
      <c r="E306" t="s">
        <v>740</v>
      </c>
      <c r="G306" s="10">
        <v>273.58999999999997</v>
      </c>
      <c r="I306" s="11">
        <f t="shared" si="60"/>
        <v>45.598333333333329</v>
      </c>
      <c r="K306">
        <v>305</v>
      </c>
      <c r="L306">
        <v>289</v>
      </c>
      <c r="M306" s="16" t="s">
        <v>912</v>
      </c>
      <c r="N306">
        <f>IFERROR(VLOOKUP(D306,tab!A:B,2,FALSE),1)</f>
        <v>1</v>
      </c>
      <c r="O306" t="str">
        <f t="shared" si="61"/>
        <v>RELEVE LCR DU  290419  CONFORME</v>
      </c>
      <c r="P306" s="14">
        <f t="shared" si="62"/>
        <v>273.58999999999997</v>
      </c>
      <c r="Q306" s="14">
        <f t="shared" si="63"/>
        <v>0</v>
      </c>
      <c r="R306" s="14">
        <v>20</v>
      </c>
      <c r="S306" s="14">
        <f t="shared" si="64"/>
        <v>45.598333333333329</v>
      </c>
      <c r="Z306" t="str">
        <f t="shared" si="65"/>
        <v>&lt;Valeur name="no"&gt;305&lt;/Valeur&gt;</v>
      </c>
      <c r="AA306" t="str">
        <f t="shared" si="66"/>
        <v>&lt;Valeur name="ecriturebanque"&gt;289&lt;/Valeur&gt;</v>
      </c>
      <c r="AB306" t="str">
        <f t="shared" si="67"/>
        <v>&lt;Valeur name="datevaleur"&gt;2019/05/07&lt;/Valeur&gt;</v>
      </c>
      <c r="AC306" t="str">
        <f t="shared" si="68"/>
        <v>&lt;Valeur name="compte"&gt;1&lt;/Valeur&gt;</v>
      </c>
      <c r="AD306" t="str">
        <f t="shared" si="69"/>
        <v>&lt;Valeur name="description"&gt;RELEVE LCR DU  290419  CONFORME&lt;/Valeur&gt;</v>
      </c>
      <c r="AE306" t="str">
        <f t="shared" si="70"/>
        <v>&lt;Valeur name="valeur"&gt;273.59&lt;/Valeur&gt;</v>
      </c>
      <c r="AF306" t="str">
        <f t="shared" si="71"/>
        <v>&lt;Valeur name="compta"&gt;0&lt;/Valeur&gt;</v>
      </c>
      <c r="AG306" t="str">
        <f t="shared" si="72"/>
        <v>&lt;Valeur name="tvapct"&gt;20&lt;/Valeur&gt;</v>
      </c>
      <c r="AH306" t="str">
        <f t="shared" si="73"/>
        <v>&lt;Valeur name="tva"&gt;45.5983333333333&lt;/Valeur&gt;</v>
      </c>
      <c r="AL306" t="str">
        <f t="shared" si="74"/>
        <v>&lt;Insert&gt;&lt;Valeur name="no"&gt;305&lt;/Valeur&gt;&lt;Valeur name="ecriturebanque"&gt;289&lt;/Valeur&gt;&lt;Valeur name="datevaleur"&gt;2019/05/07&lt;/Valeur&gt;&lt;Valeur name="compte"&gt;1&lt;/Valeur&gt;&lt;Valeur name="description"&gt;RELEVE LCR DU  290419  CONFORME&lt;/Valeur&gt;&lt;Valeur name="valeur"&gt;273.59&lt;/Valeur&gt;&lt;Valeur name="compta"&gt;0&lt;/Valeur&gt;&lt;Valeur name="tvapct"&gt;20&lt;/Valeur&gt;&lt;Valeur name="tva"&gt;45.5983333333333&lt;/Valeur&gt;&lt;/Insert&gt;</v>
      </c>
    </row>
    <row r="307" spans="1:38" x14ac:dyDescent="0.25">
      <c r="A307">
        <v>290</v>
      </c>
      <c r="B307">
        <f>IF(A307&lt;&gt;"",VLOOKUP(A307,Banque!B:D,3,FALSE),1)</f>
        <v>1</v>
      </c>
      <c r="C307" s="1">
        <v>43592</v>
      </c>
      <c r="D307" t="s">
        <v>373</v>
      </c>
      <c r="E307" t="s">
        <v>742</v>
      </c>
      <c r="G307" s="10">
        <v>65.7</v>
      </c>
      <c r="I307" s="11">
        <f t="shared" si="60"/>
        <v>10.949999999999996</v>
      </c>
      <c r="K307">
        <v>306</v>
      </c>
      <c r="L307">
        <v>290</v>
      </c>
      <c r="M307" s="16" t="s">
        <v>912</v>
      </c>
      <c r="N307">
        <f>IFERROR(VLOOKUP(D307,tab!A:B,2,FALSE),1)</f>
        <v>38</v>
      </c>
      <c r="O307" t="str">
        <f t="shared" si="61"/>
        <v>CB 454106 BRICO DEPOT 59AULNOY L</v>
      </c>
      <c r="P307" s="14">
        <f t="shared" si="62"/>
        <v>65.7</v>
      </c>
      <c r="Q307" s="14">
        <f t="shared" si="63"/>
        <v>1</v>
      </c>
      <c r="R307" s="14">
        <v>20</v>
      </c>
      <c r="S307" s="14">
        <f t="shared" si="64"/>
        <v>10.949999999999996</v>
      </c>
      <c r="Z307" t="str">
        <f t="shared" si="65"/>
        <v>&lt;Valeur name="no"&gt;306&lt;/Valeur&gt;</v>
      </c>
      <c r="AA307" t="str">
        <f t="shared" si="66"/>
        <v>&lt;Valeur name="ecriturebanque"&gt;290&lt;/Valeur&gt;</v>
      </c>
      <c r="AB307" t="str">
        <f t="shared" si="67"/>
        <v>&lt;Valeur name="datevaleur"&gt;2019/05/07&lt;/Valeur&gt;</v>
      </c>
      <c r="AC307" t="str">
        <f t="shared" si="68"/>
        <v>&lt;Valeur name="compte"&gt;38&lt;/Valeur&gt;</v>
      </c>
      <c r="AD307" t="str">
        <f t="shared" si="69"/>
        <v>&lt;Valeur name="description"&gt;CB 454106 BRICO DEPOT 59AULNOY L&lt;/Valeur&gt;</v>
      </c>
      <c r="AE307" t="str">
        <f t="shared" si="70"/>
        <v>&lt;Valeur name="valeur"&gt;65.7&lt;/Valeur&gt;</v>
      </c>
      <c r="AF307" t="str">
        <f t="shared" si="71"/>
        <v>&lt;Valeur name="compta"&gt;1&lt;/Valeur&gt;</v>
      </c>
      <c r="AG307" t="str">
        <f t="shared" si="72"/>
        <v>&lt;Valeur name="tvapct"&gt;20&lt;/Valeur&gt;</v>
      </c>
      <c r="AH307" t="str">
        <f t="shared" si="73"/>
        <v>&lt;Valeur name="tva"&gt;10.95&lt;/Valeur&gt;</v>
      </c>
      <c r="AL307" t="str">
        <f t="shared" si="74"/>
        <v>&lt;Insert&gt;&lt;Valeur name="no"&gt;306&lt;/Valeur&gt;&lt;Valeur name="ecriturebanque"&gt;290&lt;/Valeur&gt;&lt;Valeur name="datevaleur"&gt;2019/05/07&lt;/Valeur&gt;&lt;Valeur name="compte"&gt;38&lt;/Valeur&gt;&lt;Valeur name="description"&gt;CB 454106 BRICO DEPOT 59AULNOY L&lt;/Valeur&gt;&lt;Valeur name="valeur"&gt;65.7&lt;/Valeur&gt;&lt;Valeur name="compta"&gt;1&lt;/Valeur&gt;&lt;Valeur name="tvapct"&gt;20&lt;/Valeur&gt;&lt;Valeur name="tva"&gt;10.95&lt;/Valeur&gt;&lt;/Insert&gt;</v>
      </c>
    </row>
    <row r="308" spans="1:38" x14ac:dyDescent="0.25">
      <c r="A308">
        <v>291</v>
      </c>
      <c r="B308">
        <f>IF(A308&lt;&gt;"",VLOOKUP(A308,Banque!B:D,3,FALSE),1)</f>
        <v>1</v>
      </c>
      <c r="C308" s="1">
        <v>43592</v>
      </c>
      <c r="D308" t="s">
        <v>254</v>
      </c>
      <c r="E308" t="s">
        <v>7</v>
      </c>
      <c r="G308" s="10">
        <v>44.1</v>
      </c>
      <c r="I308" s="11">
        <f t="shared" si="60"/>
        <v>7.3500000000000014</v>
      </c>
      <c r="K308">
        <v>307</v>
      </c>
      <c r="L308">
        <v>291</v>
      </c>
      <c r="M308" s="16" t="s">
        <v>912</v>
      </c>
      <c r="N308">
        <f>IFERROR(VLOOKUP(D308,tab!A:B,2,FALSE),1)</f>
        <v>27</v>
      </c>
      <c r="O308" t="str">
        <f t="shared" si="61"/>
        <v>CB 454106 SNACK THIER 59BAVAY</v>
      </c>
      <c r="P308" s="14">
        <f t="shared" si="62"/>
        <v>44.1</v>
      </c>
      <c r="Q308" s="14">
        <f t="shared" si="63"/>
        <v>1</v>
      </c>
      <c r="R308" s="14">
        <v>20</v>
      </c>
      <c r="S308" s="14">
        <f t="shared" si="64"/>
        <v>7.3500000000000014</v>
      </c>
      <c r="Z308" t="str">
        <f t="shared" si="65"/>
        <v>&lt;Valeur name="no"&gt;307&lt;/Valeur&gt;</v>
      </c>
      <c r="AA308" t="str">
        <f t="shared" si="66"/>
        <v>&lt;Valeur name="ecriturebanque"&gt;291&lt;/Valeur&gt;</v>
      </c>
      <c r="AB308" t="str">
        <f t="shared" si="67"/>
        <v>&lt;Valeur name="datevaleur"&gt;2019/05/07&lt;/Valeur&gt;</v>
      </c>
      <c r="AC308" t="str">
        <f t="shared" si="68"/>
        <v>&lt;Valeur name="compte"&gt;27&lt;/Valeur&gt;</v>
      </c>
      <c r="AD308" t="str">
        <f t="shared" si="69"/>
        <v>&lt;Valeur name="description"&gt;CB 454106 SNACK THIER 59BAVAY&lt;/Valeur&gt;</v>
      </c>
      <c r="AE308" t="str">
        <f t="shared" si="70"/>
        <v>&lt;Valeur name="valeur"&gt;44.1&lt;/Valeur&gt;</v>
      </c>
      <c r="AF308" t="str">
        <f t="shared" si="71"/>
        <v>&lt;Valeur name="compta"&gt;1&lt;/Valeur&gt;</v>
      </c>
      <c r="AG308" t="str">
        <f t="shared" si="72"/>
        <v>&lt;Valeur name="tvapct"&gt;20&lt;/Valeur&gt;</v>
      </c>
      <c r="AH308" t="str">
        <f t="shared" si="73"/>
        <v>&lt;Valeur name="tva"&gt;7.35&lt;/Valeur&gt;</v>
      </c>
      <c r="AL308" t="str">
        <f t="shared" si="74"/>
        <v>&lt;Insert&gt;&lt;Valeur name="no"&gt;307&lt;/Valeur&gt;&lt;Valeur name="ecriturebanque"&gt;291&lt;/Valeur&gt;&lt;Valeur name="datevaleur"&gt;2019/05/07&lt;/Valeur&gt;&lt;Valeur name="compte"&gt;27&lt;/Valeur&gt;&lt;Valeur name="description"&gt;CB 454106 SNACK THIER 59BAVAY&lt;/Valeur&gt;&lt;Valeur name="valeur"&gt;44.1&lt;/Valeur&gt;&lt;Valeur name="compta"&gt;1&lt;/Valeur&gt;&lt;Valeur name="tvapct"&gt;20&lt;/Valeur&gt;&lt;Valeur name="tva"&gt;7.35&lt;/Valeur&gt;&lt;/Insert&gt;</v>
      </c>
    </row>
    <row r="309" spans="1:38" x14ac:dyDescent="0.25">
      <c r="A309">
        <v>292</v>
      </c>
      <c r="B309">
        <f>IF(A309&lt;&gt;"",VLOOKUP(A309,Banque!B:D,3,FALSE),1)</f>
        <v>0</v>
      </c>
      <c r="C309" s="1">
        <v>43593</v>
      </c>
      <c r="E309" t="s">
        <v>487</v>
      </c>
      <c r="H309" s="10">
        <v>1560</v>
      </c>
      <c r="I309" s="11">
        <f t="shared" si="60"/>
        <v>-260</v>
      </c>
      <c r="K309">
        <v>308</v>
      </c>
      <c r="L309">
        <v>292</v>
      </c>
      <c r="M309" s="16" t="s">
        <v>981</v>
      </c>
      <c r="N309">
        <f>IFERROR(VLOOKUP(D309,tab!A:B,2,FALSE),1)</f>
        <v>1</v>
      </c>
      <c r="O309" t="str">
        <f t="shared" si="61"/>
        <v>VIR MOUCHIE CONCEPT BOIS</v>
      </c>
      <c r="P309" s="14">
        <f t="shared" si="62"/>
        <v>1560</v>
      </c>
      <c r="Q309" s="14">
        <f t="shared" si="63"/>
        <v>0</v>
      </c>
      <c r="R309" s="14">
        <v>20</v>
      </c>
      <c r="S309" s="14">
        <f t="shared" si="64"/>
        <v>-260</v>
      </c>
      <c r="Z309" t="str">
        <f t="shared" si="65"/>
        <v>&lt;Valeur name="no"&gt;308&lt;/Valeur&gt;</v>
      </c>
      <c r="AA309" t="str">
        <f t="shared" si="66"/>
        <v>&lt;Valeur name="ecriturebanque"&gt;292&lt;/Valeur&gt;</v>
      </c>
      <c r="AB309" t="str">
        <f t="shared" si="67"/>
        <v>&lt;Valeur name="datevaleur"&gt;2019/05/08&lt;/Valeur&gt;</v>
      </c>
      <c r="AC309" t="str">
        <f t="shared" si="68"/>
        <v>&lt;Valeur name="compte"&gt;1&lt;/Valeur&gt;</v>
      </c>
      <c r="AD309" t="str">
        <f t="shared" si="69"/>
        <v>&lt;Valeur name="description"&gt;VIR MOUCHIE CONCEPT BOIS&lt;/Valeur&gt;</v>
      </c>
      <c r="AE309" t="str">
        <f t="shared" si="70"/>
        <v>&lt;Valeur name="valeur"&gt;1560&lt;/Valeur&gt;</v>
      </c>
      <c r="AF309" t="str">
        <f t="shared" si="71"/>
        <v>&lt;Valeur name="compta"&gt;0&lt;/Valeur&gt;</v>
      </c>
      <c r="AG309" t="str">
        <f t="shared" si="72"/>
        <v>&lt;Valeur name="tvapct"&gt;20&lt;/Valeur&gt;</v>
      </c>
      <c r="AH309" t="str">
        <f t="shared" si="73"/>
        <v>&lt;Valeur name="tva"&gt;-260&lt;/Valeur&gt;</v>
      </c>
      <c r="AL309" t="str">
        <f t="shared" si="74"/>
        <v>&lt;Insert&gt;&lt;Valeur name="no"&gt;308&lt;/Valeur&gt;&lt;Valeur name="ecriturebanque"&gt;292&lt;/Valeur&gt;&lt;Valeur name="datevaleur"&gt;2019/05/08&lt;/Valeur&gt;&lt;Valeur name="compte"&gt;1&lt;/Valeur&gt;&lt;Valeur name="description"&gt;VIR MOUCHIE CONCEPT BOIS&lt;/Valeur&gt;&lt;Valeur name="valeur"&gt;1560&lt;/Valeur&gt;&lt;Valeur name="compta"&gt;0&lt;/Valeur&gt;&lt;Valeur name="tvapct"&gt;20&lt;/Valeur&gt;&lt;Valeur name="tva"&gt;-260&lt;/Valeur&gt;&lt;/Insert&gt;</v>
      </c>
    </row>
    <row r="310" spans="1:38" x14ac:dyDescent="0.25">
      <c r="A310">
        <v>293</v>
      </c>
      <c r="B310">
        <f>IF(A310&lt;&gt;"",VLOOKUP(A310,Banque!B:D,3,FALSE),1)</f>
        <v>0</v>
      </c>
      <c r="C310" s="1">
        <v>43595</v>
      </c>
      <c r="E310" t="s">
        <v>746</v>
      </c>
      <c r="G310" s="10">
        <v>13.33</v>
      </c>
      <c r="I310" s="11">
        <f t="shared" si="60"/>
        <v>2.2216666666666658</v>
      </c>
      <c r="K310">
        <v>309</v>
      </c>
      <c r="L310">
        <v>293</v>
      </c>
      <c r="M310" s="16" t="s">
        <v>910</v>
      </c>
      <c r="N310">
        <f>IFERROR(VLOOKUP(D310,tab!A:B,2,FALSE),1)</f>
        <v>1</v>
      </c>
      <c r="O310" t="str">
        <f t="shared" si="61"/>
        <v>RELEVE LCR DU  030519  CONFORME</v>
      </c>
      <c r="P310" s="14">
        <f t="shared" si="62"/>
        <v>13.33</v>
      </c>
      <c r="Q310" s="14">
        <f t="shared" si="63"/>
        <v>0</v>
      </c>
      <c r="R310" s="14">
        <v>20</v>
      </c>
      <c r="S310" s="14">
        <f t="shared" si="64"/>
        <v>2.2216666666666658</v>
      </c>
      <c r="Z310" t="str">
        <f t="shared" si="65"/>
        <v>&lt;Valeur name="no"&gt;309&lt;/Valeur&gt;</v>
      </c>
      <c r="AA310" t="str">
        <f t="shared" si="66"/>
        <v>&lt;Valeur name="ecriturebanque"&gt;293&lt;/Valeur&gt;</v>
      </c>
      <c r="AB310" t="str">
        <f t="shared" si="67"/>
        <v>&lt;Valeur name="datevaleur"&gt;2019/05/10&lt;/Valeur&gt;</v>
      </c>
      <c r="AC310" t="str">
        <f t="shared" si="68"/>
        <v>&lt;Valeur name="compte"&gt;1&lt;/Valeur&gt;</v>
      </c>
      <c r="AD310" t="str">
        <f t="shared" si="69"/>
        <v>&lt;Valeur name="description"&gt;RELEVE LCR DU  030519  CONFORME&lt;/Valeur&gt;</v>
      </c>
      <c r="AE310" t="str">
        <f t="shared" si="70"/>
        <v>&lt;Valeur name="valeur"&gt;13.33&lt;/Valeur&gt;</v>
      </c>
      <c r="AF310" t="str">
        <f t="shared" si="71"/>
        <v>&lt;Valeur name="compta"&gt;0&lt;/Valeur&gt;</v>
      </c>
      <c r="AG310" t="str">
        <f t="shared" si="72"/>
        <v>&lt;Valeur name="tvapct"&gt;20&lt;/Valeur&gt;</v>
      </c>
      <c r="AH310" t="str">
        <f t="shared" si="73"/>
        <v>&lt;Valeur name="tva"&gt;2.22166666666667&lt;/Valeur&gt;</v>
      </c>
      <c r="AL310" t="str">
        <f t="shared" si="74"/>
        <v>&lt;Insert&gt;&lt;Valeur name="no"&gt;309&lt;/Valeur&gt;&lt;Valeur name="ecriturebanque"&gt;293&lt;/Valeur&gt;&lt;Valeur name="datevaleur"&gt;2019/05/10&lt;/Valeur&gt;&lt;Valeur name="compte"&gt;1&lt;/Valeur&gt;&lt;Valeur name="description"&gt;RELEVE LCR DU  030519  CONFORME&lt;/Valeur&gt;&lt;Valeur name="valeur"&gt;13.33&lt;/Valeur&gt;&lt;Valeur name="compta"&gt;0&lt;/Valeur&gt;&lt;Valeur name="tvapct"&gt;20&lt;/Valeur&gt;&lt;Valeur name="tva"&gt;2.22166666666667&lt;/Valeur&gt;&lt;/Insert&gt;</v>
      </c>
    </row>
    <row r="311" spans="1:38" x14ac:dyDescent="0.25">
      <c r="A311">
        <v>294</v>
      </c>
      <c r="B311">
        <f>IF(A311&lt;&gt;"",VLOOKUP(A311,Banque!B:D,3,FALSE),1)</f>
        <v>1</v>
      </c>
      <c r="C311" s="1">
        <v>43595</v>
      </c>
      <c r="D311" t="s">
        <v>254</v>
      </c>
      <c r="E311" t="s">
        <v>647</v>
      </c>
      <c r="G311" s="10">
        <v>21.8</v>
      </c>
      <c r="I311" s="11">
        <f t="shared" si="60"/>
        <v>3.6333333333333329</v>
      </c>
      <c r="K311">
        <v>310</v>
      </c>
      <c r="L311">
        <v>294</v>
      </c>
      <c r="M311" s="16" t="s">
        <v>910</v>
      </c>
      <c r="N311">
        <f>IFERROR(VLOOKUP(D311,tab!A:B,2,FALSE),1)</f>
        <v>27</v>
      </c>
      <c r="O311" t="str">
        <f t="shared" si="61"/>
        <v>CB 454106 BOUL PROUVY 59PROUVY</v>
      </c>
      <c r="P311" s="14">
        <f t="shared" si="62"/>
        <v>21.8</v>
      </c>
      <c r="Q311" s="14">
        <f t="shared" si="63"/>
        <v>1</v>
      </c>
      <c r="R311" s="14">
        <v>20</v>
      </c>
      <c r="S311" s="14">
        <f t="shared" si="64"/>
        <v>3.6333333333333329</v>
      </c>
      <c r="Z311" t="str">
        <f t="shared" si="65"/>
        <v>&lt;Valeur name="no"&gt;310&lt;/Valeur&gt;</v>
      </c>
      <c r="AA311" t="str">
        <f t="shared" si="66"/>
        <v>&lt;Valeur name="ecriturebanque"&gt;294&lt;/Valeur&gt;</v>
      </c>
      <c r="AB311" t="str">
        <f t="shared" si="67"/>
        <v>&lt;Valeur name="datevaleur"&gt;2019/05/10&lt;/Valeur&gt;</v>
      </c>
      <c r="AC311" t="str">
        <f t="shared" si="68"/>
        <v>&lt;Valeur name="compte"&gt;27&lt;/Valeur&gt;</v>
      </c>
      <c r="AD311" t="str">
        <f t="shared" si="69"/>
        <v>&lt;Valeur name="description"&gt;CB 454106 BOUL PROUVY 59PROUVY&lt;/Valeur&gt;</v>
      </c>
      <c r="AE311" t="str">
        <f t="shared" si="70"/>
        <v>&lt;Valeur name="valeur"&gt;21.8&lt;/Valeur&gt;</v>
      </c>
      <c r="AF311" t="str">
        <f t="shared" si="71"/>
        <v>&lt;Valeur name="compta"&gt;1&lt;/Valeur&gt;</v>
      </c>
      <c r="AG311" t="str">
        <f t="shared" si="72"/>
        <v>&lt;Valeur name="tvapct"&gt;20&lt;/Valeur&gt;</v>
      </c>
      <c r="AH311" t="str">
        <f t="shared" si="73"/>
        <v>&lt;Valeur name="tva"&gt;3.63333333333333&lt;/Valeur&gt;</v>
      </c>
      <c r="AL311" t="str">
        <f t="shared" si="74"/>
        <v>&lt;Insert&gt;&lt;Valeur name="no"&gt;310&lt;/Valeur&gt;&lt;Valeur name="ecriturebanque"&gt;294&lt;/Valeur&gt;&lt;Valeur name="datevaleur"&gt;2019/05/10&lt;/Valeur&gt;&lt;Valeur name="compte"&gt;27&lt;/Valeur&gt;&lt;Valeur name="description"&gt;CB 454106 BOUL PROUVY 59PROUVY&lt;/Valeur&gt;&lt;Valeur name="valeur"&gt;21.8&lt;/Valeur&gt;&lt;Valeur name="compta"&gt;1&lt;/Valeur&gt;&lt;Valeur name="tvapct"&gt;20&lt;/Valeur&gt;&lt;Valeur name="tva"&gt;3.63333333333333&lt;/Valeur&gt;&lt;/Insert&gt;</v>
      </c>
    </row>
    <row r="312" spans="1:38" x14ac:dyDescent="0.25">
      <c r="A312">
        <v>295</v>
      </c>
      <c r="B312">
        <f>IF(A312&lt;&gt;"",VLOOKUP(A312,Banque!B:D,3,FALSE),1)</f>
        <v>1</v>
      </c>
      <c r="C312" s="1">
        <v>43595</v>
      </c>
      <c r="D312" t="s">
        <v>257</v>
      </c>
      <c r="E312" t="s">
        <v>101</v>
      </c>
      <c r="G312" s="10">
        <v>1.6</v>
      </c>
      <c r="I312" s="11">
        <f t="shared" si="60"/>
        <v>0.26666666666666661</v>
      </c>
      <c r="K312">
        <v>311</v>
      </c>
      <c r="L312">
        <v>295</v>
      </c>
      <c r="M312" s="16" t="s">
        <v>910</v>
      </c>
      <c r="N312">
        <f>IFERROR(VLOOKUP(D312,tab!A:B,2,FALSE),1)</f>
        <v>18</v>
      </c>
      <c r="O312" t="str">
        <f t="shared" si="61"/>
        <v>FRAIS VIR SEPA PERMANENT</v>
      </c>
      <c r="P312" s="14">
        <f t="shared" si="62"/>
        <v>1.6</v>
      </c>
      <c r="Q312" s="14">
        <f t="shared" si="63"/>
        <v>1</v>
      </c>
      <c r="R312" s="14">
        <v>20</v>
      </c>
      <c r="S312" s="14">
        <f t="shared" si="64"/>
        <v>0.26666666666666661</v>
      </c>
      <c r="Z312" t="str">
        <f t="shared" si="65"/>
        <v>&lt;Valeur name="no"&gt;311&lt;/Valeur&gt;</v>
      </c>
      <c r="AA312" t="str">
        <f t="shared" si="66"/>
        <v>&lt;Valeur name="ecriturebanque"&gt;295&lt;/Valeur&gt;</v>
      </c>
      <c r="AB312" t="str">
        <f t="shared" si="67"/>
        <v>&lt;Valeur name="datevaleur"&gt;2019/05/10&lt;/Valeur&gt;</v>
      </c>
      <c r="AC312" t="str">
        <f t="shared" si="68"/>
        <v>&lt;Valeur name="compte"&gt;18&lt;/Valeur&gt;</v>
      </c>
      <c r="AD312" t="str">
        <f t="shared" si="69"/>
        <v>&lt;Valeur name="description"&gt;FRAIS VIR SEPA PERMANENT&lt;/Valeur&gt;</v>
      </c>
      <c r="AE312" t="str">
        <f t="shared" si="70"/>
        <v>&lt;Valeur name="valeur"&gt;1.6&lt;/Valeur&gt;</v>
      </c>
      <c r="AF312" t="str">
        <f t="shared" si="71"/>
        <v>&lt;Valeur name="compta"&gt;1&lt;/Valeur&gt;</v>
      </c>
      <c r="AG312" t="str">
        <f t="shared" si="72"/>
        <v>&lt;Valeur name="tvapct"&gt;20&lt;/Valeur&gt;</v>
      </c>
      <c r="AH312" t="str">
        <f t="shared" si="73"/>
        <v>&lt;Valeur name="tva"&gt;0.266666666666667&lt;/Valeur&gt;</v>
      </c>
      <c r="AL312" t="str">
        <f t="shared" si="74"/>
        <v>&lt;Insert&gt;&lt;Valeur name="no"&gt;311&lt;/Valeur&gt;&lt;Valeur name="ecriturebanque"&gt;295&lt;/Valeur&gt;&lt;Valeur name="datevaleur"&gt;2019/05/10&lt;/Valeur&gt;&lt;Valeur name="compte"&gt;18&lt;/Valeur&gt;&lt;Valeur name="description"&gt;FRAIS VIR SEPA PERMANENT&lt;/Valeur&gt;&lt;Valeur name="valeur"&gt;1.6&lt;/Valeur&gt;&lt;Valeur name="compta"&gt;1&lt;/Valeur&gt;&lt;Valeur name="tvapct"&gt;20&lt;/Valeur&gt;&lt;Valeur name="tva"&gt;0.266666666666667&lt;/Valeur&gt;&lt;/Insert&gt;</v>
      </c>
    </row>
    <row r="313" spans="1:38" x14ac:dyDescent="0.25">
      <c r="A313">
        <v>296</v>
      </c>
      <c r="B313">
        <f>IF(A313&lt;&gt;"",VLOOKUP(A313,Banque!B:D,3,FALSE),1)</f>
        <v>1</v>
      </c>
      <c r="C313" s="1">
        <v>43595</v>
      </c>
      <c r="D313" t="s">
        <v>255</v>
      </c>
      <c r="E313" t="s">
        <v>113</v>
      </c>
      <c r="G313" s="10">
        <v>1300</v>
      </c>
      <c r="I313" s="11">
        <f t="shared" si="60"/>
        <v>216.66666666666652</v>
      </c>
      <c r="K313">
        <v>312</v>
      </c>
      <c r="L313">
        <v>296</v>
      </c>
      <c r="M313" s="16" t="s">
        <v>910</v>
      </c>
      <c r="N313">
        <f>IFERROR(VLOOKUP(D313,tab!A:B,2,FALSE),1)</f>
        <v>20</v>
      </c>
      <c r="O313" t="str">
        <f t="shared" si="61"/>
        <v>VIR SEPA SCI LT DECO</v>
      </c>
      <c r="P313" s="14">
        <f t="shared" si="62"/>
        <v>1300</v>
      </c>
      <c r="Q313" s="14">
        <f t="shared" si="63"/>
        <v>1</v>
      </c>
      <c r="R313" s="14">
        <v>20</v>
      </c>
      <c r="S313" s="14">
        <f t="shared" si="64"/>
        <v>216.66666666666652</v>
      </c>
      <c r="Z313" t="str">
        <f t="shared" si="65"/>
        <v>&lt;Valeur name="no"&gt;312&lt;/Valeur&gt;</v>
      </c>
      <c r="AA313" t="str">
        <f t="shared" si="66"/>
        <v>&lt;Valeur name="ecriturebanque"&gt;296&lt;/Valeur&gt;</v>
      </c>
      <c r="AB313" t="str">
        <f t="shared" si="67"/>
        <v>&lt;Valeur name="datevaleur"&gt;2019/05/10&lt;/Valeur&gt;</v>
      </c>
      <c r="AC313" t="str">
        <f t="shared" si="68"/>
        <v>&lt;Valeur name="compte"&gt;20&lt;/Valeur&gt;</v>
      </c>
      <c r="AD313" t="str">
        <f t="shared" si="69"/>
        <v>&lt;Valeur name="description"&gt;VIR SEPA SCI LT DECO&lt;/Valeur&gt;</v>
      </c>
      <c r="AE313" t="str">
        <f t="shared" si="70"/>
        <v>&lt;Valeur name="valeur"&gt;1300&lt;/Valeur&gt;</v>
      </c>
      <c r="AF313" t="str">
        <f t="shared" si="71"/>
        <v>&lt;Valeur name="compta"&gt;1&lt;/Valeur&gt;</v>
      </c>
      <c r="AG313" t="str">
        <f t="shared" si="72"/>
        <v>&lt;Valeur name="tvapct"&gt;20&lt;/Valeur&gt;</v>
      </c>
      <c r="AH313" t="str">
        <f t="shared" si="73"/>
        <v>&lt;Valeur name="tva"&gt;216.666666666667&lt;/Valeur&gt;</v>
      </c>
      <c r="AL313" t="str">
        <f t="shared" si="74"/>
        <v>&lt;Insert&gt;&lt;Valeur name="no"&gt;312&lt;/Valeur&gt;&lt;Valeur name="ecriturebanque"&gt;296&lt;/Valeur&gt;&lt;Valeur name="datevaleur"&gt;2019/05/10&lt;/Valeur&gt;&lt;Valeur name="compte"&gt;20&lt;/Valeur&gt;&lt;Valeur name="description"&gt;VIR SEPA SCI LT DECO&lt;/Valeur&gt;&lt;Valeur name="valeur"&gt;1300&lt;/Valeur&gt;&lt;Valeur name="compta"&gt;1&lt;/Valeur&gt;&lt;Valeur name="tvapct"&gt;20&lt;/Valeur&gt;&lt;Valeur name="tva"&gt;216.666666666667&lt;/Valeur&gt;&lt;/Insert&gt;</v>
      </c>
    </row>
    <row r="314" spans="1:38" x14ac:dyDescent="0.25">
      <c r="A314">
        <v>297</v>
      </c>
      <c r="B314">
        <f>IF(A314&lt;&gt;"",VLOOKUP(A314,Banque!B:D,3,FALSE),1)</f>
        <v>1</v>
      </c>
      <c r="C314" s="1">
        <v>43595</v>
      </c>
      <c r="D314" t="s">
        <v>380</v>
      </c>
      <c r="E314" t="s">
        <v>107</v>
      </c>
      <c r="G314" s="10">
        <v>380</v>
      </c>
      <c r="I314" s="11">
        <f t="shared" ref="I314:I351" si="75">IF(G314&gt;0,G314-(G314/TVA),-(H314-(H314/TVA)))</f>
        <v>63.333333333333314</v>
      </c>
      <c r="K314">
        <v>313</v>
      </c>
      <c r="L314">
        <v>297</v>
      </c>
      <c r="M314" s="16" t="s">
        <v>910</v>
      </c>
      <c r="N314">
        <f>IFERROR(VLOOKUP(D314,tab!A:B,2,FALSE),1)</f>
        <v>24</v>
      </c>
      <c r="O314" t="str">
        <f t="shared" si="61"/>
        <v>02836 262611 0138 00FIN DE PRET:</v>
      </c>
      <c r="P314" s="14">
        <f t="shared" si="62"/>
        <v>380</v>
      </c>
      <c r="Q314" s="14">
        <f t="shared" si="63"/>
        <v>1</v>
      </c>
      <c r="R314" s="14">
        <v>20</v>
      </c>
      <c r="S314" s="14">
        <f t="shared" si="64"/>
        <v>63.333333333333314</v>
      </c>
      <c r="Z314" t="str">
        <f t="shared" si="65"/>
        <v>&lt;Valeur name="no"&gt;313&lt;/Valeur&gt;</v>
      </c>
      <c r="AA314" t="str">
        <f t="shared" si="66"/>
        <v>&lt;Valeur name="ecriturebanque"&gt;297&lt;/Valeur&gt;</v>
      </c>
      <c r="AB314" t="str">
        <f t="shared" si="67"/>
        <v>&lt;Valeur name="datevaleur"&gt;2019/05/10&lt;/Valeur&gt;</v>
      </c>
      <c r="AC314" t="str">
        <f t="shared" si="68"/>
        <v>&lt;Valeur name="compte"&gt;24&lt;/Valeur&gt;</v>
      </c>
      <c r="AD314" t="str">
        <f t="shared" si="69"/>
        <v>&lt;Valeur name="description"&gt;02836 262611 0138 00FIN DE PRET:&lt;/Valeur&gt;</v>
      </c>
      <c r="AE314" t="str">
        <f t="shared" si="70"/>
        <v>&lt;Valeur name="valeur"&gt;380&lt;/Valeur&gt;</v>
      </c>
      <c r="AF314" t="str">
        <f t="shared" si="71"/>
        <v>&lt;Valeur name="compta"&gt;1&lt;/Valeur&gt;</v>
      </c>
      <c r="AG314" t="str">
        <f t="shared" si="72"/>
        <v>&lt;Valeur name="tvapct"&gt;20&lt;/Valeur&gt;</v>
      </c>
      <c r="AH314" t="str">
        <f t="shared" si="73"/>
        <v>&lt;Valeur name="tva"&gt;63.3333333333333&lt;/Valeur&gt;</v>
      </c>
      <c r="AL314" t="str">
        <f t="shared" si="74"/>
        <v>&lt;Insert&gt;&lt;Valeur name="no"&gt;313&lt;/Valeur&gt;&lt;Valeur name="ecriturebanque"&gt;297&lt;/Valeur&gt;&lt;Valeur name="datevaleur"&gt;2019/05/10&lt;/Valeur&gt;&lt;Valeur name="compte"&gt;24&lt;/Valeur&gt;&lt;Valeur name="description"&gt;02836 262611 0138 00FIN DE PRET:&lt;/Valeur&gt;&lt;Valeur name="valeur"&gt;380&lt;/Valeur&gt;&lt;Valeur name="compta"&gt;1&lt;/Valeur&gt;&lt;Valeur name="tvapct"&gt;20&lt;/Valeur&gt;&lt;Valeur name="tva"&gt;63.3333333333333&lt;/Valeur&gt;&lt;/Insert&gt;</v>
      </c>
    </row>
    <row r="315" spans="1:38" x14ac:dyDescent="0.25">
      <c r="A315">
        <v>298</v>
      </c>
      <c r="B315">
        <f>IF(A315&lt;&gt;"",VLOOKUP(A315,Banque!B:D,3,FALSE),1)</f>
        <v>1</v>
      </c>
      <c r="C315" s="1">
        <v>43595</v>
      </c>
      <c r="D315" t="s">
        <v>381</v>
      </c>
      <c r="E315" t="s">
        <v>103</v>
      </c>
      <c r="G315" s="10">
        <v>237.15</v>
      </c>
      <c r="I315" s="11">
        <f t="shared" si="75"/>
        <v>39.525000000000006</v>
      </c>
      <c r="K315">
        <v>314</v>
      </c>
      <c r="L315">
        <v>298</v>
      </c>
      <c r="M315" s="16" t="s">
        <v>910</v>
      </c>
      <c r="N315">
        <f>IFERROR(VLOOKUP(D315,tab!A:B,2,FALSE),1)</f>
        <v>22</v>
      </c>
      <c r="O315" t="str">
        <f t="shared" si="61"/>
        <v>02836 262611 0138 01FIN DE PRET:</v>
      </c>
      <c r="P315" s="14">
        <f t="shared" si="62"/>
        <v>237.15</v>
      </c>
      <c r="Q315" s="14">
        <f t="shared" si="63"/>
        <v>1</v>
      </c>
      <c r="R315" s="14">
        <v>20</v>
      </c>
      <c r="S315" s="14">
        <f t="shared" si="64"/>
        <v>39.525000000000006</v>
      </c>
      <c r="Z315" t="str">
        <f t="shared" si="65"/>
        <v>&lt;Valeur name="no"&gt;314&lt;/Valeur&gt;</v>
      </c>
      <c r="AA315" t="str">
        <f t="shared" si="66"/>
        <v>&lt;Valeur name="ecriturebanque"&gt;298&lt;/Valeur&gt;</v>
      </c>
      <c r="AB315" t="str">
        <f t="shared" si="67"/>
        <v>&lt;Valeur name="datevaleur"&gt;2019/05/10&lt;/Valeur&gt;</v>
      </c>
      <c r="AC315" t="str">
        <f t="shared" si="68"/>
        <v>&lt;Valeur name="compte"&gt;22&lt;/Valeur&gt;</v>
      </c>
      <c r="AD315" t="str">
        <f t="shared" si="69"/>
        <v>&lt;Valeur name="description"&gt;02836 262611 0138 01FIN DE PRET:&lt;/Valeur&gt;</v>
      </c>
      <c r="AE315" t="str">
        <f t="shared" si="70"/>
        <v>&lt;Valeur name="valeur"&gt;237.15&lt;/Valeur&gt;</v>
      </c>
      <c r="AF315" t="str">
        <f t="shared" si="71"/>
        <v>&lt;Valeur name="compta"&gt;1&lt;/Valeur&gt;</v>
      </c>
      <c r="AG315" t="str">
        <f t="shared" si="72"/>
        <v>&lt;Valeur name="tvapct"&gt;20&lt;/Valeur&gt;</v>
      </c>
      <c r="AH315" t="str">
        <f t="shared" si="73"/>
        <v>&lt;Valeur name="tva"&gt;39.525&lt;/Valeur&gt;</v>
      </c>
      <c r="AL315" t="str">
        <f t="shared" si="74"/>
        <v>&lt;Insert&gt;&lt;Valeur name="no"&gt;314&lt;/Valeur&gt;&lt;Valeur name="ecriturebanque"&gt;298&lt;/Valeur&gt;&lt;Valeur name="datevaleur"&gt;2019/05/10&lt;/Valeur&gt;&lt;Valeur name="compte"&gt;22&lt;/Valeur&gt;&lt;Valeur name="description"&gt;02836 262611 0138 01FIN DE PRET:&lt;/Valeur&gt;&lt;Valeur name="valeur"&gt;237.15&lt;/Valeur&gt;&lt;Valeur name="compta"&gt;1&lt;/Valeur&gt;&lt;Valeur name="tvapct"&gt;20&lt;/Valeur&gt;&lt;Valeur name="tva"&gt;39.525&lt;/Valeur&gt;&lt;/Insert&gt;</v>
      </c>
    </row>
    <row r="316" spans="1:38" x14ac:dyDescent="0.25">
      <c r="A316">
        <v>299</v>
      </c>
      <c r="B316">
        <f>IF(A316&lt;&gt;"",VLOOKUP(A316,Banque!B:D,3,FALSE),1)</f>
        <v>1</v>
      </c>
      <c r="C316" s="1">
        <v>43595</v>
      </c>
      <c r="D316" t="s">
        <v>382</v>
      </c>
      <c r="E316" t="s">
        <v>753</v>
      </c>
      <c r="G316" s="10">
        <v>260</v>
      </c>
      <c r="I316" s="11">
        <f t="shared" si="75"/>
        <v>43.333333333333314</v>
      </c>
      <c r="K316">
        <v>315</v>
      </c>
      <c r="L316">
        <v>299</v>
      </c>
      <c r="M316" s="16" t="s">
        <v>910</v>
      </c>
      <c r="N316">
        <f>IFERROR(VLOOKUP(D316,tab!A:B,2,FALSE),1)</f>
        <v>23</v>
      </c>
      <c r="O316" t="str">
        <f t="shared" si="61"/>
        <v>02836 262611 0104 00  6 542,70 E</v>
      </c>
      <c r="P316" s="14">
        <f t="shared" si="62"/>
        <v>260</v>
      </c>
      <c r="Q316" s="14">
        <f t="shared" si="63"/>
        <v>1</v>
      </c>
      <c r="R316" s="14">
        <v>20</v>
      </c>
      <c r="S316" s="14">
        <f t="shared" si="64"/>
        <v>43.333333333333314</v>
      </c>
      <c r="Z316" t="str">
        <f t="shared" si="65"/>
        <v>&lt;Valeur name="no"&gt;315&lt;/Valeur&gt;</v>
      </c>
      <c r="AA316" t="str">
        <f t="shared" si="66"/>
        <v>&lt;Valeur name="ecriturebanque"&gt;299&lt;/Valeur&gt;</v>
      </c>
      <c r="AB316" t="str">
        <f t="shared" si="67"/>
        <v>&lt;Valeur name="datevaleur"&gt;2019/05/10&lt;/Valeur&gt;</v>
      </c>
      <c r="AC316" t="str">
        <f t="shared" si="68"/>
        <v>&lt;Valeur name="compte"&gt;23&lt;/Valeur&gt;</v>
      </c>
      <c r="AD316" t="str">
        <f t="shared" si="69"/>
        <v>&lt;Valeur name="description"&gt;02836 262611 0104 00  6 542,70 E&lt;/Valeur&gt;</v>
      </c>
      <c r="AE316" t="str">
        <f t="shared" si="70"/>
        <v>&lt;Valeur name="valeur"&gt;260&lt;/Valeur&gt;</v>
      </c>
      <c r="AF316" t="str">
        <f t="shared" si="71"/>
        <v>&lt;Valeur name="compta"&gt;1&lt;/Valeur&gt;</v>
      </c>
      <c r="AG316" t="str">
        <f t="shared" si="72"/>
        <v>&lt;Valeur name="tvapct"&gt;20&lt;/Valeur&gt;</v>
      </c>
      <c r="AH316" t="str">
        <f t="shared" si="73"/>
        <v>&lt;Valeur name="tva"&gt;43.3333333333333&lt;/Valeur&gt;</v>
      </c>
      <c r="AL316" t="str">
        <f t="shared" si="74"/>
        <v>&lt;Insert&gt;&lt;Valeur name="no"&gt;315&lt;/Valeur&gt;&lt;Valeur name="ecriturebanque"&gt;299&lt;/Valeur&gt;&lt;Valeur name="datevaleur"&gt;2019/05/10&lt;/Valeur&gt;&lt;Valeur name="compte"&gt;23&lt;/Valeur&gt;&lt;Valeur name="description"&gt;02836 262611 0104 00  6 542,70 E&lt;/Valeur&gt;&lt;Valeur name="valeur"&gt;260&lt;/Valeur&gt;&lt;Valeur name="compta"&gt;1&lt;/Valeur&gt;&lt;Valeur name="tvapct"&gt;20&lt;/Valeur&gt;&lt;Valeur name="tva"&gt;43.3333333333333&lt;/Valeur&gt;&lt;/Insert&gt;</v>
      </c>
    </row>
    <row r="317" spans="1:38" x14ac:dyDescent="0.25">
      <c r="A317">
        <v>300</v>
      </c>
      <c r="B317">
        <f>IF(A317&lt;&gt;"",VLOOKUP(A317,Banque!B:D,3,FALSE),1)</f>
        <v>0</v>
      </c>
      <c r="C317" s="1">
        <v>43598</v>
      </c>
      <c r="E317" t="s">
        <v>755</v>
      </c>
      <c r="G317" s="10">
        <v>1235.3</v>
      </c>
      <c r="I317" s="11">
        <f t="shared" si="75"/>
        <v>205.88333333333321</v>
      </c>
      <c r="K317">
        <v>316</v>
      </c>
      <c r="L317">
        <v>300</v>
      </c>
      <c r="M317" s="16" t="s">
        <v>913</v>
      </c>
      <c r="N317">
        <f>IFERROR(VLOOKUP(D317,tab!A:B,2,FALSE),1)</f>
        <v>1</v>
      </c>
      <c r="O317" t="str">
        <f t="shared" si="61"/>
        <v>RELEVE LCR DU  060519  CONFORME</v>
      </c>
      <c r="P317" s="14">
        <f t="shared" si="62"/>
        <v>1235.3</v>
      </c>
      <c r="Q317" s="14">
        <f t="shared" si="63"/>
        <v>0</v>
      </c>
      <c r="R317" s="14">
        <v>20</v>
      </c>
      <c r="S317" s="14">
        <f t="shared" si="64"/>
        <v>205.88333333333321</v>
      </c>
      <c r="Z317" t="str">
        <f t="shared" si="65"/>
        <v>&lt;Valeur name="no"&gt;316&lt;/Valeur&gt;</v>
      </c>
      <c r="AA317" t="str">
        <f t="shared" si="66"/>
        <v>&lt;Valeur name="ecriturebanque"&gt;300&lt;/Valeur&gt;</v>
      </c>
      <c r="AB317" t="str">
        <f t="shared" si="67"/>
        <v>&lt;Valeur name="datevaleur"&gt;2019/05/13&lt;/Valeur&gt;</v>
      </c>
      <c r="AC317" t="str">
        <f t="shared" si="68"/>
        <v>&lt;Valeur name="compte"&gt;1&lt;/Valeur&gt;</v>
      </c>
      <c r="AD317" t="str">
        <f t="shared" si="69"/>
        <v>&lt;Valeur name="description"&gt;RELEVE LCR DU  060519  CONFORME&lt;/Valeur&gt;</v>
      </c>
      <c r="AE317" t="str">
        <f t="shared" si="70"/>
        <v>&lt;Valeur name="valeur"&gt;1235.3&lt;/Valeur&gt;</v>
      </c>
      <c r="AF317" t="str">
        <f t="shared" si="71"/>
        <v>&lt;Valeur name="compta"&gt;0&lt;/Valeur&gt;</v>
      </c>
      <c r="AG317" t="str">
        <f t="shared" si="72"/>
        <v>&lt;Valeur name="tvapct"&gt;20&lt;/Valeur&gt;</v>
      </c>
      <c r="AH317" t="str">
        <f t="shared" si="73"/>
        <v>&lt;Valeur name="tva"&gt;205.883333333333&lt;/Valeur&gt;</v>
      </c>
      <c r="AL317" t="str">
        <f t="shared" si="74"/>
        <v>&lt;Insert&gt;&lt;Valeur name="no"&gt;316&lt;/Valeur&gt;&lt;Valeur name="ecriturebanque"&gt;300&lt;/Valeur&gt;&lt;Valeur name="datevaleur"&gt;2019/05/13&lt;/Valeur&gt;&lt;Valeur name="compte"&gt;1&lt;/Valeur&gt;&lt;Valeur name="description"&gt;RELEVE LCR DU  060519  CONFORME&lt;/Valeur&gt;&lt;Valeur name="valeur"&gt;1235.3&lt;/Valeur&gt;&lt;Valeur name="compta"&gt;0&lt;/Valeur&gt;&lt;Valeur name="tvapct"&gt;20&lt;/Valeur&gt;&lt;Valeur name="tva"&gt;205.883333333333&lt;/Valeur&gt;&lt;/Insert&gt;</v>
      </c>
    </row>
    <row r="318" spans="1:38" x14ac:dyDescent="0.25">
      <c r="A318">
        <v>301</v>
      </c>
      <c r="B318">
        <f>IF(A318&lt;&gt;"",VLOOKUP(A318,Banque!B:D,3,FALSE),1)</f>
        <v>1</v>
      </c>
      <c r="C318" s="1">
        <v>43598</v>
      </c>
      <c r="D318" t="s">
        <v>253</v>
      </c>
      <c r="E318" t="s">
        <v>142</v>
      </c>
      <c r="G318" s="10">
        <v>70.2</v>
      </c>
      <c r="I318" s="11">
        <f t="shared" si="75"/>
        <v>11.699999999999996</v>
      </c>
      <c r="K318">
        <v>317</v>
      </c>
      <c r="L318">
        <v>301</v>
      </c>
      <c r="M318" s="16" t="s">
        <v>913</v>
      </c>
      <c r="N318">
        <f>IFERROR(VLOOKUP(D318,tab!A:B,2,FALSE),1)</f>
        <v>13</v>
      </c>
      <c r="O318" t="str">
        <f t="shared" si="61"/>
        <v>CB 454106 DAC SM MATC 59BAVAY</v>
      </c>
      <c r="P318" s="14">
        <f t="shared" si="62"/>
        <v>70.2</v>
      </c>
      <c r="Q318" s="14">
        <f t="shared" si="63"/>
        <v>1</v>
      </c>
      <c r="R318" s="14">
        <v>20</v>
      </c>
      <c r="S318" s="14">
        <f t="shared" si="64"/>
        <v>11.699999999999996</v>
      </c>
      <c r="Z318" t="str">
        <f t="shared" si="65"/>
        <v>&lt;Valeur name="no"&gt;317&lt;/Valeur&gt;</v>
      </c>
      <c r="AA318" t="str">
        <f t="shared" si="66"/>
        <v>&lt;Valeur name="ecriturebanque"&gt;301&lt;/Valeur&gt;</v>
      </c>
      <c r="AB318" t="str">
        <f t="shared" si="67"/>
        <v>&lt;Valeur name="datevaleur"&gt;2019/05/13&lt;/Valeur&gt;</v>
      </c>
      <c r="AC318" t="str">
        <f t="shared" si="68"/>
        <v>&lt;Valeur name="compte"&gt;13&lt;/Valeur&gt;</v>
      </c>
      <c r="AD318" t="str">
        <f t="shared" si="69"/>
        <v>&lt;Valeur name="description"&gt;CB 454106 DAC SM MATC 59BAVAY&lt;/Valeur&gt;</v>
      </c>
      <c r="AE318" t="str">
        <f t="shared" si="70"/>
        <v>&lt;Valeur name="valeur"&gt;70.2&lt;/Valeur&gt;</v>
      </c>
      <c r="AF318" t="str">
        <f t="shared" si="71"/>
        <v>&lt;Valeur name="compta"&gt;1&lt;/Valeur&gt;</v>
      </c>
      <c r="AG318" t="str">
        <f t="shared" si="72"/>
        <v>&lt;Valeur name="tvapct"&gt;20&lt;/Valeur&gt;</v>
      </c>
      <c r="AH318" t="str">
        <f t="shared" si="73"/>
        <v>&lt;Valeur name="tva"&gt;11.7&lt;/Valeur&gt;</v>
      </c>
      <c r="AL318" t="str">
        <f t="shared" si="74"/>
        <v>&lt;Insert&gt;&lt;Valeur name="no"&gt;317&lt;/Valeur&gt;&lt;Valeur name="ecriturebanque"&gt;301&lt;/Valeur&gt;&lt;Valeur name="datevaleur"&gt;2019/05/13&lt;/Valeur&gt;&lt;Valeur name="compte"&gt;13&lt;/Valeur&gt;&lt;Valeur name="description"&gt;CB 454106 DAC SM MATC 59BAVAY&lt;/Valeur&gt;&lt;Valeur name="valeur"&gt;70.2&lt;/Valeur&gt;&lt;Valeur name="compta"&gt;1&lt;/Valeur&gt;&lt;Valeur name="tvapct"&gt;20&lt;/Valeur&gt;&lt;Valeur name="tva"&gt;11.7&lt;/Valeur&gt;&lt;/Insert&gt;</v>
      </c>
    </row>
    <row r="319" spans="1:38" x14ac:dyDescent="0.25">
      <c r="A319">
        <v>302</v>
      </c>
      <c r="B319">
        <f>IF(A319&lt;&gt;"",VLOOKUP(A319,Banque!B:D,3,FALSE),1)</f>
        <v>1</v>
      </c>
      <c r="C319" s="1">
        <v>43598</v>
      </c>
      <c r="D319" t="s">
        <v>253</v>
      </c>
      <c r="E319" t="s">
        <v>758</v>
      </c>
      <c r="G319" s="10">
        <v>86.29</v>
      </c>
      <c r="I319" s="11">
        <f t="shared" si="75"/>
        <v>14.381666666666661</v>
      </c>
      <c r="K319">
        <v>318</v>
      </c>
      <c r="L319">
        <v>302</v>
      </c>
      <c r="M319" s="16" t="s">
        <v>913</v>
      </c>
      <c r="N319">
        <f>IFERROR(VLOOKUP(D319,tab!A:B,2,FALSE),1)</f>
        <v>13</v>
      </c>
      <c r="O319" t="str">
        <f t="shared" si="61"/>
        <v>CB 548222 ESSO QUERCI 59LE QUESN</v>
      </c>
      <c r="P319" s="14">
        <f t="shared" si="62"/>
        <v>86.29</v>
      </c>
      <c r="Q319" s="14">
        <f t="shared" si="63"/>
        <v>1</v>
      </c>
      <c r="R319" s="14">
        <v>20</v>
      </c>
      <c r="S319" s="14">
        <f t="shared" si="64"/>
        <v>14.381666666666661</v>
      </c>
      <c r="Z319" t="str">
        <f t="shared" si="65"/>
        <v>&lt;Valeur name="no"&gt;318&lt;/Valeur&gt;</v>
      </c>
      <c r="AA319" t="str">
        <f t="shared" si="66"/>
        <v>&lt;Valeur name="ecriturebanque"&gt;302&lt;/Valeur&gt;</v>
      </c>
      <c r="AB319" t="str">
        <f t="shared" si="67"/>
        <v>&lt;Valeur name="datevaleur"&gt;2019/05/13&lt;/Valeur&gt;</v>
      </c>
      <c r="AC319" t="str">
        <f t="shared" si="68"/>
        <v>&lt;Valeur name="compte"&gt;13&lt;/Valeur&gt;</v>
      </c>
      <c r="AD319" t="str">
        <f t="shared" si="69"/>
        <v>&lt;Valeur name="description"&gt;CB 548222 ESSO QUERCI 59LE QUESN&lt;/Valeur&gt;</v>
      </c>
      <c r="AE319" t="str">
        <f t="shared" si="70"/>
        <v>&lt;Valeur name="valeur"&gt;86.29&lt;/Valeur&gt;</v>
      </c>
      <c r="AF319" t="str">
        <f t="shared" si="71"/>
        <v>&lt;Valeur name="compta"&gt;1&lt;/Valeur&gt;</v>
      </c>
      <c r="AG319" t="str">
        <f t="shared" si="72"/>
        <v>&lt;Valeur name="tvapct"&gt;20&lt;/Valeur&gt;</v>
      </c>
      <c r="AH319" t="str">
        <f t="shared" si="73"/>
        <v>&lt;Valeur name="tva"&gt;14.3816666666667&lt;/Valeur&gt;</v>
      </c>
      <c r="AL319" t="str">
        <f t="shared" si="74"/>
        <v>&lt;Insert&gt;&lt;Valeur name="no"&gt;318&lt;/Valeur&gt;&lt;Valeur name="ecriturebanque"&gt;302&lt;/Valeur&gt;&lt;Valeur name="datevaleur"&gt;2019/05/13&lt;/Valeur&gt;&lt;Valeur name="compte"&gt;13&lt;/Valeur&gt;&lt;Valeur name="description"&gt;CB 548222 ESSO QUERCI 59LE QUESN&lt;/Valeur&gt;&lt;Valeur name="valeur"&gt;86.29&lt;/Valeur&gt;&lt;Valeur name="compta"&gt;1&lt;/Valeur&gt;&lt;Valeur name="tvapct"&gt;20&lt;/Valeur&gt;&lt;Valeur name="tva"&gt;14.3816666666667&lt;/Valeur&gt;&lt;/Insert&gt;</v>
      </c>
    </row>
    <row r="320" spans="1:38" x14ac:dyDescent="0.25">
      <c r="A320">
        <v>303</v>
      </c>
      <c r="B320">
        <f>IF(A320&lt;&gt;"",VLOOKUP(A320,Banque!B:D,3,FALSE),1)</f>
        <v>1</v>
      </c>
      <c r="C320" s="1">
        <v>43598</v>
      </c>
      <c r="D320" t="s">
        <v>254</v>
      </c>
      <c r="E320" t="s">
        <v>760</v>
      </c>
      <c r="G320" s="10">
        <v>49.3</v>
      </c>
      <c r="I320" s="11">
        <f t="shared" si="75"/>
        <v>8.2166666666666615</v>
      </c>
      <c r="K320">
        <v>319</v>
      </c>
      <c r="L320">
        <v>303</v>
      </c>
      <c r="M320" s="16" t="s">
        <v>913</v>
      </c>
      <c r="N320">
        <f>IFERROR(VLOOKUP(D320,tab!A:B,2,FALSE),1)</f>
        <v>27</v>
      </c>
      <c r="O320" t="str">
        <f t="shared" si="61"/>
        <v>CB 454106 CHEZ AHMED  59LE QUESN</v>
      </c>
      <c r="P320" s="14">
        <f t="shared" si="62"/>
        <v>49.3</v>
      </c>
      <c r="Q320" s="14">
        <f t="shared" si="63"/>
        <v>1</v>
      </c>
      <c r="R320" s="14">
        <v>20</v>
      </c>
      <c r="S320" s="14">
        <f t="shared" si="64"/>
        <v>8.2166666666666615</v>
      </c>
      <c r="Z320" t="str">
        <f t="shared" si="65"/>
        <v>&lt;Valeur name="no"&gt;319&lt;/Valeur&gt;</v>
      </c>
      <c r="AA320" t="str">
        <f t="shared" si="66"/>
        <v>&lt;Valeur name="ecriturebanque"&gt;303&lt;/Valeur&gt;</v>
      </c>
      <c r="AB320" t="str">
        <f t="shared" si="67"/>
        <v>&lt;Valeur name="datevaleur"&gt;2019/05/13&lt;/Valeur&gt;</v>
      </c>
      <c r="AC320" t="str">
        <f t="shared" si="68"/>
        <v>&lt;Valeur name="compte"&gt;27&lt;/Valeur&gt;</v>
      </c>
      <c r="AD320" t="str">
        <f t="shared" si="69"/>
        <v>&lt;Valeur name="description"&gt;CB 454106 CHEZ AHMED  59LE QUESN&lt;/Valeur&gt;</v>
      </c>
      <c r="AE320" t="str">
        <f t="shared" si="70"/>
        <v>&lt;Valeur name="valeur"&gt;49.3&lt;/Valeur&gt;</v>
      </c>
      <c r="AF320" t="str">
        <f t="shared" si="71"/>
        <v>&lt;Valeur name="compta"&gt;1&lt;/Valeur&gt;</v>
      </c>
      <c r="AG320" t="str">
        <f t="shared" si="72"/>
        <v>&lt;Valeur name="tvapct"&gt;20&lt;/Valeur&gt;</v>
      </c>
      <c r="AH320" t="str">
        <f t="shared" si="73"/>
        <v>&lt;Valeur name="tva"&gt;8.21666666666666&lt;/Valeur&gt;</v>
      </c>
      <c r="AL320" t="str">
        <f t="shared" si="74"/>
        <v>&lt;Insert&gt;&lt;Valeur name="no"&gt;319&lt;/Valeur&gt;&lt;Valeur name="ecriturebanque"&gt;303&lt;/Valeur&gt;&lt;Valeur name="datevaleur"&gt;2019/05/13&lt;/Valeur&gt;&lt;Valeur name="compte"&gt;27&lt;/Valeur&gt;&lt;Valeur name="description"&gt;CB 454106 CHEZ AHMED  59LE QUESN&lt;/Valeur&gt;&lt;Valeur name="valeur"&gt;49.3&lt;/Valeur&gt;&lt;Valeur name="compta"&gt;1&lt;/Valeur&gt;&lt;Valeur name="tvapct"&gt;20&lt;/Valeur&gt;&lt;Valeur name="tva"&gt;8.21666666666666&lt;/Valeur&gt;&lt;/Insert&gt;</v>
      </c>
    </row>
    <row r="321" spans="1:38" x14ac:dyDescent="0.25">
      <c r="A321">
        <v>304</v>
      </c>
      <c r="B321">
        <f>IF(A321&lt;&gt;"",VLOOKUP(A321,Banque!B:D,3,FALSE),1)</f>
        <v>1</v>
      </c>
      <c r="C321" s="1">
        <v>43599</v>
      </c>
      <c r="D321" t="s">
        <v>256</v>
      </c>
      <c r="E321" t="s">
        <v>762</v>
      </c>
      <c r="G321" s="10">
        <v>1676.08</v>
      </c>
      <c r="I321" s="11">
        <f t="shared" si="75"/>
        <v>279.34666666666658</v>
      </c>
      <c r="K321">
        <v>320</v>
      </c>
      <c r="L321">
        <v>304</v>
      </c>
      <c r="M321" s="16" t="s">
        <v>982</v>
      </c>
      <c r="N321">
        <f>IFERROR(VLOOKUP(D321,tab!A:B,2,FALSE),1)</f>
        <v>28</v>
      </c>
      <c r="O321" t="str">
        <f t="shared" si="61"/>
        <v>E-VIR SEPA Salaire Alex 04/2019</v>
      </c>
      <c r="P321" s="14">
        <f t="shared" si="62"/>
        <v>1676.08</v>
      </c>
      <c r="Q321" s="14">
        <f t="shared" si="63"/>
        <v>1</v>
      </c>
      <c r="R321" s="14">
        <v>20</v>
      </c>
      <c r="S321" s="14">
        <f t="shared" si="64"/>
        <v>279.34666666666658</v>
      </c>
      <c r="Z321" t="str">
        <f t="shared" si="65"/>
        <v>&lt;Valeur name="no"&gt;320&lt;/Valeur&gt;</v>
      </c>
      <c r="AA321" t="str">
        <f t="shared" si="66"/>
        <v>&lt;Valeur name="ecriturebanque"&gt;304&lt;/Valeur&gt;</v>
      </c>
      <c r="AB321" t="str">
        <f t="shared" si="67"/>
        <v>&lt;Valeur name="datevaleur"&gt;2019/05/14&lt;/Valeur&gt;</v>
      </c>
      <c r="AC321" t="str">
        <f t="shared" si="68"/>
        <v>&lt;Valeur name="compte"&gt;28&lt;/Valeur&gt;</v>
      </c>
      <c r="AD321" t="str">
        <f t="shared" si="69"/>
        <v>&lt;Valeur name="description"&gt;E-VIR SEPA Salaire Alex 04/2019&lt;/Valeur&gt;</v>
      </c>
      <c r="AE321" t="str">
        <f t="shared" si="70"/>
        <v>&lt;Valeur name="valeur"&gt;1676.08&lt;/Valeur&gt;</v>
      </c>
      <c r="AF321" t="str">
        <f t="shared" si="71"/>
        <v>&lt;Valeur name="compta"&gt;1&lt;/Valeur&gt;</v>
      </c>
      <c r="AG321" t="str">
        <f t="shared" si="72"/>
        <v>&lt;Valeur name="tvapct"&gt;20&lt;/Valeur&gt;</v>
      </c>
      <c r="AH321" t="str">
        <f t="shared" si="73"/>
        <v>&lt;Valeur name="tva"&gt;279.346666666667&lt;/Valeur&gt;</v>
      </c>
      <c r="AL321" t="str">
        <f t="shared" si="74"/>
        <v>&lt;Insert&gt;&lt;Valeur name="no"&gt;320&lt;/Valeur&gt;&lt;Valeur name="ecriturebanque"&gt;304&lt;/Valeur&gt;&lt;Valeur name="datevaleur"&gt;2019/05/14&lt;/Valeur&gt;&lt;Valeur name="compte"&gt;28&lt;/Valeur&gt;&lt;Valeur name="description"&gt;E-VIR SEPA Salaire Alex 04/2019&lt;/Valeur&gt;&lt;Valeur name="valeur"&gt;1676.08&lt;/Valeur&gt;&lt;Valeur name="compta"&gt;1&lt;/Valeur&gt;&lt;Valeur name="tvapct"&gt;20&lt;/Valeur&gt;&lt;Valeur name="tva"&gt;279.346666666667&lt;/Valeur&gt;&lt;/Insert&gt;</v>
      </c>
    </row>
    <row r="322" spans="1:38" x14ac:dyDescent="0.25">
      <c r="A322">
        <v>305</v>
      </c>
      <c r="B322">
        <f>IF(A322&lt;&gt;"",VLOOKUP(A322,Banque!B:D,3,FALSE),1)</f>
        <v>1</v>
      </c>
      <c r="C322" s="1">
        <v>43599</v>
      </c>
      <c r="D322" t="s">
        <v>256</v>
      </c>
      <c r="E322" t="s">
        <v>764</v>
      </c>
      <c r="G322" s="10">
        <v>1081.58</v>
      </c>
      <c r="I322" s="11">
        <f t="shared" si="75"/>
        <v>180.26333333333332</v>
      </c>
      <c r="K322">
        <v>321</v>
      </c>
      <c r="L322">
        <v>305</v>
      </c>
      <c r="M322" s="16" t="s">
        <v>982</v>
      </c>
      <c r="N322">
        <f>IFERROR(VLOOKUP(D322,tab!A:B,2,FALSE),1)</f>
        <v>28</v>
      </c>
      <c r="O322" t="str">
        <f t="shared" ref="O322:O351" si="76">E322&amp;IF(ISBLANK(F322),""," / "&amp;F322)</f>
        <v>E-VIR SEPA Salaire Etienne 04/20</v>
      </c>
      <c r="P322" s="14">
        <f t="shared" ref="P322:P351" si="77">SUM(G322:H322)</f>
        <v>1081.58</v>
      </c>
      <c r="Q322" s="14">
        <f t="shared" ref="Q322:Q351" si="78">B322</f>
        <v>1</v>
      </c>
      <c r="R322" s="14">
        <v>20</v>
      </c>
      <c r="S322" s="14">
        <f t="shared" ref="S322:S351" si="79">I322</f>
        <v>180.26333333333332</v>
      </c>
      <c r="Z322" t="str">
        <f t="shared" ref="Z322:Z351" si="80">IF(ISBLANK($K322),"",K$1&amp;K322&amp;"&lt;/Valeur&gt;")</f>
        <v>&lt;Valeur name="no"&gt;321&lt;/Valeur&gt;</v>
      </c>
      <c r="AA322" t="str">
        <f t="shared" ref="AA322:AA351" si="81">IF(ISBLANK($K322),"",L$1&amp;L322&amp;"&lt;/Valeur&gt;")</f>
        <v>&lt;Valeur name="ecriturebanque"&gt;305&lt;/Valeur&gt;</v>
      </c>
      <c r="AB322" t="str">
        <f t="shared" ref="AB322:AB351" si="82">IF(ISBLANK($K322),"",M$1&amp;M322&amp;"&lt;/Valeur&gt;")</f>
        <v>&lt;Valeur name="datevaleur"&gt;2019/05/14&lt;/Valeur&gt;</v>
      </c>
      <c r="AC322" t="str">
        <f t="shared" ref="AC322:AC351" si="83">IF(ISBLANK($K322),"",N$1&amp;N322&amp;"&lt;/Valeur&gt;")</f>
        <v>&lt;Valeur name="compte"&gt;28&lt;/Valeur&gt;</v>
      </c>
      <c r="AD322" t="str">
        <f t="shared" ref="AD322:AD351" si="84">IF(ISBLANK($K322),"",O$1&amp;O322&amp;"&lt;/Valeur&gt;")</f>
        <v>&lt;Valeur name="description"&gt;E-VIR SEPA Salaire Etienne 04/20&lt;/Valeur&gt;</v>
      </c>
      <c r="AE322" t="str">
        <f t="shared" ref="AE322:AE351" si="85">IF(ISBLANK($K322),"",P$1&amp;P322&amp;"&lt;/Valeur&gt;")</f>
        <v>&lt;Valeur name="valeur"&gt;1081.58&lt;/Valeur&gt;</v>
      </c>
      <c r="AF322" t="str">
        <f t="shared" ref="AF322:AF351" si="86">IF(ISBLANK($K322),"",Q$1&amp;Q322&amp;"&lt;/Valeur&gt;")</f>
        <v>&lt;Valeur name="compta"&gt;1&lt;/Valeur&gt;</v>
      </c>
      <c r="AG322" t="str">
        <f t="shared" ref="AG322:AG351" si="87">IF(ISBLANK($K322),"",R$1&amp;R322&amp;"&lt;/Valeur&gt;")</f>
        <v>&lt;Valeur name="tvapct"&gt;20&lt;/Valeur&gt;</v>
      </c>
      <c r="AH322" t="str">
        <f t="shared" ref="AH322:AH351" si="88">IF(ISBLANK($K322),"",S$1&amp;S322&amp;"&lt;/Valeur&gt;")</f>
        <v>&lt;Valeur name="tva"&gt;180.263333333333&lt;/Valeur&gt;</v>
      </c>
      <c r="AL322" t="str">
        <f t="shared" si="74"/>
        <v>&lt;Insert&gt;&lt;Valeur name="no"&gt;321&lt;/Valeur&gt;&lt;Valeur name="ecriturebanque"&gt;305&lt;/Valeur&gt;&lt;Valeur name="datevaleur"&gt;2019/05/14&lt;/Valeur&gt;&lt;Valeur name="compte"&gt;28&lt;/Valeur&gt;&lt;Valeur name="description"&gt;E-VIR SEPA Salaire Etienne 04/20&lt;/Valeur&gt;&lt;Valeur name="valeur"&gt;1081.58&lt;/Valeur&gt;&lt;Valeur name="compta"&gt;1&lt;/Valeur&gt;&lt;Valeur name="tvapct"&gt;20&lt;/Valeur&gt;&lt;Valeur name="tva"&gt;180.263333333333&lt;/Valeur&gt;&lt;/Insert&gt;</v>
      </c>
    </row>
    <row r="323" spans="1:38" x14ac:dyDescent="0.25">
      <c r="A323">
        <v>306</v>
      </c>
      <c r="B323">
        <f>IF(A323&lt;&gt;"",VLOOKUP(A323,Banque!B:D,3,FALSE),1)</f>
        <v>1</v>
      </c>
      <c r="C323" s="1">
        <v>43599</v>
      </c>
      <c r="D323" t="s">
        <v>373</v>
      </c>
      <c r="E323" t="s">
        <v>766</v>
      </c>
      <c r="G323" s="10">
        <v>48.4</v>
      </c>
      <c r="I323" s="11">
        <f t="shared" si="75"/>
        <v>8.0666666666666629</v>
      </c>
      <c r="K323">
        <v>322</v>
      </c>
      <c r="L323">
        <v>306</v>
      </c>
      <c r="M323" s="16" t="s">
        <v>982</v>
      </c>
      <c r="N323">
        <f>IFERROR(VLOOKUP(D323,tab!A:B,2,FALSE),1)</f>
        <v>38</v>
      </c>
      <c r="O323" t="str">
        <f t="shared" si="76"/>
        <v>CB 548222 BRICO DEPOT 62BEAURAIN</v>
      </c>
      <c r="P323" s="14">
        <f t="shared" si="77"/>
        <v>48.4</v>
      </c>
      <c r="Q323" s="14">
        <f t="shared" si="78"/>
        <v>1</v>
      </c>
      <c r="R323" s="14">
        <v>20</v>
      </c>
      <c r="S323" s="14">
        <f t="shared" si="79"/>
        <v>8.0666666666666629</v>
      </c>
      <c r="Z323" t="str">
        <f t="shared" si="80"/>
        <v>&lt;Valeur name="no"&gt;322&lt;/Valeur&gt;</v>
      </c>
      <c r="AA323" t="str">
        <f t="shared" si="81"/>
        <v>&lt;Valeur name="ecriturebanque"&gt;306&lt;/Valeur&gt;</v>
      </c>
      <c r="AB323" t="str">
        <f t="shared" si="82"/>
        <v>&lt;Valeur name="datevaleur"&gt;2019/05/14&lt;/Valeur&gt;</v>
      </c>
      <c r="AC323" t="str">
        <f t="shared" si="83"/>
        <v>&lt;Valeur name="compte"&gt;38&lt;/Valeur&gt;</v>
      </c>
      <c r="AD323" t="str">
        <f t="shared" si="84"/>
        <v>&lt;Valeur name="description"&gt;CB 548222 BRICO DEPOT 62BEAURAIN&lt;/Valeur&gt;</v>
      </c>
      <c r="AE323" t="str">
        <f t="shared" si="85"/>
        <v>&lt;Valeur name="valeur"&gt;48.4&lt;/Valeur&gt;</v>
      </c>
      <c r="AF323" t="str">
        <f t="shared" si="86"/>
        <v>&lt;Valeur name="compta"&gt;1&lt;/Valeur&gt;</v>
      </c>
      <c r="AG323" t="str">
        <f t="shared" si="87"/>
        <v>&lt;Valeur name="tvapct"&gt;20&lt;/Valeur&gt;</v>
      </c>
      <c r="AH323" t="str">
        <f t="shared" si="88"/>
        <v>&lt;Valeur name="tva"&gt;8.06666666666666&lt;/Valeur&gt;</v>
      </c>
      <c r="AL323" t="str">
        <f t="shared" ref="AL323:AL351" si="89">IF(ISBLANK(M323),"",CONCATENATE("&lt;Insert&gt;",Z323,AA323,AB323,AC323,AD323,AE323,AF323,AG323,AH323,"&lt;/Insert&gt;"))</f>
        <v>&lt;Insert&gt;&lt;Valeur name="no"&gt;322&lt;/Valeur&gt;&lt;Valeur name="ecriturebanque"&gt;306&lt;/Valeur&gt;&lt;Valeur name="datevaleur"&gt;2019/05/14&lt;/Valeur&gt;&lt;Valeur name="compte"&gt;38&lt;/Valeur&gt;&lt;Valeur name="description"&gt;CB 548222 BRICO DEPOT 62BEAURAIN&lt;/Valeur&gt;&lt;Valeur name="valeur"&gt;48.4&lt;/Valeur&gt;&lt;Valeur name="compta"&gt;1&lt;/Valeur&gt;&lt;Valeur name="tvapct"&gt;20&lt;/Valeur&gt;&lt;Valeur name="tva"&gt;8.06666666666666&lt;/Valeur&gt;&lt;/Insert&gt;</v>
      </c>
    </row>
    <row r="324" spans="1:38" x14ac:dyDescent="0.25">
      <c r="A324">
        <v>307</v>
      </c>
      <c r="B324">
        <f>IF(A324&lt;&gt;"",VLOOKUP(A324,Banque!B:D,3,FALSE),1)</f>
        <v>1</v>
      </c>
      <c r="C324" s="1">
        <v>43599</v>
      </c>
      <c r="D324" t="s">
        <v>254</v>
      </c>
      <c r="E324" t="s">
        <v>768</v>
      </c>
      <c r="G324" s="10">
        <v>6.9</v>
      </c>
      <c r="I324" s="11">
        <f t="shared" si="75"/>
        <v>1.1499999999999995</v>
      </c>
      <c r="K324">
        <v>323</v>
      </c>
      <c r="L324">
        <v>307</v>
      </c>
      <c r="M324" s="16" t="s">
        <v>982</v>
      </c>
      <c r="N324">
        <f>IFERROR(VLOOKUP(D324,tab!A:B,2,FALSE),1)</f>
        <v>27</v>
      </c>
      <c r="O324" t="str">
        <f t="shared" si="76"/>
        <v>CB 548222 BOULANGERIE 62ST LAURE</v>
      </c>
      <c r="P324" s="14">
        <f t="shared" si="77"/>
        <v>6.9</v>
      </c>
      <c r="Q324" s="14">
        <f t="shared" si="78"/>
        <v>1</v>
      </c>
      <c r="R324" s="14">
        <v>20</v>
      </c>
      <c r="S324" s="14">
        <f t="shared" si="79"/>
        <v>1.1499999999999995</v>
      </c>
      <c r="Z324" t="str">
        <f t="shared" si="80"/>
        <v>&lt;Valeur name="no"&gt;323&lt;/Valeur&gt;</v>
      </c>
      <c r="AA324" t="str">
        <f t="shared" si="81"/>
        <v>&lt;Valeur name="ecriturebanque"&gt;307&lt;/Valeur&gt;</v>
      </c>
      <c r="AB324" t="str">
        <f t="shared" si="82"/>
        <v>&lt;Valeur name="datevaleur"&gt;2019/05/14&lt;/Valeur&gt;</v>
      </c>
      <c r="AC324" t="str">
        <f t="shared" si="83"/>
        <v>&lt;Valeur name="compte"&gt;27&lt;/Valeur&gt;</v>
      </c>
      <c r="AD324" t="str">
        <f t="shared" si="84"/>
        <v>&lt;Valeur name="description"&gt;CB 548222 BOULANGERIE 62ST LAURE&lt;/Valeur&gt;</v>
      </c>
      <c r="AE324" t="str">
        <f t="shared" si="85"/>
        <v>&lt;Valeur name="valeur"&gt;6.9&lt;/Valeur&gt;</v>
      </c>
      <c r="AF324" t="str">
        <f t="shared" si="86"/>
        <v>&lt;Valeur name="compta"&gt;1&lt;/Valeur&gt;</v>
      </c>
      <c r="AG324" t="str">
        <f t="shared" si="87"/>
        <v>&lt;Valeur name="tvapct"&gt;20&lt;/Valeur&gt;</v>
      </c>
      <c r="AH324" t="str">
        <f t="shared" si="88"/>
        <v>&lt;Valeur name="tva"&gt;1.15&lt;/Valeur&gt;</v>
      </c>
      <c r="AL324" t="str">
        <f t="shared" si="89"/>
        <v>&lt;Insert&gt;&lt;Valeur name="no"&gt;323&lt;/Valeur&gt;&lt;Valeur name="ecriturebanque"&gt;307&lt;/Valeur&gt;&lt;Valeur name="datevaleur"&gt;2019/05/14&lt;/Valeur&gt;&lt;Valeur name="compte"&gt;27&lt;/Valeur&gt;&lt;Valeur name="description"&gt;CB 548222 BOULANGERIE 62ST LAURE&lt;/Valeur&gt;&lt;Valeur name="valeur"&gt;6.9&lt;/Valeur&gt;&lt;Valeur name="compta"&gt;1&lt;/Valeur&gt;&lt;Valeur name="tvapct"&gt;20&lt;/Valeur&gt;&lt;Valeur name="tva"&gt;1.15&lt;/Valeur&gt;&lt;/Insert&gt;</v>
      </c>
    </row>
    <row r="325" spans="1:38" x14ac:dyDescent="0.25">
      <c r="A325">
        <v>308</v>
      </c>
      <c r="B325">
        <f>IF(A325&lt;&gt;"",VLOOKUP(A325,Banque!B:D,3,FALSE),1)</f>
        <v>0</v>
      </c>
      <c r="C325" s="1">
        <v>43599</v>
      </c>
      <c r="D325" t="s">
        <v>534</v>
      </c>
      <c r="E325" t="s">
        <v>770</v>
      </c>
      <c r="F325" t="s">
        <v>771</v>
      </c>
      <c r="H325" s="10">
        <v>8568.24</v>
      </c>
      <c r="I325" s="11">
        <f t="shared" si="75"/>
        <v>-1428.04</v>
      </c>
      <c r="K325">
        <v>324</v>
      </c>
      <c r="L325">
        <v>308</v>
      </c>
      <c r="M325" s="16" t="s">
        <v>982</v>
      </c>
      <c r="N325">
        <f>IFERROR(VLOOKUP(D325,tab!A:B,2,FALSE),1)</f>
        <v>3</v>
      </c>
      <c r="O325" t="str">
        <f t="shared" si="76"/>
        <v>VIR TRESORERIE FOURMIES / FACTURE AF231-4 DECISION  DEC 10</v>
      </c>
      <c r="P325" s="14">
        <f t="shared" si="77"/>
        <v>8568.24</v>
      </c>
      <c r="Q325" s="14">
        <f t="shared" si="78"/>
        <v>0</v>
      </c>
      <c r="R325" s="14">
        <v>20</v>
      </c>
      <c r="S325" s="14">
        <f t="shared" si="79"/>
        <v>-1428.04</v>
      </c>
      <c r="Z325" t="str">
        <f t="shared" si="80"/>
        <v>&lt;Valeur name="no"&gt;324&lt;/Valeur&gt;</v>
      </c>
      <c r="AA325" t="str">
        <f t="shared" si="81"/>
        <v>&lt;Valeur name="ecriturebanque"&gt;308&lt;/Valeur&gt;</v>
      </c>
      <c r="AB325" t="str">
        <f t="shared" si="82"/>
        <v>&lt;Valeur name="datevaleur"&gt;2019/05/14&lt;/Valeur&gt;</v>
      </c>
      <c r="AC325" t="str">
        <f t="shared" si="83"/>
        <v>&lt;Valeur name="compte"&gt;3&lt;/Valeur&gt;</v>
      </c>
      <c r="AD325" t="str">
        <f t="shared" si="84"/>
        <v>&lt;Valeur name="description"&gt;VIR TRESORERIE FOURMIES / FACTURE AF231-4 DECISION  DEC 10&lt;/Valeur&gt;</v>
      </c>
      <c r="AE325" t="str">
        <f t="shared" si="85"/>
        <v>&lt;Valeur name="valeur"&gt;8568.24&lt;/Valeur&gt;</v>
      </c>
      <c r="AF325" t="str">
        <f t="shared" si="86"/>
        <v>&lt;Valeur name="compta"&gt;0&lt;/Valeur&gt;</v>
      </c>
      <c r="AG325" t="str">
        <f t="shared" si="87"/>
        <v>&lt;Valeur name="tvapct"&gt;20&lt;/Valeur&gt;</v>
      </c>
      <c r="AH325" t="str">
        <f t="shared" si="88"/>
        <v>&lt;Valeur name="tva"&gt;-1428.04&lt;/Valeur&gt;</v>
      </c>
      <c r="AL325" t="str">
        <f t="shared" si="89"/>
        <v>&lt;Insert&gt;&lt;Valeur name="no"&gt;324&lt;/Valeur&gt;&lt;Valeur name="ecriturebanque"&gt;308&lt;/Valeur&gt;&lt;Valeur name="datevaleur"&gt;2019/05/14&lt;/Valeur&gt;&lt;Valeur name="compte"&gt;3&lt;/Valeur&gt;&lt;Valeur name="description"&gt;VIR TRESORERIE FOURMIES / FACTURE AF231-4 DECISION  DEC 10&lt;/Valeur&gt;&lt;Valeur name="valeur"&gt;8568.24&lt;/Valeur&gt;&lt;Valeur name="compta"&gt;0&lt;/Valeur&gt;&lt;Valeur name="tvapct"&gt;20&lt;/Valeur&gt;&lt;Valeur name="tva"&gt;-1428.04&lt;/Valeur&gt;&lt;/Insert&gt;</v>
      </c>
    </row>
    <row r="326" spans="1:38" x14ac:dyDescent="0.25">
      <c r="A326">
        <v>309</v>
      </c>
      <c r="B326">
        <f>IF(A326&lt;&gt;"",VLOOKUP(A326,Banque!B:D,3,FALSE),1)</f>
        <v>1</v>
      </c>
      <c r="C326" s="1">
        <v>43599</v>
      </c>
      <c r="E326" t="s">
        <v>144</v>
      </c>
      <c r="H326" s="10">
        <v>2112</v>
      </c>
      <c r="I326" s="11">
        <f t="shared" si="75"/>
        <v>-352</v>
      </c>
      <c r="K326">
        <v>325</v>
      </c>
      <c r="L326">
        <v>309</v>
      </c>
      <c r="M326" s="16" t="s">
        <v>982</v>
      </c>
      <c r="N326">
        <f>IFERROR(VLOOKUP(D326,tab!A:B,2,FALSE),1)</f>
        <v>1</v>
      </c>
      <c r="O326" t="str">
        <f t="shared" si="76"/>
        <v>REMISE CHEQUES</v>
      </c>
      <c r="P326" s="14">
        <f t="shared" si="77"/>
        <v>2112</v>
      </c>
      <c r="Q326" s="14">
        <f t="shared" si="78"/>
        <v>1</v>
      </c>
      <c r="R326" s="14">
        <v>20</v>
      </c>
      <c r="S326" s="14">
        <f t="shared" si="79"/>
        <v>-352</v>
      </c>
      <c r="Z326" t="str">
        <f t="shared" si="80"/>
        <v>&lt;Valeur name="no"&gt;325&lt;/Valeur&gt;</v>
      </c>
      <c r="AA326" t="str">
        <f t="shared" si="81"/>
        <v>&lt;Valeur name="ecriturebanque"&gt;309&lt;/Valeur&gt;</v>
      </c>
      <c r="AB326" t="str">
        <f t="shared" si="82"/>
        <v>&lt;Valeur name="datevaleur"&gt;2019/05/14&lt;/Valeur&gt;</v>
      </c>
      <c r="AC326" t="str">
        <f t="shared" si="83"/>
        <v>&lt;Valeur name="compte"&gt;1&lt;/Valeur&gt;</v>
      </c>
      <c r="AD326" t="str">
        <f t="shared" si="84"/>
        <v>&lt;Valeur name="description"&gt;REMISE CHEQUES&lt;/Valeur&gt;</v>
      </c>
      <c r="AE326" t="str">
        <f t="shared" si="85"/>
        <v>&lt;Valeur name="valeur"&gt;2112&lt;/Valeur&gt;</v>
      </c>
      <c r="AF326" t="str">
        <f t="shared" si="86"/>
        <v>&lt;Valeur name="compta"&gt;1&lt;/Valeur&gt;</v>
      </c>
      <c r="AG326" t="str">
        <f t="shared" si="87"/>
        <v>&lt;Valeur name="tvapct"&gt;20&lt;/Valeur&gt;</v>
      </c>
      <c r="AH326" t="str">
        <f t="shared" si="88"/>
        <v>&lt;Valeur name="tva"&gt;-352&lt;/Valeur&gt;</v>
      </c>
      <c r="AL326" t="str">
        <f t="shared" si="89"/>
        <v>&lt;Insert&gt;&lt;Valeur name="no"&gt;325&lt;/Valeur&gt;&lt;Valeur name="ecriturebanque"&gt;309&lt;/Valeur&gt;&lt;Valeur name="datevaleur"&gt;2019/05/14&lt;/Valeur&gt;&lt;Valeur name="compte"&gt;1&lt;/Valeur&gt;&lt;Valeur name="description"&gt;REMISE CHEQUES&lt;/Valeur&gt;&lt;Valeur name="valeur"&gt;2112&lt;/Valeur&gt;&lt;Valeur name="compta"&gt;1&lt;/Valeur&gt;&lt;Valeur name="tvapct"&gt;20&lt;/Valeur&gt;&lt;Valeur name="tva"&gt;-352&lt;/Valeur&gt;&lt;/Insert&gt;</v>
      </c>
    </row>
    <row r="327" spans="1:38" x14ac:dyDescent="0.25">
      <c r="A327">
        <v>310</v>
      </c>
      <c r="B327">
        <f>IF(A327&lt;&gt;"",VLOOKUP(A327,Banque!B:D,3,FALSE),1)</f>
        <v>0</v>
      </c>
      <c r="C327" s="1">
        <v>43600</v>
      </c>
      <c r="E327" t="s">
        <v>774</v>
      </c>
      <c r="G327" s="10">
        <v>1734.08</v>
      </c>
      <c r="I327" s="11">
        <f t="shared" si="75"/>
        <v>289.01333333333332</v>
      </c>
      <c r="K327">
        <v>326</v>
      </c>
      <c r="L327">
        <v>310</v>
      </c>
      <c r="M327" s="16" t="s">
        <v>881</v>
      </c>
      <c r="N327">
        <f>IFERROR(VLOOKUP(D327,tab!A:B,2,FALSE),1)</f>
        <v>1</v>
      </c>
      <c r="O327" t="str">
        <f t="shared" si="76"/>
        <v>RELEVE LCR DU  080519  CONFORME</v>
      </c>
      <c r="P327" s="14">
        <f t="shared" si="77"/>
        <v>1734.08</v>
      </c>
      <c r="Q327" s="14">
        <f t="shared" si="78"/>
        <v>0</v>
      </c>
      <c r="R327" s="14">
        <v>20</v>
      </c>
      <c r="S327" s="14">
        <f t="shared" si="79"/>
        <v>289.01333333333332</v>
      </c>
      <c r="Z327" t="str">
        <f t="shared" si="80"/>
        <v>&lt;Valeur name="no"&gt;326&lt;/Valeur&gt;</v>
      </c>
      <c r="AA327" t="str">
        <f t="shared" si="81"/>
        <v>&lt;Valeur name="ecriturebanque"&gt;310&lt;/Valeur&gt;</v>
      </c>
      <c r="AB327" t="str">
        <f t="shared" si="82"/>
        <v>&lt;Valeur name="datevaleur"&gt;2019/05/15&lt;/Valeur&gt;</v>
      </c>
      <c r="AC327" t="str">
        <f t="shared" si="83"/>
        <v>&lt;Valeur name="compte"&gt;1&lt;/Valeur&gt;</v>
      </c>
      <c r="AD327" t="str">
        <f t="shared" si="84"/>
        <v>&lt;Valeur name="description"&gt;RELEVE LCR DU  080519  CONFORME&lt;/Valeur&gt;</v>
      </c>
      <c r="AE327" t="str">
        <f t="shared" si="85"/>
        <v>&lt;Valeur name="valeur"&gt;1734.08&lt;/Valeur&gt;</v>
      </c>
      <c r="AF327" t="str">
        <f t="shared" si="86"/>
        <v>&lt;Valeur name="compta"&gt;0&lt;/Valeur&gt;</v>
      </c>
      <c r="AG327" t="str">
        <f t="shared" si="87"/>
        <v>&lt;Valeur name="tvapct"&gt;20&lt;/Valeur&gt;</v>
      </c>
      <c r="AH327" t="str">
        <f t="shared" si="88"/>
        <v>&lt;Valeur name="tva"&gt;289.013333333333&lt;/Valeur&gt;</v>
      </c>
      <c r="AL327" t="str">
        <f t="shared" si="89"/>
        <v>&lt;Insert&gt;&lt;Valeur name="no"&gt;326&lt;/Valeur&gt;&lt;Valeur name="ecriturebanque"&gt;310&lt;/Valeur&gt;&lt;Valeur name="datevaleur"&gt;2019/05/15&lt;/Valeur&gt;&lt;Valeur name="compte"&gt;1&lt;/Valeur&gt;&lt;Valeur name="description"&gt;RELEVE LCR DU  080519  CONFORME&lt;/Valeur&gt;&lt;Valeur name="valeur"&gt;1734.08&lt;/Valeur&gt;&lt;Valeur name="compta"&gt;0&lt;/Valeur&gt;&lt;Valeur name="tvapct"&gt;20&lt;/Valeur&gt;&lt;Valeur name="tva"&gt;289.013333333333&lt;/Valeur&gt;&lt;/Insert&gt;</v>
      </c>
    </row>
    <row r="328" spans="1:38" x14ac:dyDescent="0.25">
      <c r="A328">
        <v>311</v>
      </c>
      <c r="B328">
        <f>IF(A328&lt;&gt;"",VLOOKUP(A328,Banque!B:D,3,FALSE),1)</f>
        <v>1</v>
      </c>
      <c r="C328" s="1">
        <v>43600</v>
      </c>
      <c r="D328" t="s">
        <v>271</v>
      </c>
      <c r="E328" t="s">
        <v>776</v>
      </c>
      <c r="G328" s="10">
        <v>3.9</v>
      </c>
      <c r="I328" s="11">
        <f t="shared" si="75"/>
        <v>0.64999999999999991</v>
      </c>
      <c r="K328">
        <v>327</v>
      </c>
      <c r="L328">
        <v>311</v>
      </c>
      <c r="M328" s="16" t="s">
        <v>881</v>
      </c>
      <c r="N328">
        <f>IFERROR(VLOOKUP(D328,tab!A:B,2,FALSE),1)</f>
        <v>15</v>
      </c>
      <c r="O328" t="str">
        <f t="shared" si="76"/>
        <v>CB 548222 SANEF 0705- 60SENLIS C</v>
      </c>
      <c r="P328" s="14">
        <f t="shared" si="77"/>
        <v>3.9</v>
      </c>
      <c r="Q328" s="14">
        <f t="shared" si="78"/>
        <v>1</v>
      </c>
      <c r="R328" s="14">
        <v>20</v>
      </c>
      <c r="S328" s="14">
        <f t="shared" si="79"/>
        <v>0.64999999999999991</v>
      </c>
      <c r="Z328" t="str">
        <f t="shared" si="80"/>
        <v>&lt;Valeur name="no"&gt;327&lt;/Valeur&gt;</v>
      </c>
      <c r="AA328" t="str">
        <f t="shared" si="81"/>
        <v>&lt;Valeur name="ecriturebanque"&gt;311&lt;/Valeur&gt;</v>
      </c>
      <c r="AB328" t="str">
        <f t="shared" si="82"/>
        <v>&lt;Valeur name="datevaleur"&gt;2019/05/15&lt;/Valeur&gt;</v>
      </c>
      <c r="AC328" t="str">
        <f t="shared" si="83"/>
        <v>&lt;Valeur name="compte"&gt;15&lt;/Valeur&gt;</v>
      </c>
      <c r="AD328" t="str">
        <f t="shared" si="84"/>
        <v>&lt;Valeur name="description"&gt;CB 548222 SANEF 0705- 60SENLIS C&lt;/Valeur&gt;</v>
      </c>
      <c r="AE328" t="str">
        <f t="shared" si="85"/>
        <v>&lt;Valeur name="valeur"&gt;3.9&lt;/Valeur&gt;</v>
      </c>
      <c r="AF328" t="str">
        <f t="shared" si="86"/>
        <v>&lt;Valeur name="compta"&gt;1&lt;/Valeur&gt;</v>
      </c>
      <c r="AG328" t="str">
        <f t="shared" si="87"/>
        <v>&lt;Valeur name="tvapct"&gt;20&lt;/Valeur&gt;</v>
      </c>
      <c r="AH328" t="str">
        <f t="shared" si="88"/>
        <v>&lt;Valeur name="tva"&gt;0.65&lt;/Valeur&gt;</v>
      </c>
      <c r="AL328" t="str">
        <f t="shared" si="89"/>
        <v>&lt;Insert&gt;&lt;Valeur name="no"&gt;327&lt;/Valeur&gt;&lt;Valeur name="ecriturebanque"&gt;311&lt;/Valeur&gt;&lt;Valeur name="datevaleur"&gt;2019/05/15&lt;/Valeur&gt;&lt;Valeur name="compte"&gt;15&lt;/Valeur&gt;&lt;Valeur name="description"&gt;CB 548222 SANEF 0705- 60SENLIS C&lt;/Valeur&gt;&lt;Valeur name="valeur"&gt;3.9&lt;/Valeur&gt;&lt;Valeur name="compta"&gt;1&lt;/Valeur&gt;&lt;Valeur name="tvapct"&gt;20&lt;/Valeur&gt;&lt;Valeur name="tva"&gt;0.65&lt;/Valeur&gt;&lt;/Insert&gt;</v>
      </c>
    </row>
    <row r="329" spans="1:38" x14ac:dyDescent="0.25">
      <c r="A329">
        <v>312</v>
      </c>
      <c r="B329">
        <f>IF(A329&lt;&gt;"",VLOOKUP(A329,Banque!B:D,3,FALSE),1)</f>
        <v>1</v>
      </c>
      <c r="C329" s="1">
        <v>43600</v>
      </c>
      <c r="D329" t="s">
        <v>383</v>
      </c>
      <c r="E329" t="s">
        <v>29</v>
      </c>
      <c r="G329" s="10">
        <v>109</v>
      </c>
      <c r="I329" s="11">
        <f t="shared" si="75"/>
        <v>18.166666666666657</v>
      </c>
      <c r="K329">
        <v>328</v>
      </c>
      <c r="L329">
        <v>312</v>
      </c>
      <c r="M329" s="16" t="s">
        <v>881</v>
      </c>
      <c r="N329">
        <f>IFERROR(VLOOKUP(D329,tab!A:B,2,FALSE),1)</f>
        <v>108</v>
      </c>
      <c r="O329" t="str">
        <f t="shared" si="76"/>
        <v>CB 548222 SNCF INTERN 75PARIS 12</v>
      </c>
      <c r="P329" s="14">
        <f t="shared" si="77"/>
        <v>109</v>
      </c>
      <c r="Q329" s="14">
        <f t="shared" si="78"/>
        <v>1</v>
      </c>
      <c r="R329" s="14">
        <v>20</v>
      </c>
      <c r="S329" s="14">
        <f t="shared" si="79"/>
        <v>18.166666666666657</v>
      </c>
      <c r="Z329" t="str">
        <f t="shared" si="80"/>
        <v>&lt;Valeur name="no"&gt;328&lt;/Valeur&gt;</v>
      </c>
      <c r="AA329" t="str">
        <f t="shared" si="81"/>
        <v>&lt;Valeur name="ecriturebanque"&gt;312&lt;/Valeur&gt;</v>
      </c>
      <c r="AB329" t="str">
        <f t="shared" si="82"/>
        <v>&lt;Valeur name="datevaleur"&gt;2019/05/15&lt;/Valeur&gt;</v>
      </c>
      <c r="AC329" t="str">
        <f t="shared" si="83"/>
        <v>&lt;Valeur name="compte"&gt;108&lt;/Valeur&gt;</v>
      </c>
      <c r="AD329" t="str">
        <f t="shared" si="84"/>
        <v>&lt;Valeur name="description"&gt;CB 548222 SNCF INTERN 75PARIS 12&lt;/Valeur&gt;</v>
      </c>
      <c r="AE329" t="str">
        <f t="shared" si="85"/>
        <v>&lt;Valeur name="valeur"&gt;109&lt;/Valeur&gt;</v>
      </c>
      <c r="AF329" t="str">
        <f t="shared" si="86"/>
        <v>&lt;Valeur name="compta"&gt;1&lt;/Valeur&gt;</v>
      </c>
      <c r="AG329" t="str">
        <f t="shared" si="87"/>
        <v>&lt;Valeur name="tvapct"&gt;20&lt;/Valeur&gt;</v>
      </c>
      <c r="AH329" t="str">
        <f t="shared" si="88"/>
        <v>&lt;Valeur name="tva"&gt;18.1666666666667&lt;/Valeur&gt;</v>
      </c>
      <c r="AL329" t="str">
        <f t="shared" si="89"/>
        <v>&lt;Insert&gt;&lt;Valeur name="no"&gt;328&lt;/Valeur&gt;&lt;Valeur name="ecriturebanque"&gt;312&lt;/Valeur&gt;&lt;Valeur name="datevaleur"&gt;2019/05/15&lt;/Valeur&gt;&lt;Valeur name="compte"&gt;108&lt;/Valeur&gt;&lt;Valeur name="description"&gt;CB 548222 SNCF INTERN 75PARIS 12&lt;/Valeur&gt;&lt;Valeur name="valeur"&gt;109&lt;/Valeur&gt;&lt;Valeur name="compta"&gt;1&lt;/Valeur&gt;&lt;Valeur name="tvapct"&gt;20&lt;/Valeur&gt;&lt;Valeur name="tva"&gt;18.1666666666667&lt;/Valeur&gt;&lt;/Insert&gt;</v>
      </c>
    </row>
    <row r="330" spans="1:38" x14ac:dyDescent="0.25">
      <c r="A330">
        <v>313</v>
      </c>
      <c r="B330">
        <f>IF(A330&lt;&gt;"",VLOOKUP(A330,Banque!B:D,3,FALSE),1)</f>
        <v>1</v>
      </c>
      <c r="C330" s="1">
        <v>43600</v>
      </c>
      <c r="D330" t="s">
        <v>266</v>
      </c>
      <c r="E330" t="s">
        <v>779</v>
      </c>
      <c r="F330" t="s">
        <v>780</v>
      </c>
      <c r="H330" s="10">
        <v>283.12</v>
      </c>
      <c r="I330" s="11">
        <f t="shared" si="75"/>
        <v>-47.186666666666667</v>
      </c>
      <c r="K330">
        <v>329</v>
      </c>
      <c r="L330">
        <v>313</v>
      </c>
      <c r="M330" s="16" t="s">
        <v>881</v>
      </c>
      <c r="N330">
        <f>IFERROR(VLOOKUP(D330,tab!A:B,2,FALSE),1)</f>
        <v>16</v>
      </c>
      <c r="O330" t="str">
        <f t="shared" si="76"/>
        <v>VIR SOGESSUR / SI000000000994539</v>
      </c>
      <c r="P330" s="14">
        <f t="shared" si="77"/>
        <v>283.12</v>
      </c>
      <c r="Q330" s="14">
        <f t="shared" si="78"/>
        <v>1</v>
      </c>
      <c r="R330" s="14">
        <v>20</v>
      </c>
      <c r="S330" s="14">
        <f t="shared" si="79"/>
        <v>-47.186666666666667</v>
      </c>
      <c r="Z330" t="str">
        <f t="shared" si="80"/>
        <v>&lt;Valeur name="no"&gt;329&lt;/Valeur&gt;</v>
      </c>
      <c r="AA330" t="str">
        <f t="shared" si="81"/>
        <v>&lt;Valeur name="ecriturebanque"&gt;313&lt;/Valeur&gt;</v>
      </c>
      <c r="AB330" t="str">
        <f t="shared" si="82"/>
        <v>&lt;Valeur name="datevaleur"&gt;2019/05/15&lt;/Valeur&gt;</v>
      </c>
      <c r="AC330" t="str">
        <f t="shared" si="83"/>
        <v>&lt;Valeur name="compte"&gt;16&lt;/Valeur&gt;</v>
      </c>
      <c r="AD330" t="str">
        <f t="shared" si="84"/>
        <v>&lt;Valeur name="description"&gt;VIR SOGESSUR / SI000000000994539&lt;/Valeur&gt;</v>
      </c>
      <c r="AE330" t="str">
        <f t="shared" si="85"/>
        <v>&lt;Valeur name="valeur"&gt;283.12&lt;/Valeur&gt;</v>
      </c>
      <c r="AF330" t="str">
        <f t="shared" si="86"/>
        <v>&lt;Valeur name="compta"&gt;1&lt;/Valeur&gt;</v>
      </c>
      <c r="AG330" t="str">
        <f t="shared" si="87"/>
        <v>&lt;Valeur name="tvapct"&gt;20&lt;/Valeur&gt;</v>
      </c>
      <c r="AH330" t="str">
        <f t="shared" si="88"/>
        <v>&lt;Valeur name="tva"&gt;-47.1866666666667&lt;/Valeur&gt;</v>
      </c>
      <c r="AL330" t="str">
        <f t="shared" si="89"/>
        <v>&lt;Insert&gt;&lt;Valeur name="no"&gt;329&lt;/Valeur&gt;&lt;Valeur name="ecriturebanque"&gt;313&lt;/Valeur&gt;&lt;Valeur name="datevaleur"&gt;2019/05/15&lt;/Valeur&gt;&lt;Valeur name="compte"&gt;16&lt;/Valeur&gt;&lt;Valeur name="description"&gt;VIR SOGESSUR / SI000000000994539&lt;/Valeur&gt;&lt;Valeur name="valeur"&gt;283.12&lt;/Valeur&gt;&lt;Valeur name="compta"&gt;1&lt;/Valeur&gt;&lt;Valeur name="tvapct"&gt;20&lt;/Valeur&gt;&lt;Valeur name="tva"&gt;-47.1866666666667&lt;/Valeur&gt;&lt;/Insert&gt;</v>
      </c>
    </row>
    <row r="331" spans="1:38" x14ac:dyDescent="0.25">
      <c r="A331">
        <v>314</v>
      </c>
      <c r="B331">
        <f>IF(A331&lt;&gt;"",VLOOKUP(A331,Banque!B:D,3,FALSE),1)</f>
        <v>1</v>
      </c>
      <c r="C331" s="1">
        <v>43600</v>
      </c>
      <c r="D331" t="s">
        <v>269</v>
      </c>
      <c r="E331" t="s">
        <v>230</v>
      </c>
      <c r="G331" s="10">
        <v>3255</v>
      </c>
      <c r="I331" s="11">
        <f t="shared" si="75"/>
        <v>542.5</v>
      </c>
      <c r="K331">
        <v>330</v>
      </c>
      <c r="L331">
        <v>314</v>
      </c>
      <c r="M331" s="16" t="s">
        <v>881</v>
      </c>
      <c r="N331">
        <f>IFERROR(VLOOKUP(D331,tab!A:B,2,FALSE),1)</f>
        <v>14</v>
      </c>
      <c r="O331" t="str">
        <f t="shared" si="76"/>
        <v>PRLV B2B CONGES INTEMPERIES BTP</v>
      </c>
      <c r="P331" s="14">
        <f t="shared" si="77"/>
        <v>3255</v>
      </c>
      <c r="Q331" s="14">
        <f t="shared" si="78"/>
        <v>1</v>
      </c>
      <c r="R331" s="14">
        <v>20</v>
      </c>
      <c r="S331" s="14">
        <f t="shared" si="79"/>
        <v>542.5</v>
      </c>
      <c r="Z331" t="str">
        <f t="shared" si="80"/>
        <v>&lt;Valeur name="no"&gt;330&lt;/Valeur&gt;</v>
      </c>
      <c r="AA331" t="str">
        <f t="shared" si="81"/>
        <v>&lt;Valeur name="ecriturebanque"&gt;314&lt;/Valeur&gt;</v>
      </c>
      <c r="AB331" t="str">
        <f t="shared" si="82"/>
        <v>&lt;Valeur name="datevaleur"&gt;2019/05/15&lt;/Valeur&gt;</v>
      </c>
      <c r="AC331" t="str">
        <f t="shared" si="83"/>
        <v>&lt;Valeur name="compte"&gt;14&lt;/Valeur&gt;</v>
      </c>
      <c r="AD331" t="str">
        <f t="shared" si="84"/>
        <v>&lt;Valeur name="description"&gt;PRLV B2B CONGES INTEMPERIES BTP&lt;/Valeur&gt;</v>
      </c>
      <c r="AE331" t="str">
        <f t="shared" si="85"/>
        <v>&lt;Valeur name="valeur"&gt;3255&lt;/Valeur&gt;</v>
      </c>
      <c r="AF331" t="str">
        <f t="shared" si="86"/>
        <v>&lt;Valeur name="compta"&gt;1&lt;/Valeur&gt;</v>
      </c>
      <c r="AG331" t="str">
        <f t="shared" si="87"/>
        <v>&lt;Valeur name="tvapct"&gt;20&lt;/Valeur&gt;</v>
      </c>
      <c r="AH331" t="str">
        <f t="shared" si="88"/>
        <v>&lt;Valeur name="tva"&gt;542.5&lt;/Valeur&gt;</v>
      </c>
      <c r="AL331" t="str">
        <f t="shared" si="89"/>
        <v>&lt;Insert&gt;&lt;Valeur name="no"&gt;330&lt;/Valeur&gt;&lt;Valeur name="ecriturebanque"&gt;314&lt;/Valeur&gt;&lt;Valeur name="datevaleur"&gt;2019/05/15&lt;/Valeur&gt;&lt;Valeur name="compte"&gt;14&lt;/Valeur&gt;&lt;Valeur name="description"&gt;PRLV B2B CONGES INTEMPERIES BTP&lt;/Valeur&gt;&lt;Valeur name="valeur"&gt;3255&lt;/Valeur&gt;&lt;Valeur name="compta"&gt;1&lt;/Valeur&gt;&lt;Valeur name="tvapct"&gt;20&lt;/Valeur&gt;&lt;Valeur name="tva"&gt;542.5&lt;/Valeur&gt;&lt;/Insert&gt;</v>
      </c>
    </row>
    <row r="332" spans="1:38" x14ac:dyDescent="0.25">
      <c r="A332">
        <v>315</v>
      </c>
      <c r="B332">
        <f>IF(A332&lt;&gt;"",VLOOKUP(A332,Banque!B:D,3,FALSE),1)</f>
        <v>1</v>
      </c>
      <c r="C332" s="1">
        <v>43600</v>
      </c>
      <c r="D332" t="s">
        <v>267</v>
      </c>
      <c r="E332" t="s">
        <v>52</v>
      </c>
      <c r="G332" s="10">
        <v>162</v>
      </c>
      <c r="I332" s="11">
        <f t="shared" si="75"/>
        <v>27</v>
      </c>
      <c r="K332">
        <v>331</v>
      </c>
      <c r="L332">
        <v>315</v>
      </c>
      <c r="M332" s="16" t="s">
        <v>881</v>
      </c>
      <c r="N332">
        <f>IFERROR(VLOOKUP(D332,tab!A:B,2,FALSE),1)</f>
        <v>12</v>
      </c>
      <c r="O332" t="str">
        <f t="shared" si="76"/>
        <v>PRLV SEPA MMA IARD SA-MMA IARD</v>
      </c>
      <c r="P332" s="14">
        <f t="shared" si="77"/>
        <v>162</v>
      </c>
      <c r="Q332" s="14">
        <f t="shared" si="78"/>
        <v>1</v>
      </c>
      <c r="R332" s="14">
        <v>20</v>
      </c>
      <c r="S332" s="14">
        <f t="shared" si="79"/>
        <v>27</v>
      </c>
      <c r="Z332" t="str">
        <f t="shared" si="80"/>
        <v>&lt;Valeur name="no"&gt;331&lt;/Valeur&gt;</v>
      </c>
      <c r="AA332" t="str">
        <f t="shared" si="81"/>
        <v>&lt;Valeur name="ecriturebanque"&gt;315&lt;/Valeur&gt;</v>
      </c>
      <c r="AB332" t="str">
        <f t="shared" si="82"/>
        <v>&lt;Valeur name="datevaleur"&gt;2019/05/15&lt;/Valeur&gt;</v>
      </c>
      <c r="AC332" t="str">
        <f t="shared" si="83"/>
        <v>&lt;Valeur name="compte"&gt;12&lt;/Valeur&gt;</v>
      </c>
      <c r="AD332" t="str">
        <f t="shared" si="84"/>
        <v>&lt;Valeur name="description"&gt;PRLV SEPA MMA IARD SA-MMA IARD&lt;/Valeur&gt;</v>
      </c>
      <c r="AE332" t="str">
        <f t="shared" si="85"/>
        <v>&lt;Valeur name="valeur"&gt;162&lt;/Valeur&gt;</v>
      </c>
      <c r="AF332" t="str">
        <f t="shared" si="86"/>
        <v>&lt;Valeur name="compta"&gt;1&lt;/Valeur&gt;</v>
      </c>
      <c r="AG332" t="str">
        <f t="shared" si="87"/>
        <v>&lt;Valeur name="tvapct"&gt;20&lt;/Valeur&gt;</v>
      </c>
      <c r="AH332" t="str">
        <f t="shared" si="88"/>
        <v>&lt;Valeur name="tva"&gt;27&lt;/Valeur&gt;</v>
      </c>
      <c r="AL332" t="str">
        <f t="shared" si="89"/>
        <v>&lt;Insert&gt;&lt;Valeur name="no"&gt;331&lt;/Valeur&gt;&lt;Valeur name="ecriturebanque"&gt;315&lt;/Valeur&gt;&lt;Valeur name="datevaleur"&gt;2019/05/15&lt;/Valeur&gt;&lt;Valeur name="compte"&gt;12&lt;/Valeur&gt;&lt;Valeur name="description"&gt;PRLV SEPA MMA IARD SA-MMA IARD&lt;/Valeur&gt;&lt;Valeur name="valeur"&gt;162&lt;/Valeur&gt;&lt;Valeur name="compta"&gt;1&lt;/Valeur&gt;&lt;Valeur name="tvapct"&gt;20&lt;/Valeur&gt;&lt;Valeur name="tva"&gt;27&lt;/Valeur&gt;&lt;/Insert&gt;</v>
      </c>
    </row>
    <row r="333" spans="1:38" x14ac:dyDescent="0.25">
      <c r="A333">
        <v>316</v>
      </c>
      <c r="B333">
        <f>IF(A333&lt;&gt;"",VLOOKUP(A333,Banque!B:D,3,FALSE),1)</f>
        <v>1</v>
      </c>
      <c r="C333" s="1">
        <v>43600</v>
      </c>
      <c r="D333" t="s">
        <v>257</v>
      </c>
      <c r="E333" t="s">
        <v>31</v>
      </c>
      <c r="G333" s="10">
        <v>0.21</v>
      </c>
      <c r="I333" s="11">
        <f t="shared" si="75"/>
        <v>3.5000000000000003E-2</v>
      </c>
      <c r="K333">
        <v>332</v>
      </c>
      <c r="L333">
        <v>316</v>
      </c>
      <c r="M333" s="16" t="s">
        <v>881</v>
      </c>
      <c r="N333">
        <f>IFERROR(VLOOKUP(D333,tab!A:B,2,FALSE),1)</f>
        <v>18</v>
      </c>
      <c r="O333" t="str">
        <f t="shared" si="76"/>
        <v>FRAIS E-VIR SEPA VERS EEE</v>
      </c>
      <c r="P333" s="14">
        <f t="shared" si="77"/>
        <v>0.21</v>
      </c>
      <c r="Q333" s="14">
        <f t="shared" si="78"/>
        <v>1</v>
      </c>
      <c r="R333" s="14">
        <v>20</v>
      </c>
      <c r="S333" s="14">
        <f t="shared" si="79"/>
        <v>3.5000000000000003E-2</v>
      </c>
      <c r="Z333" t="str">
        <f t="shared" si="80"/>
        <v>&lt;Valeur name="no"&gt;332&lt;/Valeur&gt;</v>
      </c>
      <c r="AA333" t="str">
        <f t="shared" si="81"/>
        <v>&lt;Valeur name="ecriturebanque"&gt;316&lt;/Valeur&gt;</v>
      </c>
      <c r="AB333" t="str">
        <f t="shared" si="82"/>
        <v>&lt;Valeur name="datevaleur"&gt;2019/05/15&lt;/Valeur&gt;</v>
      </c>
      <c r="AC333" t="str">
        <f t="shared" si="83"/>
        <v>&lt;Valeur name="compte"&gt;18&lt;/Valeur&gt;</v>
      </c>
      <c r="AD333" t="str">
        <f t="shared" si="84"/>
        <v>&lt;Valeur name="description"&gt;FRAIS E-VIR SEPA VERS EEE&lt;/Valeur&gt;</v>
      </c>
      <c r="AE333" t="str">
        <f t="shared" si="85"/>
        <v>&lt;Valeur name="valeur"&gt;0.21&lt;/Valeur&gt;</v>
      </c>
      <c r="AF333" t="str">
        <f t="shared" si="86"/>
        <v>&lt;Valeur name="compta"&gt;1&lt;/Valeur&gt;</v>
      </c>
      <c r="AG333" t="str">
        <f t="shared" si="87"/>
        <v>&lt;Valeur name="tvapct"&gt;20&lt;/Valeur&gt;</v>
      </c>
      <c r="AH333" t="str">
        <f t="shared" si="88"/>
        <v>&lt;Valeur name="tva"&gt;0.035&lt;/Valeur&gt;</v>
      </c>
      <c r="AL333" t="str">
        <f t="shared" si="89"/>
        <v>&lt;Insert&gt;&lt;Valeur name="no"&gt;332&lt;/Valeur&gt;&lt;Valeur name="ecriturebanque"&gt;316&lt;/Valeur&gt;&lt;Valeur name="datevaleur"&gt;2019/05/15&lt;/Valeur&gt;&lt;Valeur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334" spans="1:38" x14ac:dyDescent="0.25">
      <c r="A334">
        <v>317</v>
      </c>
      <c r="B334">
        <f>IF(A334&lt;&gt;"",VLOOKUP(A334,Banque!B:D,3,FALSE),1)</f>
        <v>1</v>
      </c>
      <c r="C334" s="1">
        <v>43600</v>
      </c>
      <c r="D334" t="s">
        <v>257</v>
      </c>
      <c r="E334" t="s">
        <v>31</v>
      </c>
      <c r="G334" s="10">
        <v>0.21</v>
      </c>
      <c r="I334" s="11">
        <f t="shared" si="75"/>
        <v>3.5000000000000003E-2</v>
      </c>
      <c r="K334">
        <v>333</v>
      </c>
      <c r="L334">
        <v>317</v>
      </c>
      <c r="M334" s="16" t="s">
        <v>881</v>
      </c>
      <c r="N334">
        <f>IFERROR(VLOOKUP(D334,tab!A:B,2,FALSE),1)</f>
        <v>18</v>
      </c>
      <c r="O334" t="str">
        <f t="shared" si="76"/>
        <v>FRAIS E-VIR SEPA VERS EEE</v>
      </c>
      <c r="P334" s="14">
        <f t="shared" si="77"/>
        <v>0.21</v>
      </c>
      <c r="Q334" s="14">
        <f t="shared" si="78"/>
        <v>1</v>
      </c>
      <c r="R334" s="14">
        <v>20</v>
      </c>
      <c r="S334" s="14">
        <f t="shared" si="79"/>
        <v>3.5000000000000003E-2</v>
      </c>
      <c r="Z334" t="str">
        <f t="shared" si="80"/>
        <v>&lt;Valeur name="no"&gt;333&lt;/Valeur&gt;</v>
      </c>
      <c r="AA334" t="str">
        <f t="shared" si="81"/>
        <v>&lt;Valeur name="ecriturebanque"&gt;317&lt;/Valeur&gt;</v>
      </c>
      <c r="AB334" t="str">
        <f t="shared" si="82"/>
        <v>&lt;Valeur name="datevaleur"&gt;2019/05/15&lt;/Valeur&gt;</v>
      </c>
      <c r="AC334" t="str">
        <f t="shared" si="83"/>
        <v>&lt;Valeur name="compte"&gt;18&lt;/Valeur&gt;</v>
      </c>
      <c r="AD334" t="str">
        <f t="shared" si="84"/>
        <v>&lt;Valeur name="description"&gt;FRAIS E-VIR SEPA VERS EEE&lt;/Valeur&gt;</v>
      </c>
      <c r="AE334" t="str">
        <f t="shared" si="85"/>
        <v>&lt;Valeur name="valeur"&gt;0.21&lt;/Valeur&gt;</v>
      </c>
      <c r="AF334" t="str">
        <f t="shared" si="86"/>
        <v>&lt;Valeur name="compta"&gt;1&lt;/Valeur&gt;</v>
      </c>
      <c r="AG334" t="str">
        <f t="shared" si="87"/>
        <v>&lt;Valeur name="tvapct"&gt;20&lt;/Valeur&gt;</v>
      </c>
      <c r="AH334" t="str">
        <f t="shared" si="88"/>
        <v>&lt;Valeur name="tva"&gt;0.035&lt;/Valeur&gt;</v>
      </c>
      <c r="AL334" t="str">
        <f t="shared" si="89"/>
        <v>&lt;Insert&gt;&lt;Valeur name="no"&gt;333&lt;/Valeur&gt;&lt;Valeur name="ecriturebanque"&gt;317&lt;/Valeur&gt;&lt;Valeur name="datevaleur"&gt;2019/05/15&lt;/Valeur&gt;&lt;Valeur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335" spans="1:38" x14ac:dyDescent="0.25">
      <c r="A335">
        <v>318</v>
      </c>
      <c r="B335">
        <f>IF(A335&lt;&gt;"",VLOOKUP(A335,Banque!B:D,3,FALSE),1)</f>
        <v>1</v>
      </c>
      <c r="C335" s="1">
        <v>43601</v>
      </c>
      <c r="D335" t="s">
        <v>271</v>
      </c>
      <c r="E335" t="s">
        <v>786</v>
      </c>
      <c r="G335" s="10">
        <v>12</v>
      </c>
      <c r="I335" s="11">
        <f t="shared" si="75"/>
        <v>2</v>
      </c>
      <c r="K335">
        <v>334</v>
      </c>
      <c r="L335">
        <v>318</v>
      </c>
      <c r="M335" s="16" t="s">
        <v>929</v>
      </c>
      <c r="N335">
        <f>IFERROR(VLOOKUP(D335,tab!A:B,2,FALSE),1)</f>
        <v>15</v>
      </c>
      <c r="O335" t="str">
        <f t="shared" si="76"/>
        <v>CB 548222 EFFIA       59VALENCIE</v>
      </c>
      <c r="P335" s="14">
        <f t="shared" si="77"/>
        <v>12</v>
      </c>
      <c r="Q335" s="14">
        <f t="shared" si="78"/>
        <v>1</v>
      </c>
      <c r="R335" s="14">
        <v>20</v>
      </c>
      <c r="S335" s="14">
        <f t="shared" si="79"/>
        <v>2</v>
      </c>
      <c r="Z335" t="str">
        <f t="shared" si="80"/>
        <v>&lt;Valeur name="no"&gt;334&lt;/Valeur&gt;</v>
      </c>
      <c r="AA335" t="str">
        <f t="shared" si="81"/>
        <v>&lt;Valeur name="ecriturebanque"&gt;318&lt;/Valeur&gt;</v>
      </c>
      <c r="AB335" t="str">
        <f t="shared" si="82"/>
        <v>&lt;Valeur name="datevaleur"&gt;2019/05/16&lt;/Valeur&gt;</v>
      </c>
      <c r="AC335" t="str">
        <f t="shared" si="83"/>
        <v>&lt;Valeur name="compte"&gt;15&lt;/Valeur&gt;</v>
      </c>
      <c r="AD335" t="str">
        <f t="shared" si="84"/>
        <v>&lt;Valeur name="description"&gt;CB 548222 EFFIA       59VALENCIE&lt;/Valeur&gt;</v>
      </c>
      <c r="AE335" t="str">
        <f t="shared" si="85"/>
        <v>&lt;Valeur name="valeur"&gt;12&lt;/Valeur&gt;</v>
      </c>
      <c r="AF335" t="str">
        <f t="shared" si="86"/>
        <v>&lt;Valeur name="compta"&gt;1&lt;/Valeur&gt;</v>
      </c>
      <c r="AG335" t="str">
        <f t="shared" si="87"/>
        <v>&lt;Valeur name="tvapct"&gt;20&lt;/Valeur&gt;</v>
      </c>
      <c r="AH335" t="str">
        <f t="shared" si="88"/>
        <v>&lt;Valeur name="tva"&gt;2&lt;/Valeur&gt;</v>
      </c>
      <c r="AL335" t="str">
        <f t="shared" si="89"/>
        <v>&lt;Insert&gt;&lt;Valeur name="no"&gt;334&lt;/Valeur&gt;&lt;Valeur name="ecriturebanque"&gt;318&lt;/Valeur&gt;&lt;Valeur name="datevaleur"&gt;2019/05/16&lt;/Valeur&gt;&lt;Valeur name="compte"&gt;15&lt;/Valeur&gt;&lt;Valeur name="description"&gt;CB 548222 EFFIA       59VALENCIE&lt;/Valeur&gt;&lt;Valeur name="valeur"&gt;12&lt;/Valeur&gt;&lt;Valeur name="compta"&gt;1&lt;/Valeur&gt;&lt;Valeur name="tvapct"&gt;20&lt;/Valeur&gt;&lt;Valeur name="tva"&gt;2&lt;/Valeur&gt;&lt;/Insert&gt;</v>
      </c>
    </row>
    <row r="336" spans="1:38" x14ac:dyDescent="0.25">
      <c r="A336">
        <v>319</v>
      </c>
      <c r="B336">
        <f>IF(A336&lt;&gt;"",VLOOKUP(A336,Banque!B:D,3,FALSE),1)</f>
        <v>1</v>
      </c>
      <c r="C336" s="1">
        <v>43601</v>
      </c>
      <c r="D336" t="s">
        <v>266</v>
      </c>
      <c r="E336" t="s">
        <v>788</v>
      </c>
      <c r="G336" s="10">
        <v>3.53</v>
      </c>
      <c r="I336" s="11">
        <f t="shared" si="75"/>
        <v>0.58833333333333337</v>
      </c>
      <c r="K336">
        <v>335</v>
      </c>
      <c r="L336">
        <v>319</v>
      </c>
      <c r="M336" s="16" t="s">
        <v>929</v>
      </c>
      <c r="N336">
        <f>IFERROR(VLOOKUP(D336,tab!A:B,2,FALSE),1)</f>
        <v>16</v>
      </c>
      <c r="O336" t="str">
        <f t="shared" si="76"/>
        <v>CB 454106 INFOGREFFE  94VINCENNE</v>
      </c>
      <c r="P336" s="14">
        <f t="shared" si="77"/>
        <v>3.53</v>
      </c>
      <c r="Q336" s="14">
        <f t="shared" si="78"/>
        <v>1</v>
      </c>
      <c r="R336" s="14">
        <v>20</v>
      </c>
      <c r="S336" s="14">
        <f t="shared" si="79"/>
        <v>0.58833333333333337</v>
      </c>
      <c r="Z336" t="str">
        <f t="shared" si="80"/>
        <v>&lt;Valeur name="no"&gt;335&lt;/Valeur&gt;</v>
      </c>
      <c r="AA336" t="str">
        <f t="shared" si="81"/>
        <v>&lt;Valeur name="ecriturebanque"&gt;319&lt;/Valeur&gt;</v>
      </c>
      <c r="AB336" t="str">
        <f t="shared" si="82"/>
        <v>&lt;Valeur name="datevaleur"&gt;2019/05/16&lt;/Valeur&gt;</v>
      </c>
      <c r="AC336" t="str">
        <f t="shared" si="83"/>
        <v>&lt;Valeur name="compte"&gt;16&lt;/Valeur&gt;</v>
      </c>
      <c r="AD336" t="str">
        <f t="shared" si="84"/>
        <v>&lt;Valeur name="description"&gt;CB 454106 INFOGREFFE  94VINCENNE&lt;/Valeur&gt;</v>
      </c>
      <c r="AE336" t="str">
        <f t="shared" si="85"/>
        <v>&lt;Valeur name="valeur"&gt;3.53&lt;/Valeur&gt;</v>
      </c>
      <c r="AF336" t="str">
        <f t="shared" si="86"/>
        <v>&lt;Valeur name="compta"&gt;1&lt;/Valeur&gt;</v>
      </c>
      <c r="AG336" t="str">
        <f t="shared" si="87"/>
        <v>&lt;Valeur name="tvapct"&gt;20&lt;/Valeur&gt;</v>
      </c>
      <c r="AH336" t="str">
        <f t="shared" si="88"/>
        <v>&lt;Valeur name="tva"&gt;0.588333333333333&lt;/Valeur&gt;</v>
      </c>
      <c r="AL336" t="str">
        <f t="shared" si="89"/>
        <v>&lt;Insert&gt;&lt;Valeur name="no"&gt;335&lt;/Valeur&gt;&lt;Valeur name="ecriturebanque"&gt;319&lt;/Valeur&gt;&lt;Valeur name="datevaleur"&gt;2019/05/16&lt;/Valeur&gt;&lt;Valeur name="compte"&gt;16&lt;/Valeur&gt;&lt;Valeur name="description"&gt;CB 454106 INFOGREFFE  94VINCENNE&lt;/Valeur&gt;&lt;Valeur name="valeur"&gt;3.53&lt;/Valeur&gt;&lt;Valeur name="compta"&gt;1&lt;/Valeur&gt;&lt;Valeur name="tvapct"&gt;20&lt;/Valeur&gt;&lt;Valeur name="tva"&gt;0.588333333333333&lt;/Valeur&gt;&lt;/Insert&gt;</v>
      </c>
    </row>
    <row r="337" spans="1:38" x14ac:dyDescent="0.25">
      <c r="A337">
        <v>320</v>
      </c>
      <c r="B337">
        <f>IF(A337&lt;&gt;"",VLOOKUP(A337,Banque!B:D,3,FALSE),1)</f>
        <v>0</v>
      </c>
      <c r="C337" s="1">
        <v>43601</v>
      </c>
      <c r="D337" t="s">
        <v>370</v>
      </c>
      <c r="E337" t="s">
        <v>37</v>
      </c>
      <c r="F337" t="s">
        <v>790</v>
      </c>
      <c r="H337" s="10">
        <v>13324</v>
      </c>
      <c r="I337" s="11">
        <f t="shared" si="75"/>
        <v>-2220.6666666666661</v>
      </c>
      <c r="K337">
        <v>336</v>
      </c>
      <c r="L337">
        <v>320</v>
      </c>
      <c r="M337" s="16" t="s">
        <v>929</v>
      </c>
      <c r="N337">
        <f>IFERROR(VLOOKUP(D337,tab!A:B,2,FALSE),1)</f>
        <v>9</v>
      </c>
      <c r="O337" t="str">
        <f t="shared" si="76"/>
        <v>VIR TRESORERIE VILLENEUVE D / FAC NoAF241-5 DU 30/03/2019VILLE</v>
      </c>
      <c r="P337" s="14">
        <f t="shared" si="77"/>
        <v>13324</v>
      </c>
      <c r="Q337" s="14">
        <f t="shared" si="78"/>
        <v>0</v>
      </c>
      <c r="R337" s="14">
        <v>20</v>
      </c>
      <c r="S337" s="14">
        <f t="shared" si="79"/>
        <v>-2220.6666666666661</v>
      </c>
      <c r="Z337" t="str">
        <f t="shared" si="80"/>
        <v>&lt;Valeur name="no"&gt;336&lt;/Valeur&gt;</v>
      </c>
      <c r="AA337" t="str">
        <f t="shared" si="81"/>
        <v>&lt;Valeur name="ecriturebanque"&gt;320&lt;/Valeur&gt;</v>
      </c>
      <c r="AB337" t="str">
        <f t="shared" si="82"/>
        <v>&lt;Valeur name="datevaleur"&gt;2019/05/16&lt;/Valeur&gt;</v>
      </c>
      <c r="AC337" t="str">
        <f t="shared" si="83"/>
        <v>&lt;Valeur name="compte"&gt;9&lt;/Valeur&gt;</v>
      </c>
      <c r="AD337" t="str">
        <f t="shared" si="84"/>
        <v>&lt;Valeur name="description"&gt;VIR TRESORERIE VILLENEUVE D / FAC NoAF241-5 DU 30/03/2019VILLE&lt;/Valeur&gt;</v>
      </c>
      <c r="AE337" t="str">
        <f t="shared" si="85"/>
        <v>&lt;Valeur name="valeur"&gt;13324&lt;/Valeur&gt;</v>
      </c>
      <c r="AF337" t="str">
        <f t="shared" si="86"/>
        <v>&lt;Valeur name="compta"&gt;0&lt;/Valeur&gt;</v>
      </c>
      <c r="AG337" t="str">
        <f t="shared" si="87"/>
        <v>&lt;Valeur name="tvapct"&gt;20&lt;/Valeur&gt;</v>
      </c>
      <c r="AH337" t="str">
        <f t="shared" si="88"/>
        <v>&lt;Valeur name="tva"&gt;-2220.66666666667&lt;/Valeur&gt;</v>
      </c>
      <c r="AL337" t="str">
        <f t="shared" si="89"/>
        <v>&lt;Insert&gt;&lt;Valeur name="no"&gt;336&lt;/Valeur&gt;&lt;Valeur name="ecriturebanque"&gt;320&lt;/Valeur&gt;&lt;Valeur name="datevaleur"&gt;2019/05/16&lt;/Valeur&gt;&lt;Valeur name="compte"&gt;9&lt;/Valeur&gt;&lt;Valeur name="description"&gt;VIR TRESORERIE VILLENEUVE D / FAC NoAF241-5 DU 30/03/2019VILLE&lt;/Valeur&gt;&lt;Valeur name="valeur"&gt;13324&lt;/Valeur&gt;&lt;Valeur name="compta"&gt;0&lt;/Valeur&gt;&lt;Valeur name="tvapct"&gt;20&lt;/Valeur&gt;&lt;Valeur name="tva"&gt;-2220.66666666667&lt;/Valeur&gt;&lt;/Insert&gt;</v>
      </c>
    </row>
    <row r="338" spans="1:38" x14ac:dyDescent="0.25">
      <c r="A338">
        <v>321</v>
      </c>
      <c r="B338">
        <f>IF(A338&lt;&gt;"",VLOOKUP(A338,Banque!B:D,3,FALSE),1)</f>
        <v>1</v>
      </c>
      <c r="C338" s="1">
        <v>43601</v>
      </c>
      <c r="D338" t="s">
        <v>269</v>
      </c>
      <c r="E338" t="s">
        <v>47</v>
      </c>
      <c r="F338" t="s">
        <v>792</v>
      </c>
      <c r="G338" s="10">
        <v>2307</v>
      </c>
      <c r="I338" s="11">
        <f t="shared" si="75"/>
        <v>384.5</v>
      </c>
      <c r="K338">
        <v>337</v>
      </c>
      <c r="L338">
        <v>321</v>
      </c>
      <c r="M338" s="16" t="s">
        <v>929</v>
      </c>
      <c r="N338">
        <f>IFERROR(VLOOKUP(D338,tab!A:B,2,FALSE),1)</f>
        <v>14</v>
      </c>
      <c r="O338" t="str">
        <f t="shared" si="76"/>
        <v>PRLV SEPA URSSAF Nord-Pas-de-Cal / UR 317000001020473292    AVR 197</v>
      </c>
      <c r="P338" s="14">
        <f t="shared" si="77"/>
        <v>2307</v>
      </c>
      <c r="Q338" s="14">
        <f t="shared" si="78"/>
        <v>1</v>
      </c>
      <c r="R338" s="14">
        <v>20</v>
      </c>
      <c r="S338" s="14">
        <f t="shared" si="79"/>
        <v>384.5</v>
      </c>
      <c r="Z338" t="str">
        <f t="shared" si="80"/>
        <v>&lt;Valeur name="no"&gt;337&lt;/Valeur&gt;</v>
      </c>
      <c r="AA338" t="str">
        <f t="shared" si="81"/>
        <v>&lt;Valeur name="ecriturebanque"&gt;321&lt;/Valeur&gt;</v>
      </c>
      <c r="AB338" t="str">
        <f t="shared" si="82"/>
        <v>&lt;Valeur name="datevaleur"&gt;2019/05/16&lt;/Valeur&gt;</v>
      </c>
      <c r="AC338" t="str">
        <f t="shared" si="83"/>
        <v>&lt;Valeur name="compte"&gt;14&lt;/Valeur&gt;</v>
      </c>
      <c r="AD338" t="str">
        <f t="shared" si="84"/>
        <v>&lt;Valeur name="description"&gt;PRLV SEPA URSSAF Nord-Pas-de-Cal / UR 317000001020473292    AVR 197&lt;/Valeur&gt;</v>
      </c>
      <c r="AE338" t="str">
        <f t="shared" si="85"/>
        <v>&lt;Valeur name="valeur"&gt;2307&lt;/Valeur&gt;</v>
      </c>
      <c r="AF338" t="str">
        <f t="shared" si="86"/>
        <v>&lt;Valeur name="compta"&gt;1&lt;/Valeur&gt;</v>
      </c>
      <c r="AG338" t="str">
        <f t="shared" si="87"/>
        <v>&lt;Valeur name="tvapct"&gt;20&lt;/Valeur&gt;</v>
      </c>
      <c r="AH338" t="str">
        <f t="shared" si="88"/>
        <v>&lt;Valeur name="tva"&gt;384.5&lt;/Valeur&gt;</v>
      </c>
      <c r="AL338" t="str">
        <f t="shared" si="89"/>
        <v>&lt;Insert&gt;&lt;Valeur name="no"&gt;337&lt;/Valeur&gt;&lt;Valeur name="ecriturebanque"&gt;321&lt;/Valeur&gt;&lt;Valeur name="datevaleur"&gt;2019/05/16&lt;/Valeur&gt;&lt;Valeur name="compte"&gt;14&lt;/Valeur&gt;&lt;Valeur name="description"&gt;PRLV SEPA URSSAF Nord-Pas-de-Cal / UR 317000001020473292    AVR 197&lt;/Valeur&gt;&lt;Valeur name="valeur"&gt;2307&lt;/Valeur&gt;&lt;Valeur name="compta"&gt;1&lt;/Valeur&gt;&lt;Valeur name="tvapct"&gt;20&lt;/Valeur&gt;&lt;Valeur name="tva"&gt;384.5&lt;/Valeur&gt;&lt;/Insert&gt;</v>
      </c>
    </row>
    <row r="339" spans="1:38" x14ac:dyDescent="0.25">
      <c r="A339">
        <v>322</v>
      </c>
      <c r="B339">
        <f>IF(A339&lt;&gt;"",VLOOKUP(A339,Banque!B:D,3,FALSE),1)</f>
        <v>0</v>
      </c>
      <c r="C339" s="1">
        <v>43602</v>
      </c>
      <c r="E339" t="s">
        <v>794</v>
      </c>
      <c r="G339" s="10">
        <v>106.86</v>
      </c>
      <c r="I339" s="11">
        <f t="shared" si="75"/>
        <v>17.810000000000002</v>
      </c>
      <c r="K339">
        <v>338</v>
      </c>
      <c r="L339">
        <v>322</v>
      </c>
      <c r="M339" s="16" t="s">
        <v>914</v>
      </c>
      <c r="N339">
        <f>IFERROR(VLOOKUP(D339,tab!A:B,2,FALSE),1)</f>
        <v>1</v>
      </c>
      <c r="O339" t="str">
        <f t="shared" si="76"/>
        <v>RELEVE LCR DU  100519  CONFORME</v>
      </c>
      <c r="P339" s="14">
        <f t="shared" si="77"/>
        <v>106.86</v>
      </c>
      <c r="Q339" s="14">
        <f t="shared" si="78"/>
        <v>0</v>
      </c>
      <c r="R339" s="14">
        <v>20</v>
      </c>
      <c r="S339" s="14">
        <f t="shared" si="79"/>
        <v>17.810000000000002</v>
      </c>
      <c r="Z339" t="str">
        <f t="shared" si="80"/>
        <v>&lt;Valeur name="no"&gt;338&lt;/Valeur&gt;</v>
      </c>
      <c r="AA339" t="str">
        <f t="shared" si="81"/>
        <v>&lt;Valeur name="ecriturebanque"&gt;322&lt;/Valeur&gt;</v>
      </c>
      <c r="AB339" t="str">
        <f t="shared" si="82"/>
        <v>&lt;Valeur name="datevaleur"&gt;2019/05/17&lt;/Valeur&gt;</v>
      </c>
      <c r="AC339" t="str">
        <f t="shared" si="83"/>
        <v>&lt;Valeur name="compte"&gt;1&lt;/Valeur&gt;</v>
      </c>
      <c r="AD339" t="str">
        <f t="shared" si="84"/>
        <v>&lt;Valeur name="description"&gt;RELEVE LCR DU  100519  CONFORME&lt;/Valeur&gt;</v>
      </c>
      <c r="AE339" t="str">
        <f t="shared" si="85"/>
        <v>&lt;Valeur name="valeur"&gt;106.86&lt;/Valeur&gt;</v>
      </c>
      <c r="AF339" t="str">
        <f t="shared" si="86"/>
        <v>&lt;Valeur name="compta"&gt;0&lt;/Valeur&gt;</v>
      </c>
      <c r="AG339" t="str">
        <f t="shared" si="87"/>
        <v>&lt;Valeur name="tvapct"&gt;20&lt;/Valeur&gt;</v>
      </c>
      <c r="AH339" t="str">
        <f t="shared" si="88"/>
        <v>&lt;Valeur name="tva"&gt;17.81&lt;/Valeur&gt;</v>
      </c>
      <c r="AL339" t="str">
        <f t="shared" si="89"/>
        <v>&lt;Insert&gt;&lt;Valeur name="no"&gt;338&lt;/Valeur&gt;&lt;Valeur name="ecriturebanque"&gt;322&lt;/Valeur&gt;&lt;Valeur name="datevaleur"&gt;2019/05/17&lt;/Valeur&gt;&lt;Valeur name="compte"&gt;1&lt;/Valeur&gt;&lt;Valeur name="description"&gt;RELEVE LCR DU  100519  CONFORME&lt;/Valeur&gt;&lt;Valeur name="valeur"&gt;106.86&lt;/Valeur&gt;&lt;Valeur name="compta"&gt;0&lt;/Valeur&gt;&lt;Valeur name="tvapct"&gt;20&lt;/Valeur&gt;&lt;Valeur name="tva"&gt;17.81&lt;/Valeur&gt;&lt;/Insert&gt;</v>
      </c>
    </row>
    <row r="340" spans="1:38" x14ac:dyDescent="0.25">
      <c r="A340">
        <v>323</v>
      </c>
      <c r="B340">
        <f>IF(A340&lt;&gt;"",VLOOKUP(A340,Banque!B:D,3,FALSE),1)</f>
        <v>0</v>
      </c>
      <c r="C340" s="1">
        <v>43602</v>
      </c>
      <c r="E340" t="s">
        <v>142</v>
      </c>
      <c r="G340" s="10">
        <v>76.63</v>
      </c>
      <c r="I340" s="11">
        <f t="shared" si="75"/>
        <v>12.771666666666661</v>
      </c>
      <c r="K340">
        <v>339</v>
      </c>
      <c r="L340">
        <v>323</v>
      </c>
      <c r="M340" s="16" t="s">
        <v>914</v>
      </c>
      <c r="N340">
        <f>IFERROR(VLOOKUP(D340,tab!A:B,2,FALSE),1)</f>
        <v>1</v>
      </c>
      <c r="O340" t="str">
        <f t="shared" si="76"/>
        <v>CB 454106 DAC SM MATC 59BAVAY</v>
      </c>
      <c r="P340" s="14">
        <f t="shared" si="77"/>
        <v>76.63</v>
      </c>
      <c r="Q340" s="14">
        <f t="shared" si="78"/>
        <v>0</v>
      </c>
      <c r="R340" s="14">
        <v>20</v>
      </c>
      <c r="S340" s="14">
        <f t="shared" si="79"/>
        <v>12.771666666666661</v>
      </c>
      <c r="Z340" t="str">
        <f t="shared" si="80"/>
        <v>&lt;Valeur name="no"&gt;339&lt;/Valeur&gt;</v>
      </c>
      <c r="AA340" t="str">
        <f t="shared" si="81"/>
        <v>&lt;Valeur name="ecriturebanque"&gt;323&lt;/Valeur&gt;</v>
      </c>
      <c r="AB340" t="str">
        <f t="shared" si="82"/>
        <v>&lt;Valeur name="datevaleur"&gt;2019/05/17&lt;/Valeur&gt;</v>
      </c>
      <c r="AC340" t="str">
        <f t="shared" si="83"/>
        <v>&lt;Valeur name="compte"&gt;1&lt;/Valeur&gt;</v>
      </c>
      <c r="AD340" t="str">
        <f t="shared" si="84"/>
        <v>&lt;Valeur name="description"&gt;CB 454106 DAC SM MATC 59BAVAY&lt;/Valeur&gt;</v>
      </c>
      <c r="AE340" t="str">
        <f t="shared" si="85"/>
        <v>&lt;Valeur name="valeur"&gt;76.63&lt;/Valeur&gt;</v>
      </c>
      <c r="AF340" t="str">
        <f t="shared" si="86"/>
        <v>&lt;Valeur name="compta"&gt;0&lt;/Valeur&gt;</v>
      </c>
      <c r="AG340" t="str">
        <f t="shared" si="87"/>
        <v>&lt;Valeur name="tvapct"&gt;20&lt;/Valeur&gt;</v>
      </c>
      <c r="AH340" t="str">
        <f t="shared" si="88"/>
        <v>&lt;Valeur name="tva"&gt;12.7716666666667&lt;/Valeur&gt;</v>
      </c>
      <c r="AL340" t="str">
        <f t="shared" si="89"/>
        <v>&lt;Insert&gt;&lt;Valeur name="no"&gt;339&lt;/Valeur&gt;&lt;Valeur name="ecriturebanque"&gt;323&lt;/Valeur&gt;&lt;Valeur name="datevaleur"&gt;2019/05/17&lt;/Valeur&gt;&lt;Valeur name="compte"&gt;1&lt;/Valeur&gt;&lt;Valeur name="description"&gt;CB 454106 DAC SM MATC 59BAVAY&lt;/Valeur&gt;&lt;Valeur name="valeur"&gt;76.63&lt;/Valeur&gt;&lt;Valeur name="compta"&gt;0&lt;/Valeur&gt;&lt;Valeur name="tvapct"&gt;20&lt;/Valeur&gt;&lt;Valeur name="tva"&gt;12.7716666666667&lt;/Valeur&gt;&lt;/Insert&gt;</v>
      </c>
    </row>
    <row r="341" spans="1:38" x14ac:dyDescent="0.25">
      <c r="A341">
        <v>324</v>
      </c>
      <c r="B341">
        <f>IF(A341&lt;&gt;"",VLOOKUP(A341,Banque!B:D,3,FALSE),1)</f>
        <v>1</v>
      </c>
      <c r="C341" s="1">
        <v>43602</v>
      </c>
      <c r="E341" t="s">
        <v>144</v>
      </c>
      <c r="H341" s="10">
        <v>348</v>
      </c>
      <c r="I341" s="11">
        <f t="shared" si="75"/>
        <v>-58</v>
      </c>
      <c r="K341">
        <v>340</v>
      </c>
      <c r="L341">
        <v>324</v>
      </c>
      <c r="M341" s="16" t="s">
        <v>914</v>
      </c>
      <c r="N341">
        <f>IFERROR(VLOOKUP(D341,tab!A:B,2,FALSE),1)</f>
        <v>1</v>
      </c>
      <c r="O341" t="str">
        <f t="shared" si="76"/>
        <v>REMISE CHEQUES</v>
      </c>
      <c r="P341" s="14">
        <f t="shared" si="77"/>
        <v>348</v>
      </c>
      <c r="Q341" s="14">
        <f t="shared" si="78"/>
        <v>1</v>
      </c>
      <c r="R341" s="14">
        <v>20</v>
      </c>
      <c r="S341" s="14">
        <f t="shared" si="79"/>
        <v>-58</v>
      </c>
      <c r="Z341" t="str">
        <f t="shared" si="80"/>
        <v>&lt;Valeur name="no"&gt;340&lt;/Valeur&gt;</v>
      </c>
      <c r="AA341" t="str">
        <f t="shared" si="81"/>
        <v>&lt;Valeur name="ecriturebanque"&gt;324&lt;/Valeur&gt;</v>
      </c>
      <c r="AB341" t="str">
        <f t="shared" si="82"/>
        <v>&lt;Valeur name="datevaleur"&gt;2019/05/17&lt;/Valeur&gt;</v>
      </c>
      <c r="AC341" t="str">
        <f t="shared" si="83"/>
        <v>&lt;Valeur name="compte"&gt;1&lt;/Valeur&gt;</v>
      </c>
      <c r="AD341" t="str">
        <f t="shared" si="84"/>
        <v>&lt;Valeur name="description"&gt;REMISE CHEQUES&lt;/Valeur&gt;</v>
      </c>
      <c r="AE341" t="str">
        <f t="shared" si="85"/>
        <v>&lt;Valeur name="valeur"&gt;348&lt;/Valeur&gt;</v>
      </c>
      <c r="AF341" t="str">
        <f t="shared" si="86"/>
        <v>&lt;Valeur name="compta"&gt;1&lt;/Valeur&gt;</v>
      </c>
      <c r="AG341" t="str">
        <f t="shared" si="87"/>
        <v>&lt;Valeur name="tvapct"&gt;20&lt;/Valeur&gt;</v>
      </c>
      <c r="AH341" t="str">
        <f t="shared" si="88"/>
        <v>&lt;Valeur name="tva"&gt;-58&lt;/Valeur&gt;</v>
      </c>
      <c r="AL341" t="str">
        <f t="shared" si="89"/>
        <v>&lt;Insert&gt;&lt;Valeur name="no"&gt;340&lt;/Valeur&gt;&lt;Valeur name="ecriturebanque"&gt;324&lt;/Valeur&gt;&lt;Valeur name="datevaleur"&gt;2019/05/17&lt;/Valeur&gt;&lt;Valeur name="compte"&gt;1&lt;/Valeur&gt;&lt;Valeur name="description"&gt;REMISE CHEQUES&lt;/Valeur&gt;&lt;Valeur name="valeur"&gt;348&lt;/Valeur&gt;&lt;Valeur name="compta"&gt;1&lt;/Valeur&gt;&lt;Valeur name="tvapct"&gt;20&lt;/Valeur&gt;&lt;Valeur name="tva"&gt;-58&lt;/Valeur&gt;&lt;/Insert&gt;</v>
      </c>
    </row>
    <row r="342" spans="1:38" x14ac:dyDescent="0.25">
      <c r="A342">
        <v>325</v>
      </c>
      <c r="B342">
        <f>IF(A342&lt;&gt;"",VLOOKUP(A342,Banque!B:D,3,FALSE),1)</f>
        <v>0</v>
      </c>
      <c r="C342" s="1">
        <v>43605</v>
      </c>
      <c r="E342" t="s">
        <v>42</v>
      </c>
      <c r="G342" s="10">
        <v>9.99</v>
      </c>
      <c r="I342" s="11">
        <f t="shared" si="75"/>
        <v>1.6649999999999991</v>
      </c>
      <c r="K342">
        <v>341</v>
      </c>
      <c r="L342">
        <v>325</v>
      </c>
      <c r="M342" s="16" t="s">
        <v>983</v>
      </c>
      <c r="N342">
        <f>IFERROR(VLOOKUP(D342,tab!A:B,2,FALSE),1)</f>
        <v>1</v>
      </c>
      <c r="O342" t="str">
        <f t="shared" si="76"/>
        <v>CB 548222 GOOGLE GOOG GB   9,99</v>
      </c>
      <c r="P342" s="14">
        <f t="shared" si="77"/>
        <v>9.99</v>
      </c>
      <c r="Q342" s="14">
        <f t="shared" si="78"/>
        <v>0</v>
      </c>
      <c r="R342" s="14">
        <v>20</v>
      </c>
      <c r="S342" s="14">
        <f t="shared" si="79"/>
        <v>1.6649999999999991</v>
      </c>
      <c r="Z342" t="str">
        <f t="shared" si="80"/>
        <v>&lt;Valeur name="no"&gt;341&lt;/Valeur&gt;</v>
      </c>
      <c r="AA342" t="str">
        <f t="shared" si="81"/>
        <v>&lt;Valeur name="ecriturebanque"&gt;325&lt;/Valeur&gt;</v>
      </c>
      <c r="AB342" t="str">
        <f t="shared" si="82"/>
        <v>&lt;Valeur name="datevaleur"&gt;2019/05/20&lt;/Valeur&gt;</v>
      </c>
      <c r="AC342" t="str">
        <f t="shared" si="83"/>
        <v>&lt;Valeur name="compte"&gt;1&lt;/Valeur&gt;</v>
      </c>
      <c r="AD342" t="str">
        <f t="shared" si="84"/>
        <v>&lt;Valeur name="description"&gt;CB 548222 GOOGLE GOOG GB   9,99&lt;/Valeur&gt;</v>
      </c>
      <c r="AE342" t="str">
        <f t="shared" si="85"/>
        <v>&lt;Valeur name="valeur"&gt;9.99&lt;/Valeur&gt;</v>
      </c>
      <c r="AF342" t="str">
        <f t="shared" si="86"/>
        <v>&lt;Valeur name="compta"&gt;0&lt;/Valeur&gt;</v>
      </c>
      <c r="AG342" t="str">
        <f t="shared" si="87"/>
        <v>&lt;Valeur name="tvapct"&gt;20&lt;/Valeur&gt;</v>
      </c>
      <c r="AH342" t="str">
        <f t="shared" si="88"/>
        <v>&lt;Valeur name="tva"&gt;1.665&lt;/Valeur&gt;</v>
      </c>
      <c r="AL342" t="str">
        <f t="shared" si="89"/>
        <v>&lt;Insert&gt;&lt;Valeur name="no"&gt;341&lt;/Valeur&gt;&lt;Valeur name="ecriturebanque"&gt;325&lt;/Valeur&gt;&lt;Valeur name="datevaleur"&gt;2019/05/20&lt;/Valeur&gt;&lt;Valeur name="compte"&gt;1&lt;/Valeur&gt;&lt;Valeur name="description"&gt;CB 548222 GOOGLE GOOG GB   9,99&lt;/Valeur&gt;&lt;Valeur name="valeur"&gt;9.99&lt;/Valeur&gt;&lt;Valeur name="compta"&gt;0&lt;/Valeur&gt;&lt;Valeur name="tvapct"&gt;20&lt;/Valeur&gt;&lt;Valeur name="tva"&gt;1.665&lt;/Valeur&gt;&lt;/Insert&gt;</v>
      </c>
    </row>
    <row r="343" spans="1:38" x14ac:dyDescent="0.25">
      <c r="A343">
        <v>326</v>
      </c>
      <c r="B343">
        <f>IF(A343&lt;&gt;"",VLOOKUP(A343,Banque!B:D,3,FALSE),1)</f>
        <v>0</v>
      </c>
      <c r="C343" s="1">
        <v>43605</v>
      </c>
      <c r="E343" t="s">
        <v>809</v>
      </c>
      <c r="G343" s="10">
        <v>104.5</v>
      </c>
      <c r="I343" s="11">
        <f t="shared" si="75"/>
        <v>17.416666666666657</v>
      </c>
      <c r="K343">
        <v>342</v>
      </c>
      <c r="L343">
        <v>326</v>
      </c>
      <c r="M343" s="16" t="s">
        <v>983</v>
      </c>
      <c r="N343">
        <f>IFERROR(VLOOKUP(D343,tab!A:B,2,FALSE),1)</f>
        <v>1</v>
      </c>
      <c r="O343" t="str">
        <f t="shared" si="76"/>
        <v>CB 454106 LE NERVIEN  59BAVAY</v>
      </c>
      <c r="P343" s="14">
        <f t="shared" si="77"/>
        <v>104.5</v>
      </c>
      <c r="Q343" s="14">
        <f t="shared" si="78"/>
        <v>0</v>
      </c>
      <c r="R343" s="14">
        <v>20</v>
      </c>
      <c r="S343" s="14">
        <f t="shared" si="79"/>
        <v>17.416666666666657</v>
      </c>
      <c r="Z343" t="str">
        <f t="shared" si="80"/>
        <v>&lt;Valeur name="no"&gt;342&lt;/Valeur&gt;</v>
      </c>
      <c r="AA343" t="str">
        <f t="shared" si="81"/>
        <v>&lt;Valeur name="ecriturebanque"&gt;326&lt;/Valeur&gt;</v>
      </c>
      <c r="AB343" t="str">
        <f t="shared" si="82"/>
        <v>&lt;Valeur name="datevaleur"&gt;2019/05/20&lt;/Valeur&gt;</v>
      </c>
      <c r="AC343" t="str">
        <f t="shared" si="83"/>
        <v>&lt;Valeur name="compte"&gt;1&lt;/Valeur&gt;</v>
      </c>
      <c r="AD343" t="str">
        <f t="shared" si="84"/>
        <v>&lt;Valeur name="description"&gt;CB 454106 LE NERVIEN  59BAVAY&lt;/Valeur&gt;</v>
      </c>
      <c r="AE343" t="str">
        <f t="shared" si="85"/>
        <v>&lt;Valeur name="valeur"&gt;104.5&lt;/Valeur&gt;</v>
      </c>
      <c r="AF343" t="str">
        <f t="shared" si="86"/>
        <v>&lt;Valeur name="compta"&gt;0&lt;/Valeur&gt;</v>
      </c>
      <c r="AG343" t="str">
        <f t="shared" si="87"/>
        <v>&lt;Valeur name="tvapct"&gt;20&lt;/Valeur&gt;</v>
      </c>
      <c r="AH343" t="str">
        <f t="shared" si="88"/>
        <v>&lt;Valeur name="tva"&gt;17.4166666666667&lt;/Valeur&gt;</v>
      </c>
      <c r="AL343" t="str">
        <f t="shared" si="89"/>
        <v>&lt;Insert&gt;&lt;Valeur name="no"&gt;342&lt;/Valeur&gt;&lt;Valeur name="ecriturebanque"&gt;326&lt;/Valeur&gt;&lt;Valeur name="datevaleur"&gt;2019/05/20&lt;/Valeur&gt;&lt;Valeur name="compte"&gt;1&lt;/Valeur&gt;&lt;Valeur name="description"&gt;CB 454106 LE NERVIEN  59BAVAY&lt;/Valeur&gt;&lt;Valeur name="valeur"&gt;104.5&lt;/Valeur&gt;&lt;Valeur name="compta"&gt;0&lt;/Valeur&gt;&lt;Valeur name="tvapct"&gt;20&lt;/Valeur&gt;&lt;Valeur name="tva"&gt;17.4166666666667&lt;/Valeur&gt;&lt;/Insert&gt;</v>
      </c>
    </row>
    <row r="344" spans="1:38" x14ac:dyDescent="0.25">
      <c r="A344">
        <v>327</v>
      </c>
      <c r="B344">
        <f>IF(A344&lt;&gt;"",VLOOKUP(A344,Banque!B:D,3,FALSE),1)</f>
        <v>0</v>
      </c>
      <c r="C344" s="1">
        <v>43605</v>
      </c>
      <c r="E344" t="s">
        <v>811</v>
      </c>
      <c r="G344" s="10">
        <v>79.03</v>
      </c>
      <c r="I344" s="11">
        <f t="shared" si="75"/>
        <v>13.171666666666667</v>
      </c>
      <c r="K344">
        <v>343</v>
      </c>
      <c r="L344">
        <v>327</v>
      </c>
      <c r="M344" s="16" t="s">
        <v>983</v>
      </c>
      <c r="N344">
        <f>IFERROR(VLOOKUP(D344,tab!A:B,2,FALSE),1)</f>
        <v>1</v>
      </c>
      <c r="O344" t="str">
        <f t="shared" si="76"/>
        <v>CB 548222 AUCHAN PETI 59PETITE F</v>
      </c>
      <c r="P344" s="14">
        <f t="shared" si="77"/>
        <v>79.03</v>
      </c>
      <c r="Q344" s="14">
        <f t="shared" si="78"/>
        <v>0</v>
      </c>
      <c r="R344" s="14">
        <v>20</v>
      </c>
      <c r="S344" s="14">
        <f t="shared" si="79"/>
        <v>13.171666666666667</v>
      </c>
      <c r="Z344" t="str">
        <f t="shared" si="80"/>
        <v>&lt;Valeur name="no"&gt;343&lt;/Valeur&gt;</v>
      </c>
      <c r="AA344" t="str">
        <f t="shared" si="81"/>
        <v>&lt;Valeur name="ecriturebanque"&gt;327&lt;/Valeur&gt;</v>
      </c>
      <c r="AB344" t="str">
        <f t="shared" si="82"/>
        <v>&lt;Valeur name="datevaleur"&gt;2019/05/20&lt;/Valeur&gt;</v>
      </c>
      <c r="AC344" t="str">
        <f t="shared" si="83"/>
        <v>&lt;Valeur name="compte"&gt;1&lt;/Valeur&gt;</v>
      </c>
      <c r="AD344" t="str">
        <f t="shared" si="84"/>
        <v>&lt;Valeur name="description"&gt;CB 548222 AUCHAN PETI 59PETITE F&lt;/Valeur&gt;</v>
      </c>
      <c r="AE344" t="str">
        <f t="shared" si="85"/>
        <v>&lt;Valeur name="valeur"&gt;79.03&lt;/Valeur&gt;</v>
      </c>
      <c r="AF344" t="str">
        <f t="shared" si="86"/>
        <v>&lt;Valeur name="compta"&gt;0&lt;/Valeur&gt;</v>
      </c>
      <c r="AG344" t="str">
        <f t="shared" si="87"/>
        <v>&lt;Valeur name="tvapct"&gt;20&lt;/Valeur&gt;</v>
      </c>
      <c r="AH344" t="str">
        <f t="shared" si="88"/>
        <v>&lt;Valeur name="tva"&gt;13.1716666666667&lt;/Valeur&gt;</v>
      </c>
      <c r="AL344" t="str">
        <f t="shared" si="89"/>
        <v>&lt;Insert&gt;&lt;Valeur name="no"&gt;343&lt;/Valeur&gt;&lt;Valeur name="ecriturebanque"&gt;327&lt;/Valeur&gt;&lt;Valeur name="datevaleur"&gt;2019/05/20&lt;/Valeur&gt;&lt;Valeur name="compte"&gt;1&lt;/Valeur&gt;&lt;Valeur name="description"&gt;CB 548222 AUCHAN PETI 59PETITE F&lt;/Valeur&gt;&lt;Valeur name="valeur"&gt;79.03&lt;/Valeur&gt;&lt;Valeur name="compta"&gt;0&lt;/Valeur&gt;&lt;Valeur name="tvapct"&gt;20&lt;/Valeur&gt;&lt;Valeur name="tva"&gt;13.1716666666667&lt;/Valeur&gt;&lt;/Insert&gt;</v>
      </c>
    </row>
    <row r="345" spans="1:38" x14ac:dyDescent="0.25">
      <c r="A345">
        <v>328</v>
      </c>
      <c r="B345">
        <f>IF(A345&lt;&gt;"",VLOOKUP(A345,Banque!B:D,3,FALSE),1)</f>
        <v>0</v>
      </c>
      <c r="C345" s="1">
        <v>43606</v>
      </c>
      <c r="E345" t="s">
        <v>813</v>
      </c>
      <c r="G345" s="10">
        <v>4680</v>
      </c>
      <c r="I345" s="11">
        <f t="shared" si="75"/>
        <v>780</v>
      </c>
      <c r="K345">
        <v>344</v>
      </c>
      <c r="L345">
        <v>328</v>
      </c>
      <c r="M345" s="16" t="s">
        <v>984</v>
      </c>
      <c r="N345">
        <f>IFERROR(VLOOKUP(D345,tab!A:B,2,FALSE),1)</f>
        <v>1</v>
      </c>
      <c r="O345" t="str">
        <f t="shared" si="76"/>
        <v>E-VIR SEPA Dessenne porte Leroy</v>
      </c>
      <c r="P345" s="14">
        <f t="shared" si="77"/>
        <v>4680</v>
      </c>
      <c r="Q345" s="14">
        <f t="shared" si="78"/>
        <v>0</v>
      </c>
      <c r="R345" s="14">
        <v>20</v>
      </c>
      <c r="S345" s="14">
        <f t="shared" si="79"/>
        <v>780</v>
      </c>
      <c r="Z345" t="str">
        <f t="shared" si="80"/>
        <v>&lt;Valeur name="no"&gt;344&lt;/Valeur&gt;</v>
      </c>
      <c r="AA345" t="str">
        <f t="shared" si="81"/>
        <v>&lt;Valeur name="ecriturebanque"&gt;328&lt;/Valeur&gt;</v>
      </c>
      <c r="AB345" t="str">
        <f t="shared" si="82"/>
        <v>&lt;Valeur name="datevaleur"&gt;2019/05/21&lt;/Valeur&gt;</v>
      </c>
      <c r="AC345" t="str">
        <f t="shared" si="83"/>
        <v>&lt;Valeur name="compte"&gt;1&lt;/Valeur&gt;</v>
      </c>
      <c r="AD345" t="str">
        <f t="shared" si="84"/>
        <v>&lt;Valeur name="description"&gt;E-VIR SEPA Dessenne porte Leroy&lt;/Valeur&gt;</v>
      </c>
      <c r="AE345" t="str">
        <f t="shared" si="85"/>
        <v>&lt;Valeur name="valeur"&gt;4680&lt;/Valeur&gt;</v>
      </c>
      <c r="AF345" t="str">
        <f t="shared" si="86"/>
        <v>&lt;Valeur name="compta"&gt;0&lt;/Valeur&gt;</v>
      </c>
      <c r="AG345" t="str">
        <f t="shared" si="87"/>
        <v>&lt;Valeur name="tvapct"&gt;20&lt;/Valeur&gt;</v>
      </c>
      <c r="AH345" t="str">
        <f t="shared" si="88"/>
        <v>&lt;Valeur name="tva"&gt;780&lt;/Valeur&gt;</v>
      </c>
      <c r="AL345" t="str">
        <f t="shared" si="89"/>
        <v>&lt;Insert&gt;&lt;Valeur name="no"&gt;344&lt;/Valeur&gt;&lt;Valeur name="ecriturebanque"&gt;328&lt;/Valeur&gt;&lt;Valeur name="datevaleur"&gt;2019/05/21&lt;/Valeur&gt;&lt;Valeur name="compte"&gt;1&lt;/Valeur&gt;&lt;Valeur name="description"&gt;E-VIR SEPA Dessenne porte Leroy&lt;/Valeur&gt;&lt;Valeur name="valeur"&gt;4680&lt;/Valeur&gt;&lt;Valeur name="compta"&gt;0&lt;/Valeur&gt;&lt;Valeur name="tvapct"&gt;20&lt;/Valeur&gt;&lt;Valeur name="tva"&gt;780&lt;/Valeur&gt;&lt;/Insert&gt;</v>
      </c>
    </row>
    <row r="346" spans="1:38" x14ac:dyDescent="0.25">
      <c r="A346">
        <v>329</v>
      </c>
      <c r="B346">
        <f>IF(A346&lt;&gt;"",VLOOKUP(A346,Banque!B:D,3,FALSE),1)</f>
        <v>0</v>
      </c>
      <c r="C346" s="1">
        <v>43606</v>
      </c>
      <c r="E346" t="s">
        <v>815</v>
      </c>
      <c r="G346" s="10">
        <v>85.91</v>
      </c>
      <c r="I346" s="11">
        <f t="shared" si="75"/>
        <v>14.318333333333328</v>
      </c>
      <c r="K346">
        <v>345</v>
      </c>
      <c r="L346">
        <v>329</v>
      </c>
      <c r="M346" s="16" t="s">
        <v>984</v>
      </c>
      <c r="N346">
        <f>IFERROR(VLOOKUP(D346,tab!A:B,2,FALSE),1)</f>
        <v>1</v>
      </c>
      <c r="O346" t="str">
        <f t="shared" si="76"/>
        <v>CB 454106 CHEVALIER S 59VALENCIE</v>
      </c>
      <c r="P346" s="14">
        <f t="shared" si="77"/>
        <v>85.91</v>
      </c>
      <c r="Q346" s="14">
        <f t="shared" si="78"/>
        <v>0</v>
      </c>
      <c r="R346" s="14">
        <v>20</v>
      </c>
      <c r="S346" s="14">
        <f t="shared" si="79"/>
        <v>14.318333333333328</v>
      </c>
      <c r="Z346" t="str">
        <f t="shared" si="80"/>
        <v>&lt;Valeur name="no"&gt;345&lt;/Valeur&gt;</v>
      </c>
      <c r="AA346" t="str">
        <f t="shared" si="81"/>
        <v>&lt;Valeur name="ecriturebanque"&gt;329&lt;/Valeur&gt;</v>
      </c>
      <c r="AB346" t="str">
        <f t="shared" si="82"/>
        <v>&lt;Valeur name="datevaleur"&gt;2019/05/21&lt;/Valeur&gt;</v>
      </c>
      <c r="AC346" t="str">
        <f t="shared" si="83"/>
        <v>&lt;Valeur name="compte"&gt;1&lt;/Valeur&gt;</v>
      </c>
      <c r="AD346" t="str">
        <f t="shared" si="84"/>
        <v>&lt;Valeur name="description"&gt;CB 454106 CHEVALIER S 59VALENCIE&lt;/Valeur&gt;</v>
      </c>
      <c r="AE346" t="str">
        <f t="shared" si="85"/>
        <v>&lt;Valeur name="valeur"&gt;85.91&lt;/Valeur&gt;</v>
      </c>
      <c r="AF346" t="str">
        <f t="shared" si="86"/>
        <v>&lt;Valeur name="compta"&gt;0&lt;/Valeur&gt;</v>
      </c>
      <c r="AG346" t="str">
        <f t="shared" si="87"/>
        <v>&lt;Valeur name="tvapct"&gt;20&lt;/Valeur&gt;</v>
      </c>
      <c r="AH346" t="str">
        <f t="shared" si="88"/>
        <v>&lt;Valeur name="tva"&gt;14.3183333333333&lt;/Valeur&gt;</v>
      </c>
      <c r="AL346" t="str">
        <f t="shared" si="89"/>
        <v>&lt;Insert&gt;&lt;Valeur name="no"&gt;345&lt;/Valeur&gt;&lt;Valeur name="ecriturebanque"&gt;329&lt;/Valeur&gt;&lt;Valeur name="datevaleur"&gt;2019/05/21&lt;/Valeur&gt;&lt;Valeur name="compte"&gt;1&lt;/Valeur&gt;&lt;Valeur name="description"&gt;CB 454106 CHEVALIER S 59VALENCIE&lt;/Valeur&gt;&lt;Valeur name="valeur"&gt;85.91&lt;/Valeur&gt;&lt;Valeur name="compta"&gt;0&lt;/Valeur&gt;&lt;Valeur name="tvapct"&gt;20&lt;/Valeur&gt;&lt;Valeur name="tva"&gt;14.3183333333333&lt;/Valeur&gt;&lt;/Insert&gt;</v>
      </c>
    </row>
    <row r="347" spans="1:38" x14ac:dyDescent="0.25">
      <c r="A347">
        <v>330</v>
      </c>
      <c r="B347">
        <f>IF(A347&lt;&gt;"",VLOOKUP(A347,Banque!B:D,3,FALSE),1)</f>
        <v>0</v>
      </c>
      <c r="C347" s="1">
        <v>43606</v>
      </c>
      <c r="E347" t="s">
        <v>65</v>
      </c>
      <c r="F347" t="s">
        <v>817</v>
      </c>
      <c r="H347" s="10">
        <v>36846.620000000003</v>
      </c>
      <c r="I347" s="11">
        <f t="shared" si="75"/>
        <v>-6141.1033333333326</v>
      </c>
      <c r="K347">
        <v>346</v>
      </c>
      <c r="L347">
        <v>330</v>
      </c>
      <c r="M347" s="16" t="s">
        <v>984</v>
      </c>
      <c r="N347">
        <f>IFERROR(VLOOKUP(D347,tab!A:B,2,FALSE),1)</f>
        <v>1</v>
      </c>
      <c r="O347" t="str">
        <f t="shared" si="76"/>
        <v>VIR TRESORERIE ARRAS MUNICIP / FAC. situation 8 DU 10/05/2019LO</v>
      </c>
      <c r="P347" s="14">
        <f t="shared" si="77"/>
        <v>36846.620000000003</v>
      </c>
      <c r="Q347" s="14">
        <f t="shared" si="78"/>
        <v>0</v>
      </c>
      <c r="R347" s="14">
        <v>20</v>
      </c>
      <c r="S347" s="14">
        <f t="shared" si="79"/>
        <v>-6141.1033333333326</v>
      </c>
      <c r="Z347" t="str">
        <f t="shared" si="80"/>
        <v>&lt;Valeur name="no"&gt;346&lt;/Valeur&gt;</v>
      </c>
      <c r="AA347" t="str">
        <f t="shared" si="81"/>
        <v>&lt;Valeur name="ecriturebanque"&gt;330&lt;/Valeur&gt;</v>
      </c>
      <c r="AB347" t="str">
        <f t="shared" si="82"/>
        <v>&lt;Valeur name="datevaleur"&gt;2019/05/21&lt;/Valeur&gt;</v>
      </c>
      <c r="AC347" t="str">
        <f t="shared" si="83"/>
        <v>&lt;Valeur name="compte"&gt;1&lt;/Valeur&gt;</v>
      </c>
      <c r="AD347" t="str">
        <f t="shared" si="84"/>
        <v>&lt;Valeur name="description"&gt;VIR TRESORERIE ARRAS MUNICIP / FAC. situation 8 DU 10/05/2019LO&lt;/Valeur&gt;</v>
      </c>
      <c r="AE347" t="str">
        <f t="shared" si="85"/>
        <v>&lt;Valeur name="valeur"&gt;36846.62&lt;/Valeur&gt;</v>
      </c>
      <c r="AF347" t="str">
        <f t="shared" si="86"/>
        <v>&lt;Valeur name="compta"&gt;0&lt;/Valeur&gt;</v>
      </c>
      <c r="AG347" t="str">
        <f t="shared" si="87"/>
        <v>&lt;Valeur name="tvapct"&gt;20&lt;/Valeur&gt;</v>
      </c>
      <c r="AH347" t="str">
        <f t="shared" si="88"/>
        <v>&lt;Valeur name="tva"&gt;-6141.10333333333&lt;/Valeur&gt;</v>
      </c>
      <c r="AL347" t="str">
        <f t="shared" si="89"/>
        <v>&lt;Insert&gt;&lt;Valeur name="no"&gt;346&lt;/Valeur&gt;&lt;Valeur name="ecriturebanque"&gt;330&lt;/Valeur&gt;&lt;Valeur name="datevaleur"&gt;2019/05/21&lt;/Valeur&gt;&lt;Valeur name="compte"&gt;1&lt;/Valeur&gt;&lt;Valeur name="description"&gt;VIR TRESORERIE ARRAS MUNICIP / FAC. situation 8 DU 10/05/2019LO&lt;/Valeur&gt;&lt;Valeur name="valeur"&gt;36846.62&lt;/Valeur&gt;&lt;Valeur name="compta"&gt;0&lt;/Valeur&gt;&lt;Valeur name="tvapct"&gt;20&lt;/Valeur&gt;&lt;Valeur name="tva"&gt;-6141.10333333333&lt;/Valeur&gt;&lt;/Insert&gt;</v>
      </c>
    </row>
    <row r="348" spans="1:38" x14ac:dyDescent="0.25">
      <c r="A348">
        <v>331</v>
      </c>
      <c r="B348">
        <f>IF(A348&lt;&gt;"",VLOOKUP(A348,Banque!B:D,3,FALSE),1)</f>
        <v>0</v>
      </c>
      <c r="C348" s="1">
        <v>43607</v>
      </c>
      <c r="E348" t="s">
        <v>15</v>
      </c>
      <c r="F348" t="s">
        <v>819</v>
      </c>
      <c r="G348" s="10">
        <v>130</v>
      </c>
      <c r="I348" s="11">
        <f t="shared" si="75"/>
        <v>21.666666666666657</v>
      </c>
      <c r="K348">
        <v>347</v>
      </c>
      <c r="L348">
        <v>331</v>
      </c>
      <c r="M348" s="16" t="s">
        <v>985</v>
      </c>
      <c r="N348">
        <f>IFERROR(VLOOKUP(D348,tab!A:B,2,FALSE),1)</f>
        <v>1</v>
      </c>
      <c r="O348" t="str">
        <f t="shared" si="76"/>
        <v>PRLV B2B DGFIP / PASDSN15052019-042019-7945135310</v>
      </c>
      <c r="P348" s="14">
        <f t="shared" si="77"/>
        <v>130</v>
      </c>
      <c r="Q348" s="14">
        <f t="shared" si="78"/>
        <v>0</v>
      </c>
      <c r="R348" s="14">
        <v>20</v>
      </c>
      <c r="S348" s="14">
        <f t="shared" si="79"/>
        <v>21.666666666666657</v>
      </c>
      <c r="Z348" t="str">
        <f t="shared" si="80"/>
        <v>&lt;Valeur name="no"&gt;347&lt;/Valeur&gt;</v>
      </c>
      <c r="AA348" t="str">
        <f t="shared" si="81"/>
        <v>&lt;Valeur name="ecriturebanque"&gt;331&lt;/Valeur&gt;</v>
      </c>
      <c r="AB348" t="str">
        <f t="shared" si="82"/>
        <v>&lt;Valeur name="datevaleur"&gt;2019/05/22&lt;/Valeur&gt;</v>
      </c>
      <c r="AC348" t="str">
        <f t="shared" si="83"/>
        <v>&lt;Valeur name="compte"&gt;1&lt;/Valeur&gt;</v>
      </c>
      <c r="AD348" t="str">
        <f t="shared" si="84"/>
        <v>&lt;Valeur name="description"&gt;PRLV B2B DGFIP / PASDSN15052019-042019-7945135310&lt;/Valeur&gt;</v>
      </c>
      <c r="AE348" t="str">
        <f t="shared" si="85"/>
        <v>&lt;Valeur name="valeur"&gt;130&lt;/Valeur&gt;</v>
      </c>
      <c r="AF348" t="str">
        <f t="shared" si="86"/>
        <v>&lt;Valeur name="compta"&gt;0&lt;/Valeur&gt;</v>
      </c>
      <c r="AG348" t="str">
        <f t="shared" si="87"/>
        <v>&lt;Valeur name="tvapct"&gt;20&lt;/Valeur&gt;</v>
      </c>
      <c r="AH348" t="str">
        <f t="shared" si="88"/>
        <v>&lt;Valeur name="tva"&gt;21.6666666666667&lt;/Valeur&gt;</v>
      </c>
      <c r="AL348" t="str">
        <f t="shared" si="89"/>
        <v>&lt;Insert&gt;&lt;Valeur name="no"&gt;347&lt;/Valeur&gt;&lt;Valeur name="ecriturebanque"&gt;331&lt;/Valeur&gt;&lt;Valeur name="datevaleur"&gt;2019/05/22&lt;/Valeur&gt;&lt;Valeur name="compte"&gt;1&lt;/Valeur&gt;&lt;Valeur name="description"&gt;PRLV B2B DGFIP / PASDSN15052019-042019-7945135310&lt;/Valeur&gt;&lt;Valeur name="valeur"&gt;130&lt;/Valeur&gt;&lt;Valeur name="compta"&gt;0&lt;/Valeur&gt;&lt;Valeur name="tvapct"&gt;20&lt;/Valeur&gt;&lt;Valeur name="tva"&gt;21.6666666666667&lt;/Valeur&gt;&lt;/Insert&gt;</v>
      </c>
    </row>
    <row r="349" spans="1:38" x14ac:dyDescent="0.25">
      <c r="A349">
        <v>332</v>
      </c>
      <c r="B349">
        <f>IF(A349&lt;&gt;"",VLOOKUP(A349,Banque!B:D,3,FALSE),1)</f>
        <v>0</v>
      </c>
      <c r="C349" s="1">
        <v>43607</v>
      </c>
      <c r="E349" t="s">
        <v>31</v>
      </c>
      <c r="G349" s="10">
        <v>0.21</v>
      </c>
      <c r="I349" s="11">
        <f t="shared" si="75"/>
        <v>3.5000000000000003E-2</v>
      </c>
      <c r="K349">
        <v>348</v>
      </c>
      <c r="L349">
        <v>332</v>
      </c>
      <c r="M349" s="16" t="s">
        <v>985</v>
      </c>
      <c r="N349">
        <f>IFERROR(VLOOKUP(D349,tab!A:B,2,FALSE),1)</f>
        <v>1</v>
      </c>
      <c r="O349" t="str">
        <f t="shared" si="76"/>
        <v>FRAIS E-VIR SEPA VERS EEE</v>
      </c>
      <c r="P349" s="14">
        <f t="shared" si="77"/>
        <v>0.21</v>
      </c>
      <c r="Q349" s="14">
        <f t="shared" si="78"/>
        <v>0</v>
      </c>
      <c r="R349" s="14">
        <v>20</v>
      </c>
      <c r="S349" s="14">
        <f t="shared" si="79"/>
        <v>3.5000000000000003E-2</v>
      </c>
      <c r="Z349" t="str">
        <f t="shared" si="80"/>
        <v>&lt;Valeur name="no"&gt;348&lt;/Valeur&gt;</v>
      </c>
      <c r="AA349" t="str">
        <f t="shared" si="81"/>
        <v>&lt;Valeur name="ecriturebanque"&gt;332&lt;/Valeur&gt;</v>
      </c>
      <c r="AB349" t="str">
        <f t="shared" si="82"/>
        <v>&lt;Valeur name="datevaleur"&gt;2019/05/22&lt;/Valeur&gt;</v>
      </c>
      <c r="AC349" t="str">
        <f t="shared" si="83"/>
        <v>&lt;Valeur name="compte"&gt;1&lt;/Valeur&gt;</v>
      </c>
      <c r="AD349" t="str">
        <f t="shared" si="84"/>
        <v>&lt;Valeur name="description"&gt;FRAIS E-VIR SEPA VERS EEE&lt;/Valeur&gt;</v>
      </c>
      <c r="AE349" t="str">
        <f t="shared" si="85"/>
        <v>&lt;Valeur name="valeur"&gt;0.21&lt;/Valeur&gt;</v>
      </c>
      <c r="AF349" t="str">
        <f t="shared" si="86"/>
        <v>&lt;Valeur name="compta"&gt;0&lt;/Valeur&gt;</v>
      </c>
      <c r="AG349" t="str">
        <f t="shared" si="87"/>
        <v>&lt;Valeur name="tvapct"&gt;20&lt;/Valeur&gt;</v>
      </c>
      <c r="AH349" t="str">
        <f t="shared" si="88"/>
        <v>&lt;Valeur name="tva"&gt;0.035&lt;/Valeur&gt;</v>
      </c>
      <c r="AL349" t="str">
        <f t="shared" si="89"/>
        <v>&lt;Insert&gt;&lt;Valeur name="no"&gt;348&lt;/Valeur&gt;&lt;Valeur name="ecriturebanque"&gt;332&lt;/Valeur&gt;&lt;Valeur name="datevaleur"&gt;2019/05/22&lt;/Valeur&gt;&lt;Valeur name="compte"&gt;1&lt;/Valeur&gt;&lt;Valeur name="description"&gt;FRAIS E-VIR SEPA VERS EEE&lt;/Valeur&gt;&lt;Valeur name="valeur"&gt;0.21&lt;/Valeur&gt;&lt;Valeur name="compta"&gt;0&lt;/Valeur&gt;&lt;Valeur name="tvapct"&gt;20&lt;/Valeur&gt;&lt;Valeur name="tva"&gt;0.035&lt;/Valeur&gt;&lt;/Insert&gt;</v>
      </c>
    </row>
    <row r="350" spans="1:38" x14ac:dyDescent="0.25">
      <c r="A350">
        <v>333</v>
      </c>
      <c r="B350">
        <f>IF(A350&lt;&gt;"",VLOOKUP(A350,Banque!B:D,3,FALSE),1)</f>
        <v>0</v>
      </c>
      <c r="C350" s="1">
        <v>43609</v>
      </c>
      <c r="E350" t="s">
        <v>227</v>
      </c>
      <c r="F350" t="s">
        <v>822</v>
      </c>
      <c r="H350" s="10">
        <v>1000</v>
      </c>
      <c r="I350" s="11">
        <f t="shared" si="75"/>
        <v>-166.66666666666663</v>
      </c>
      <c r="K350">
        <v>349</v>
      </c>
      <c r="L350">
        <v>333</v>
      </c>
      <c r="M350" s="16" t="s">
        <v>986</v>
      </c>
      <c r="N350">
        <f>IFERROR(VLOOKUP(D350,tab!A:B,2,FALSE),1)</f>
        <v>1</v>
      </c>
      <c r="O350" t="str">
        <f t="shared" si="76"/>
        <v>VIR TRESORERIE HENIN BEAUMON / remboursement pInalitIs marchI 2</v>
      </c>
      <c r="P350" s="14">
        <f t="shared" si="77"/>
        <v>1000</v>
      </c>
      <c r="Q350" s="14">
        <f t="shared" si="78"/>
        <v>0</v>
      </c>
      <c r="R350" s="14">
        <v>20</v>
      </c>
      <c r="S350" s="14">
        <f t="shared" si="79"/>
        <v>-166.66666666666663</v>
      </c>
      <c r="Z350" t="str">
        <f t="shared" si="80"/>
        <v>&lt;Valeur name="no"&gt;349&lt;/Valeur&gt;</v>
      </c>
      <c r="AA350" t="str">
        <f t="shared" si="81"/>
        <v>&lt;Valeur name="ecriturebanque"&gt;333&lt;/Valeur&gt;</v>
      </c>
      <c r="AB350" t="str">
        <f t="shared" si="82"/>
        <v>&lt;Valeur name="datevaleur"&gt;2019/05/24&lt;/Valeur&gt;</v>
      </c>
      <c r="AC350" t="str">
        <f t="shared" si="83"/>
        <v>&lt;Valeur name="compte"&gt;1&lt;/Valeur&gt;</v>
      </c>
      <c r="AD350" t="str">
        <f t="shared" si="84"/>
        <v>&lt;Valeur name="description"&gt;VIR TRESORERIE HENIN BEAUMON / remboursement pInalitIs marchI 2&lt;/Valeur&gt;</v>
      </c>
      <c r="AE350" t="str">
        <f t="shared" si="85"/>
        <v>&lt;Valeur name="valeur"&gt;1000&lt;/Valeur&gt;</v>
      </c>
      <c r="AF350" t="str">
        <f t="shared" si="86"/>
        <v>&lt;Valeur name="compta"&gt;0&lt;/Valeur&gt;</v>
      </c>
      <c r="AG350" t="str">
        <f t="shared" si="87"/>
        <v>&lt;Valeur name="tvapct"&gt;20&lt;/Valeur&gt;</v>
      </c>
      <c r="AH350" t="str">
        <f t="shared" si="88"/>
        <v>&lt;Valeur name="tva"&gt;-166.666666666667&lt;/Valeur&gt;</v>
      </c>
      <c r="AL350" t="str">
        <f t="shared" si="89"/>
        <v>&lt;Insert&gt;&lt;Valeur name="no"&gt;349&lt;/Valeur&gt;&lt;Valeur name="ecriturebanque"&gt;333&lt;/Valeur&gt;&lt;Valeur name="datevaleur"&gt;2019/05/24&lt;/Valeur&gt;&lt;Valeur name="compte"&gt;1&lt;/Valeur&gt;&lt;Valeur name="description"&gt;VIR TRESORERIE HENIN BEAUMON / remboursement pInalitIs marchI 2&lt;/Valeur&gt;&lt;Valeur name="valeur"&gt;1000&lt;/Valeur&gt;&lt;Valeur name="compta"&gt;0&lt;/Valeur&gt;&lt;Valeur name="tvapct"&gt;20&lt;/Valeur&gt;&lt;Valeur name="tva"&gt;-166.666666666667&lt;/Valeur&gt;&lt;/Insert&gt;</v>
      </c>
    </row>
    <row r="351" spans="1:38" x14ac:dyDescent="0.25">
      <c r="A351">
        <v>334</v>
      </c>
      <c r="B351">
        <f>IF(A351&lt;&gt;"",VLOOKUP(A351,Banque!B:D,3,FALSE),1)</f>
        <v>0</v>
      </c>
      <c r="C351" s="1">
        <v>43609</v>
      </c>
      <c r="E351" t="s">
        <v>227</v>
      </c>
      <c r="F351" t="s">
        <v>824</v>
      </c>
      <c r="H351" s="10">
        <v>2509.0500000000002</v>
      </c>
      <c r="I351" s="11">
        <f t="shared" si="75"/>
        <v>-418.17499999999973</v>
      </c>
      <c r="K351">
        <v>350</v>
      </c>
      <c r="L351">
        <v>334</v>
      </c>
      <c r="M351" s="16" t="s">
        <v>986</v>
      </c>
      <c r="N351">
        <f>IFERROR(VLOOKUP(D351,tab!A:B,2,FALSE),1)</f>
        <v>1</v>
      </c>
      <c r="O351" t="str">
        <f t="shared" si="76"/>
        <v>VIR TRESORERIE HENIN BEAUMON / FAC. AF205-4 DU 28/02/2019SIT 4</v>
      </c>
      <c r="P351" s="14">
        <f t="shared" si="77"/>
        <v>2509.0500000000002</v>
      </c>
      <c r="Q351" s="14">
        <f t="shared" si="78"/>
        <v>0</v>
      </c>
      <c r="R351" s="14">
        <v>20</v>
      </c>
      <c r="S351" s="14">
        <f t="shared" si="79"/>
        <v>-418.17499999999973</v>
      </c>
      <c r="Z351" t="str">
        <f t="shared" si="80"/>
        <v>&lt;Valeur name="no"&gt;350&lt;/Valeur&gt;</v>
      </c>
      <c r="AA351" t="str">
        <f t="shared" si="81"/>
        <v>&lt;Valeur name="ecriturebanque"&gt;334&lt;/Valeur&gt;</v>
      </c>
      <c r="AB351" t="str">
        <f t="shared" si="82"/>
        <v>&lt;Valeur name="datevaleur"&gt;2019/05/24&lt;/Valeur&gt;</v>
      </c>
      <c r="AC351" t="str">
        <f t="shared" si="83"/>
        <v>&lt;Valeur name="compte"&gt;1&lt;/Valeur&gt;</v>
      </c>
      <c r="AD351" t="str">
        <f t="shared" si="84"/>
        <v>&lt;Valeur name="description"&gt;VIR TRESORERIE HENIN BEAUMON / FAC. AF205-4 DU 28/02/2019SIT 4&lt;/Valeur&gt;</v>
      </c>
      <c r="AE351" t="str">
        <f t="shared" si="85"/>
        <v>&lt;Valeur name="valeur"&gt;2509.05&lt;/Valeur&gt;</v>
      </c>
      <c r="AF351" t="str">
        <f t="shared" si="86"/>
        <v>&lt;Valeur name="compta"&gt;0&lt;/Valeur&gt;</v>
      </c>
      <c r="AG351" t="str">
        <f t="shared" si="87"/>
        <v>&lt;Valeur name="tvapct"&gt;20&lt;/Valeur&gt;</v>
      </c>
      <c r="AH351" t="str">
        <f t="shared" si="88"/>
        <v>&lt;Valeur name="tva"&gt;-418.175&lt;/Valeur&gt;</v>
      </c>
      <c r="AL351" t="str">
        <f t="shared" si="89"/>
        <v>&lt;Insert&gt;&lt;Valeur name="no"&gt;350&lt;/Valeur&gt;&lt;Valeur name="ecriturebanque"&gt;334&lt;/Valeur&gt;&lt;Valeur name="datevaleur"&gt;2019/05/24&lt;/Valeur&gt;&lt;Valeur name="compte"&gt;1&lt;/Valeur&gt;&lt;Valeur name="description"&gt;VIR TRESORERIE HENIN BEAUMON / FAC. AF205-4 DU 28/02/2019SIT 4&lt;/Valeur&gt;&lt;Valeur name="valeur"&gt;2509.05&lt;/Valeur&gt;&lt;Valeur name="compta"&gt;0&lt;/Valeur&gt;&lt;Valeur name="tvapct"&gt;20&lt;/Valeur&gt;&lt;Valeur name="tva"&gt;-418.175&lt;/Valeur&gt;&lt;/Insert&gt;</v>
      </c>
    </row>
  </sheetData>
  <autoFilter ref="A1:I351" xr:uid="{00000000-0009-0000-0000-000001000000}"/>
  <dataValidations disablePrompts="1" count="1">
    <dataValidation allowBlank="1" sqref="D120:D123 D215:D1048576 D187:D213 D125:D185 D72:D118 D42:D70 D1:D40" xr:uid="{B0662F49-AABF-4643-A3D8-1BC765066409}"/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Importer_Banque">
                <anchor moveWithCells="1" sizeWithCells="1">
                  <from>
                    <xdr:col>0</xdr:col>
                    <xdr:colOff>200025</xdr:colOff>
                    <xdr:row>0</xdr:row>
                    <xdr:rowOff>133350</xdr:rowOff>
                  </from>
                  <to>
                    <xdr:col>3</xdr:col>
                    <xdr:colOff>533400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AN359"/>
  <sheetViews>
    <sheetView topLeftCell="W1" zoomScale="85" zoomScaleNormal="85" workbookViewId="0">
      <pane ySplit="1" topLeftCell="A350" activePane="bottomLeft" state="frozen"/>
      <selection activeCell="B1" sqref="B1"/>
      <selection pane="bottomLeft" activeCell="AN2" sqref="AN2"/>
    </sheetView>
  </sheetViews>
  <sheetFormatPr baseColWidth="10" defaultRowHeight="15" x14ac:dyDescent="0.25"/>
  <cols>
    <col min="1" max="1" width="45" customWidth="1"/>
    <col min="2" max="2" width="6.85546875" bestFit="1" customWidth="1"/>
    <col min="3" max="3" width="12" bestFit="1" customWidth="1"/>
    <col min="4" max="4" width="4.85546875" bestFit="1" customWidth="1"/>
    <col min="5" max="5" width="13.140625" bestFit="1" customWidth="1"/>
    <col min="6" max="6" width="21.7109375" bestFit="1" customWidth="1"/>
    <col min="7" max="7" width="49.5703125" bestFit="1" customWidth="1"/>
    <col min="8" max="8" width="45.140625" bestFit="1" customWidth="1"/>
    <col min="9" max="10" width="12.140625" style="10" bestFit="1" customWidth="1"/>
    <col min="11" max="11" width="11" style="11" bestFit="1" customWidth="1"/>
    <col min="12" max="12" width="12.140625" style="10" bestFit="1" customWidth="1"/>
    <col min="14" max="14" width="21.140625" bestFit="1" customWidth="1"/>
    <col min="15" max="15" width="26.28515625" bestFit="1" customWidth="1"/>
    <col min="16" max="16" width="25.28515625" bestFit="1" customWidth="1"/>
    <col min="17" max="17" width="27.85546875" bestFit="1" customWidth="1"/>
    <col min="18" max="18" width="28.85546875" style="16" bestFit="1" customWidth="1"/>
    <col min="19" max="19" width="44.85546875" bestFit="1" customWidth="1"/>
    <col min="20" max="20" width="29.28515625" bestFit="1" customWidth="1"/>
    <col min="21" max="21" width="25.85546875" bestFit="1" customWidth="1"/>
    <col min="22" max="22" width="23.85546875" style="14" bestFit="1" customWidth="1"/>
    <col min="23" max="23" width="25.42578125" bestFit="1" customWidth="1"/>
    <col min="24" max="24" width="25.85546875" bestFit="1" customWidth="1"/>
    <col min="25" max="25" width="23.7109375" style="14" bestFit="1" customWidth="1"/>
    <col min="26" max="26" width="23.7109375" style="14" customWidth="1"/>
    <col min="27" max="39" width="32.5703125" bestFit="1" customWidth="1"/>
  </cols>
  <sheetData>
    <row r="1" spans="1:40" x14ac:dyDescent="0.25">
      <c r="A1" t="s">
        <v>5</v>
      </c>
      <c r="B1" t="s">
        <v>250</v>
      </c>
      <c r="C1" s="1" t="s">
        <v>0</v>
      </c>
      <c r="D1" t="s">
        <v>497</v>
      </c>
      <c r="E1" t="s">
        <v>425</v>
      </c>
      <c r="F1" t="s">
        <v>2</v>
      </c>
      <c r="G1" t="s">
        <v>251</v>
      </c>
      <c r="H1" t="s">
        <v>252</v>
      </c>
      <c r="I1" s="10" t="s">
        <v>3</v>
      </c>
      <c r="J1" s="10" t="s">
        <v>4</v>
      </c>
      <c r="K1" s="11" t="s">
        <v>272</v>
      </c>
      <c r="L1" s="10">
        <v>-17219.900000000001</v>
      </c>
      <c r="N1" t="s">
        <v>936</v>
      </c>
      <c r="O1" t="s">
        <v>937</v>
      </c>
      <c r="P1" t="s">
        <v>938</v>
      </c>
      <c r="Q1" t="s">
        <v>939</v>
      </c>
      <c r="R1" s="16" t="s">
        <v>940</v>
      </c>
      <c r="S1" t="s">
        <v>941</v>
      </c>
      <c r="T1" t="s">
        <v>942</v>
      </c>
      <c r="U1" t="s">
        <v>943</v>
      </c>
      <c r="V1" s="14" t="s">
        <v>944</v>
      </c>
      <c r="W1" t="s">
        <v>945</v>
      </c>
      <c r="X1" t="s">
        <v>946</v>
      </c>
      <c r="Y1" s="14" t="s">
        <v>947</v>
      </c>
    </row>
    <row r="2" spans="1:40" x14ac:dyDescent="0.25">
      <c r="A2" t="s">
        <v>544</v>
      </c>
      <c r="B2">
        <v>1</v>
      </c>
      <c r="C2" s="1">
        <v>43497</v>
      </c>
      <c r="D2">
        <v>1</v>
      </c>
      <c r="E2" t="str">
        <f>IF(F2&lt;&gt;"",INDEX(Balance!A:A,MATCH(F2,Balance!B:B,0)),"")</f>
        <v>Depense</v>
      </c>
      <c r="F2" t="s">
        <v>254</v>
      </c>
      <c r="G2" t="s">
        <v>531</v>
      </c>
      <c r="I2" s="10">
        <v>22</v>
      </c>
      <c r="K2" s="11">
        <f t="shared" ref="K2:K29" si="0">IF(I2&gt;0,I2-(I2/TVA),-(J2-(J2/TVA)))</f>
        <v>3.6666666666666643</v>
      </c>
      <c r="L2" s="10">
        <f t="shared" ref="L2:L27" si="1">L1-I2+J2</f>
        <v>-17241.900000000001</v>
      </c>
      <c r="N2">
        <v>1</v>
      </c>
      <c r="O2">
        <v>1</v>
      </c>
      <c r="P2">
        <v>1</v>
      </c>
      <c r="Q2" t="str">
        <f>A2</f>
        <v>300760283626261100200EUR2019020101</v>
      </c>
      <c r="R2" s="16" t="s">
        <v>887</v>
      </c>
      <c r="S2" t="str">
        <f>G2&amp;IF(ISBLANK(H2),""," / "&amp;H2)</f>
        <v> CB 454106 GERSTEP 59WASQUEHA LE 3101</v>
      </c>
      <c r="U2">
        <f>IFERROR(VLOOKUP(F2,tab!A:B,2,FALSE),1)</f>
        <v>27</v>
      </c>
      <c r="V2" s="14">
        <f>L2</f>
        <v>-17241.900000000001</v>
      </c>
      <c r="W2">
        <f>IF(ISBLANK(A3),1,0)</f>
        <v>0</v>
      </c>
      <c r="X2">
        <f>IF(D2=1,1,"")</f>
        <v>1</v>
      </c>
      <c r="Y2" s="14">
        <f>SUM(I2:J2)</f>
        <v>22</v>
      </c>
      <c r="AA2" t="str">
        <f>IF(ISBLANK($N2),"",N$1&amp;N2&amp;"&lt;/Valeur&gt;")</f>
        <v>&lt;Valeur name="no"&gt;1&lt;/Valeur&gt;</v>
      </c>
      <c r="AB2" t="str">
        <f>IF(ISBLANK($N2),"",O$1&amp;O2&amp;"&lt;/Valeur&gt;")</f>
        <v>&lt;Valeur name="banque"&gt;1&lt;/Valeur&gt;</v>
      </c>
      <c r="AC2" t="str">
        <f t="shared" ref="AC2:AL17" si="2">IF(ISBLANK($N2),"",P$1&amp;P2&amp;"&lt;/Valeur&gt;")</f>
        <v>&lt;Valeur name="pointer"&gt;1&lt;/Valeur&gt;</v>
      </c>
      <c r="AD2" t="str">
        <f t="shared" si="2"/>
        <v>&lt;Valeur name="idbanque"&gt;300760283626261100200EUR2019020101&lt;/Valeur&gt;</v>
      </c>
      <c r="AE2" t="str">
        <f t="shared" si="2"/>
        <v>&lt;Valeur name="datevaleur"&gt;2019/02/01&lt;/Valeur&gt;</v>
      </c>
      <c r="AF2" t="str">
        <f t="shared" si="2"/>
        <v>&lt;Valeur name="intitule"&gt; CB 454106 GERSTEP 59WASQUEHA LE 3101&lt;/Valeur&gt;</v>
      </c>
      <c r="AG2" t="str">
        <f t="shared" si="2"/>
        <v>&lt;Valeur name="description"&gt;&lt;/Valeur&gt;</v>
      </c>
      <c r="AH2" t="str">
        <f t="shared" si="2"/>
        <v>&lt;Valeur name="compte"&gt;27&lt;/Valeur&gt;</v>
      </c>
      <c r="AI2" t="str">
        <f t="shared" si="2"/>
        <v>&lt;Valeur name="solde"&gt;-17241.9&lt;/Valeur&gt;</v>
      </c>
      <c r="AJ2" t="str">
        <f t="shared" si="2"/>
        <v>&lt;Valeur name="ventiler"&gt;0&lt;/Valeur&gt;</v>
      </c>
      <c r="AK2" t="str">
        <f t="shared" si="2"/>
        <v>&lt;Valeur name="compta"&gt;1&lt;/Valeur&gt;</v>
      </c>
      <c r="AL2" t="str">
        <f t="shared" si="2"/>
        <v>&lt;Valeur name="valeur"&gt;22&lt;/Valeur&gt;</v>
      </c>
      <c r="AN2" t="str">
        <f>IF(ISBLANK(N2),"",CONCATENATE("&lt;Insert&gt;",AA2,AB2,AC2,AD2,AE2,AF2,AG2,AH2,AI2,AJ2,AK2,AL2,"&lt;/Insert&gt;"))</f>
        <v>&lt;Insert&gt;&lt;Valeur name="no"&gt;1&lt;/Valeur&gt;&lt;Valeur name="banque"&gt;1&lt;/Valeur&gt;&lt;Valeur name="pointer"&gt;1&lt;/Valeur&gt;&lt;Valeur name="idbanque"&gt;300760283626261100200EUR2019020101&lt;/Valeur&gt;&lt;Valeur name="datevaleur"&gt;2019/02/01&lt;/Valeur&gt;&lt;Valeur name="intitule"&gt; CB 454106 GERSTEP 59WASQUEHA LE 3101&lt;/Valeur&gt;&lt;Valeur name="description"&gt;&lt;/Valeur&gt;&lt;Valeur name="compte"&gt;27&lt;/Valeur&gt;&lt;Valeur name="solde"&gt;-17241.9&lt;/Valeur&gt;&lt;Valeur name="ventiler"&gt;0&lt;/Valeur&gt;&lt;Valeur name="compta"&gt;1&lt;/Valeur&gt;&lt;Valeur name="valeur"&gt;22&lt;/Valeur&gt;&lt;/Insert&gt;</v>
      </c>
    </row>
    <row r="3" spans="1:40" x14ac:dyDescent="0.25">
      <c r="A3" t="s">
        <v>548</v>
      </c>
      <c r="B3">
        <v>2</v>
      </c>
      <c r="C3" s="1">
        <v>43500</v>
      </c>
      <c r="D3">
        <v>1</v>
      </c>
      <c r="E3" t="str">
        <f>IF(F3&lt;&gt;"",INDEX(Balance!A:A,MATCH(F3,Balance!B:B,0)),"")</f>
        <v>Depense</v>
      </c>
      <c r="F3" t="s">
        <v>257</v>
      </c>
      <c r="G3" t="s">
        <v>527</v>
      </c>
      <c r="I3" s="10">
        <v>9.6999999999999993</v>
      </c>
      <c r="K3" s="11">
        <f t="shared" si="0"/>
        <v>1.6166666666666654</v>
      </c>
      <c r="L3" s="10">
        <f t="shared" si="1"/>
        <v>-17251.600000000002</v>
      </c>
      <c r="N3">
        <v>2</v>
      </c>
      <c r="O3">
        <v>1</v>
      </c>
      <c r="P3">
        <v>1</v>
      </c>
      <c r="Q3" t="str">
        <f t="shared" ref="Q3:Q66" si="3">A3</f>
        <v>300760283626261100200EUR2019020401</v>
      </c>
      <c r="R3" s="16" t="s">
        <v>899</v>
      </c>
      <c r="S3" t="str">
        <f t="shared" ref="S3:S66" si="4">G3&amp;IF(ISBLANK(H3),""," / "&amp;H3)</f>
        <v> COMMISSION D'INTERVENTION</v>
      </c>
      <c r="U3">
        <f>IFERROR(VLOOKUP(F3,tab!A:B,2,FALSE),1)</f>
        <v>18</v>
      </c>
      <c r="V3" s="14">
        <f t="shared" ref="V3:V66" si="5">L3</f>
        <v>-17251.600000000002</v>
      </c>
      <c r="W3">
        <f t="shared" ref="W3:W66" si="6">IF(ISBLANK(A4),1,0)</f>
        <v>0</v>
      </c>
      <c r="X3">
        <f t="shared" ref="X3:X66" si="7">IF(D3=1,1,"")</f>
        <v>1</v>
      </c>
      <c r="Y3" s="14">
        <f t="shared" ref="Y3:Y66" si="8">SUM(I3:J3)</f>
        <v>9.6999999999999993</v>
      </c>
      <c r="AA3" t="str">
        <f t="shared" ref="AA3:AB66" si="9">IF(ISBLANK($N3),"",N$1&amp;N3&amp;"&lt;/Valeur&gt;")</f>
        <v>&lt;Valeur name="no"&gt;2&lt;/Valeur&gt;</v>
      </c>
      <c r="AB3" t="str">
        <f t="shared" si="9"/>
        <v>&lt;Valeur name="banque"&gt;1&lt;/Valeur&gt;</v>
      </c>
      <c r="AC3" t="str">
        <f t="shared" si="2"/>
        <v>&lt;Valeur name="pointer"&gt;1&lt;/Valeur&gt;</v>
      </c>
      <c r="AD3" t="str">
        <f t="shared" si="2"/>
        <v>&lt;Valeur name="idbanque"&gt;300760283626261100200EUR2019020401&lt;/Valeur&gt;</v>
      </c>
      <c r="AE3" t="str">
        <f t="shared" si="2"/>
        <v>&lt;Valeur name="datevaleur"&gt;2019/02/04&lt;/Valeur&gt;</v>
      </c>
      <c r="AF3" t="str">
        <f t="shared" si="2"/>
        <v>&lt;Valeur name="intitule"&gt; COMMISSION D'INTERVENTION&lt;/Valeur&gt;</v>
      </c>
      <c r="AG3" t="str">
        <f t="shared" si="2"/>
        <v>&lt;Valeur name="description"&gt;&lt;/Valeur&gt;</v>
      </c>
      <c r="AH3" t="str">
        <f t="shared" si="2"/>
        <v>&lt;Valeur name="compte"&gt;18&lt;/Valeur&gt;</v>
      </c>
      <c r="AI3" t="str">
        <f t="shared" si="2"/>
        <v>&lt;Valeur name="solde"&gt;-17251.6&lt;/Valeur&gt;</v>
      </c>
      <c r="AJ3" t="str">
        <f t="shared" si="2"/>
        <v>&lt;Valeur name="ventiler"&gt;0&lt;/Valeur&gt;</v>
      </c>
      <c r="AK3" t="str">
        <f t="shared" si="2"/>
        <v>&lt;Valeur name="compta"&gt;1&lt;/Valeur&gt;</v>
      </c>
      <c r="AL3" t="str">
        <f t="shared" si="2"/>
        <v>&lt;Valeur name="valeur"&gt;9.7&lt;/Valeur&gt;</v>
      </c>
      <c r="AN3" t="str">
        <f t="shared" ref="AN3:AN66" si="10">IF(ISBLANK(N3),"",CONCATENATE("&lt;Insert&gt;",AA3,AB3,AC3,AD3,AE3,AF3,AG3,AH3,AI3,AJ3,AK3,AL3,"&lt;/Insert&gt;"))</f>
        <v>&lt;Insert&gt;&lt;Valeur name="no"&gt;2&lt;/Valeur&gt;&lt;Valeur name="banque"&gt;1&lt;/Valeur&gt;&lt;Valeur name="pointer"&gt;1&lt;/Valeur&gt;&lt;Valeur name="idbanque"&gt;300760283626261100200EUR2019020401&lt;/Valeur&gt;&lt;Valeur name="datevaleur"&gt;2019/02/04&lt;/Valeur&gt;&lt;Valeur name="intitule"&gt; COMMISSION D'INTERVENTION&lt;/Valeur&gt;&lt;Valeur name="description"&gt;&lt;/Valeur&gt;&lt;Valeur name="compte"&gt;18&lt;/Valeur&gt;&lt;Valeur name="solde"&gt;-17251.6&lt;/Valeur&gt;&lt;Valeur name="ventiler"&gt;0&lt;/Valeur&gt;&lt;Valeur name="compta"&gt;1&lt;/Valeur&gt;&lt;Valeur name="valeur"&gt;9.7&lt;/Valeur&gt;&lt;/Insert&gt;</v>
      </c>
    </row>
    <row r="4" spans="1:40" x14ac:dyDescent="0.25">
      <c r="A4" t="s">
        <v>545</v>
      </c>
      <c r="B4">
        <v>3</v>
      </c>
      <c r="C4" s="1">
        <v>43500</v>
      </c>
      <c r="D4">
        <v>1</v>
      </c>
      <c r="E4" t="str">
        <f>IF(F4&lt;&gt;"",INDEX(Balance!A:A,MATCH(F4,Balance!B:B,0)),"")</f>
        <v>Depense</v>
      </c>
      <c r="F4" t="s">
        <v>254</v>
      </c>
      <c r="G4" t="s">
        <v>528</v>
      </c>
      <c r="I4" s="10">
        <v>22.55</v>
      </c>
      <c r="K4" s="11">
        <f t="shared" si="0"/>
        <v>3.7583333333333329</v>
      </c>
      <c r="L4" s="10">
        <f t="shared" si="1"/>
        <v>-17274.150000000001</v>
      </c>
      <c r="N4">
        <v>3</v>
      </c>
      <c r="O4">
        <v>1</v>
      </c>
      <c r="P4">
        <v>1</v>
      </c>
      <c r="Q4" t="str">
        <f t="shared" si="3"/>
        <v>300760283626261100200EUR2019020402</v>
      </c>
      <c r="R4" s="16" t="s">
        <v>899</v>
      </c>
      <c r="S4" t="str">
        <f t="shared" si="4"/>
        <v> CB 454106 BURGER KING 59PETITE F LE 0102</v>
      </c>
      <c r="U4">
        <f>IFERROR(VLOOKUP(F4,tab!A:B,2,FALSE),1)</f>
        <v>27</v>
      </c>
      <c r="V4" s="14">
        <f t="shared" si="5"/>
        <v>-17274.150000000001</v>
      </c>
      <c r="W4">
        <f t="shared" si="6"/>
        <v>0</v>
      </c>
      <c r="X4">
        <f t="shared" si="7"/>
        <v>1</v>
      </c>
      <c r="Y4" s="14">
        <f t="shared" si="8"/>
        <v>22.55</v>
      </c>
      <c r="AA4" t="str">
        <f t="shared" si="9"/>
        <v>&lt;Valeur name="no"&gt;3&lt;/Valeur&gt;</v>
      </c>
      <c r="AB4" t="str">
        <f t="shared" si="9"/>
        <v>&lt;Valeur name="banque"&gt;1&lt;/Valeur&gt;</v>
      </c>
      <c r="AC4" t="str">
        <f t="shared" si="2"/>
        <v>&lt;Valeur name="pointer"&gt;1&lt;/Valeur&gt;</v>
      </c>
      <c r="AD4" t="str">
        <f t="shared" si="2"/>
        <v>&lt;Valeur name="idbanque"&gt;300760283626261100200EUR2019020402&lt;/Valeur&gt;</v>
      </c>
      <c r="AE4" t="str">
        <f t="shared" si="2"/>
        <v>&lt;Valeur name="datevaleur"&gt;2019/02/04&lt;/Valeur&gt;</v>
      </c>
      <c r="AF4" t="str">
        <f t="shared" si="2"/>
        <v>&lt;Valeur name="intitule"&gt; CB 454106 BURGER KING 59PETITE F LE 0102&lt;/Valeur&gt;</v>
      </c>
      <c r="AG4" t="str">
        <f t="shared" si="2"/>
        <v>&lt;Valeur name="description"&gt;&lt;/Valeur&gt;</v>
      </c>
      <c r="AH4" t="str">
        <f t="shared" si="2"/>
        <v>&lt;Valeur name="compte"&gt;27&lt;/Valeur&gt;</v>
      </c>
      <c r="AI4" t="str">
        <f t="shared" si="2"/>
        <v>&lt;Valeur name="solde"&gt;-17274.15&lt;/Valeur&gt;</v>
      </c>
      <c r="AJ4" t="str">
        <f t="shared" si="2"/>
        <v>&lt;Valeur name="ventiler"&gt;0&lt;/Valeur&gt;</v>
      </c>
      <c r="AK4" t="str">
        <f t="shared" si="2"/>
        <v>&lt;Valeur name="compta"&gt;1&lt;/Valeur&gt;</v>
      </c>
      <c r="AL4" t="str">
        <f t="shared" si="2"/>
        <v>&lt;Valeur name="valeur"&gt;22.55&lt;/Valeur&gt;</v>
      </c>
      <c r="AN4" t="str">
        <f t="shared" si="10"/>
        <v>&lt;Insert&gt;&lt;Valeur name="no"&gt;3&lt;/Valeur&gt;&lt;Valeur name="banque"&gt;1&lt;/Valeur&gt;&lt;Valeur name="pointer"&gt;1&lt;/Valeur&gt;&lt;Valeur name="idbanque"&gt;300760283626261100200EUR2019020402&lt;/Valeur&gt;&lt;Valeur name="datevaleur"&gt;2019/02/04&lt;/Valeur&gt;&lt;Valeur name="intitule"&gt; CB 454106 BURGER KING 59PETITE F LE 0102&lt;/Valeur&gt;&lt;Valeur name="description"&gt;&lt;/Valeur&gt;&lt;Valeur name="compte"&gt;27&lt;/Valeur&gt;&lt;Valeur name="solde"&gt;-17274.15&lt;/Valeur&gt;&lt;Valeur name="ventiler"&gt;0&lt;/Valeur&gt;&lt;Valeur name="compta"&gt;1&lt;/Valeur&gt;&lt;Valeur name="valeur"&gt;22.55&lt;/Valeur&gt;&lt;/Insert&gt;</v>
      </c>
    </row>
    <row r="5" spans="1:40" x14ac:dyDescent="0.25">
      <c r="A5" t="s">
        <v>546</v>
      </c>
      <c r="B5">
        <v>4</v>
      </c>
      <c r="C5" s="1">
        <v>43500</v>
      </c>
      <c r="D5">
        <v>1</v>
      </c>
      <c r="E5" t="str">
        <f>IF(F5&lt;&gt;"",INDEX(Balance!A:A,MATCH(F5,Balance!B:B,0)),"")</f>
        <v>Depense</v>
      </c>
      <c r="F5" t="s">
        <v>253</v>
      </c>
      <c r="G5" t="s">
        <v>529</v>
      </c>
      <c r="I5" s="10">
        <v>78.78</v>
      </c>
      <c r="K5" s="11">
        <f t="shared" si="0"/>
        <v>13.129999999999995</v>
      </c>
      <c r="L5" s="10">
        <f t="shared" si="1"/>
        <v>-17352.93</v>
      </c>
      <c r="N5">
        <v>4</v>
      </c>
      <c r="O5">
        <v>1</v>
      </c>
      <c r="P5">
        <v>1</v>
      </c>
      <c r="Q5" t="str">
        <f t="shared" si="3"/>
        <v>300760283626261100200EUR2019020403</v>
      </c>
      <c r="R5" s="16" t="s">
        <v>899</v>
      </c>
      <c r="S5" t="str">
        <f t="shared" si="4"/>
        <v> CB 454106 CARREFOUR D 59AULNOY L LE 0202</v>
      </c>
      <c r="U5">
        <f>IFERROR(VLOOKUP(F5,tab!A:B,2,FALSE),1)</f>
        <v>13</v>
      </c>
      <c r="V5" s="14">
        <f t="shared" si="5"/>
        <v>-17352.93</v>
      </c>
      <c r="W5">
        <f t="shared" si="6"/>
        <v>0</v>
      </c>
      <c r="X5">
        <f t="shared" si="7"/>
        <v>1</v>
      </c>
      <c r="Y5" s="14">
        <f t="shared" si="8"/>
        <v>78.78</v>
      </c>
      <c r="AA5" t="str">
        <f t="shared" si="9"/>
        <v>&lt;Valeur name="no"&gt;4&lt;/Valeur&gt;</v>
      </c>
      <c r="AB5" t="str">
        <f t="shared" si="9"/>
        <v>&lt;Valeur name="banque"&gt;1&lt;/Valeur&gt;</v>
      </c>
      <c r="AC5" t="str">
        <f t="shared" si="2"/>
        <v>&lt;Valeur name="pointer"&gt;1&lt;/Valeur&gt;</v>
      </c>
      <c r="AD5" t="str">
        <f t="shared" si="2"/>
        <v>&lt;Valeur name="idbanque"&gt;300760283626261100200EUR2019020403&lt;/Valeur&gt;</v>
      </c>
      <c r="AE5" t="str">
        <f t="shared" si="2"/>
        <v>&lt;Valeur name="datevaleur"&gt;2019/02/04&lt;/Valeur&gt;</v>
      </c>
      <c r="AF5" t="str">
        <f t="shared" si="2"/>
        <v>&lt;Valeur name="intitule"&gt; CB 454106 CARREFOUR D 59AULNOY L LE 0202&lt;/Valeur&gt;</v>
      </c>
      <c r="AG5" t="str">
        <f t="shared" si="2"/>
        <v>&lt;Valeur name="description"&gt;&lt;/Valeur&gt;</v>
      </c>
      <c r="AH5" t="str">
        <f t="shared" si="2"/>
        <v>&lt;Valeur name="compte"&gt;13&lt;/Valeur&gt;</v>
      </c>
      <c r="AI5" t="str">
        <f t="shared" si="2"/>
        <v>&lt;Valeur name="solde"&gt;-17352.93&lt;/Valeur&gt;</v>
      </c>
      <c r="AJ5" t="str">
        <f t="shared" si="2"/>
        <v>&lt;Valeur name="ventiler"&gt;0&lt;/Valeur&gt;</v>
      </c>
      <c r="AK5" t="str">
        <f t="shared" si="2"/>
        <v>&lt;Valeur name="compta"&gt;1&lt;/Valeur&gt;</v>
      </c>
      <c r="AL5" t="str">
        <f t="shared" si="2"/>
        <v>&lt;Valeur name="valeur"&gt;78.78&lt;/Valeur&gt;</v>
      </c>
      <c r="AN5" t="str">
        <f t="shared" si="10"/>
        <v>&lt;Insert&gt;&lt;Valeur name="no"&gt;4&lt;/Valeur&gt;&lt;Valeur name="banque"&gt;1&lt;/Valeur&gt;&lt;Valeur name="pointer"&gt;1&lt;/Valeur&gt;&lt;Valeur name="idbanque"&gt;300760283626261100200EUR2019020403&lt;/Valeur&gt;&lt;Valeur name="datevaleur"&gt;2019/02/04&lt;/Valeur&gt;&lt;Valeur name="intitule"&gt; CB 454106 CARREFOUR D 59AULNOY L LE 0202&lt;/Valeur&gt;&lt;Valeur name="description"&gt;&lt;/Valeur&gt;&lt;Valeur name="compte"&gt;13&lt;/Valeur&gt;&lt;Valeur name="solde"&gt;-17352.93&lt;/Valeur&gt;&lt;Valeur name="ventiler"&gt;0&lt;/Valeur&gt;&lt;Valeur name="compta"&gt;1&lt;/Valeur&gt;&lt;Valeur name="valeur"&gt;78.78&lt;/Valeur&gt;&lt;/Insert&gt;</v>
      </c>
    </row>
    <row r="6" spans="1:40" x14ac:dyDescent="0.25">
      <c r="A6" t="s">
        <v>547</v>
      </c>
      <c r="B6">
        <v>5</v>
      </c>
      <c r="C6" s="1">
        <v>43500</v>
      </c>
      <c r="E6" t="str">
        <f>IF(F6&lt;&gt;"",INDEX(Balance!A:A,MATCH(F6,Balance!B:B,0)),"")</f>
        <v/>
      </c>
      <c r="G6" t="s">
        <v>530</v>
      </c>
      <c r="I6" s="10">
        <v>10795.39</v>
      </c>
      <c r="K6" s="11">
        <f t="shared" si="0"/>
        <v>1799.2316666666666</v>
      </c>
      <c r="L6" s="10">
        <f t="shared" si="1"/>
        <v>-28148.32</v>
      </c>
      <c r="N6">
        <v>5</v>
      </c>
      <c r="O6">
        <v>1</v>
      </c>
      <c r="P6">
        <v>1</v>
      </c>
      <c r="Q6" t="str">
        <f t="shared" si="3"/>
        <v>300760283626261100200EUR2019020404</v>
      </c>
      <c r="R6" s="16" t="s">
        <v>899</v>
      </c>
      <c r="S6" t="str">
        <f t="shared" si="4"/>
        <v> RELEVE LCR DU 280119 CONFORME BAP</v>
      </c>
      <c r="U6">
        <f>IFERROR(VLOOKUP(F6,tab!A:B,2,FALSE),1)</f>
        <v>1</v>
      </c>
      <c r="V6" s="14">
        <f t="shared" si="5"/>
        <v>-28148.32</v>
      </c>
      <c r="W6">
        <f t="shared" si="6"/>
        <v>1</v>
      </c>
      <c r="X6" t="str">
        <f t="shared" si="7"/>
        <v/>
      </c>
      <c r="Y6" s="14">
        <f t="shared" si="8"/>
        <v>10795.39</v>
      </c>
      <c r="AA6" t="str">
        <f t="shared" si="9"/>
        <v>&lt;Valeur name="no"&gt;5&lt;/Valeur&gt;</v>
      </c>
      <c r="AB6" t="str">
        <f t="shared" si="9"/>
        <v>&lt;Valeur name="banque"&gt;1&lt;/Valeur&gt;</v>
      </c>
      <c r="AC6" t="str">
        <f t="shared" si="2"/>
        <v>&lt;Valeur name="pointer"&gt;1&lt;/Valeur&gt;</v>
      </c>
      <c r="AD6" t="str">
        <f t="shared" si="2"/>
        <v>&lt;Valeur name="idbanque"&gt;300760283626261100200EUR2019020404&lt;/Valeur&gt;</v>
      </c>
      <c r="AE6" t="str">
        <f t="shared" si="2"/>
        <v>&lt;Valeur name="datevaleur"&gt;2019/02/04&lt;/Valeur&gt;</v>
      </c>
      <c r="AF6" t="str">
        <f t="shared" si="2"/>
        <v>&lt;Valeur name="intitule"&gt; RELEVE LCR DU 280119 CONFORME BAP&lt;/Valeur&gt;</v>
      </c>
      <c r="AG6" t="str">
        <f t="shared" si="2"/>
        <v>&lt;Valeur name="description"&gt;&lt;/Valeur&gt;</v>
      </c>
      <c r="AH6" t="str">
        <f t="shared" si="2"/>
        <v>&lt;Valeur name="compte"&gt;1&lt;/Valeur&gt;</v>
      </c>
      <c r="AI6" t="str">
        <f t="shared" si="2"/>
        <v>&lt;Valeur name="solde"&gt;-28148.32&lt;/Valeur&gt;</v>
      </c>
      <c r="AJ6" t="str">
        <f t="shared" si="2"/>
        <v>&lt;Valeur name="ventiler"&gt;1&lt;/Valeur&gt;</v>
      </c>
      <c r="AK6" t="str">
        <f t="shared" si="2"/>
        <v>&lt;Valeur name="compta"&gt;&lt;/Valeur&gt;</v>
      </c>
      <c r="AL6" t="str">
        <f t="shared" si="2"/>
        <v>&lt;Valeur name="valeur"&gt;10795.39&lt;/Valeur&gt;</v>
      </c>
      <c r="AN6" t="str">
        <f t="shared" si="10"/>
        <v>&lt;Insert&gt;&lt;Valeur name="no"&gt;5&lt;/Valeur&gt;&lt;Valeur name="banque"&gt;1&lt;/Valeur&gt;&lt;Valeur name="pointer"&gt;1&lt;/Valeur&gt;&lt;Valeur name="idbanque"&gt;300760283626261100200EUR2019020404&lt;/Valeur&gt;&lt;Valeur name="datevaleur"&gt;2019/02/04&lt;/Valeur&gt;&lt;Valeur name="intitule"&gt; RELEVE LCR DU 280119 CONFORME BAP&lt;/Valeur&gt;&lt;Valeur name="description"&gt;&lt;/Valeur&gt;&lt;Valeur name="compte"&gt;1&lt;/Valeur&gt;&lt;Valeur name="solde"&gt;-28148.32&lt;/Valeur&gt;&lt;Valeur name="ventiler"&gt;1&lt;/Valeur&gt;&lt;Valeur name="compta"&gt;&lt;/Valeur&gt;&lt;Valeur name="valeur"&gt;10795.39&lt;/Valeur&gt;&lt;/Insert&gt;</v>
      </c>
    </row>
    <row r="7" spans="1:40" x14ac:dyDescent="0.25">
      <c r="C7" s="1"/>
      <c r="E7" t="str">
        <f>IF(F7&lt;&gt;"",INDEX(Balance!A:A,MATCH(F7,Balance!B:B,0)),"")</f>
        <v>Fournisseurs</v>
      </c>
      <c r="F7" t="s">
        <v>535</v>
      </c>
      <c r="I7" s="10">
        <v>10487.7</v>
      </c>
      <c r="O7">
        <v>1</v>
      </c>
      <c r="P7">
        <v>1</v>
      </c>
      <c r="Q7">
        <f t="shared" si="3"/>
        <v>0</v>
      </c>
      <c r="R7" s="16" t="s">
        <v>874</v>
      </c>
      <c r="S7" t="str">
        <f t="shared" si="4"/>
        <v/>
      </c>
      <c r="U7">
        <f>IFERROR(VLOOKUP(F7,tab!A:B,2,FALSE),1)</f>
        <v>110</v>
      </c>
      <c r="V7" s="14">
        <f t="shared" si="5"/>
        <v>0</v>
      </c>
      <c r="W7">
        <f t="shared" si="6"/>
        <v>1</v>
      </c>
      <c r="X7" t="str">
        <f t="shared" si="7"/>
        <v/>
      </c>
      <c r="Y7" s="14">
        <f t="shared" si="8"/>
        <v>10487.7</v>
      </c>
      <c r="AA7" t="str">
        <f t="shared" si="9"/>
        <v/>
      </c>
      <c r="AB7" t="str">
        <f t="shared" si="9"/>
        <v/>
      </c>
      <c r="AC7" t="str">
        <f t="shared" si="2"/>
        <v/>
      </c>
      <c r="AD7" t="str">
        <f t="shared" si="2"/>
        <v/>
      </c>
      <c r="AE7" t="str">
        <f t="shared" si="2"/>
        <v/>
      </c>
      <c r="AF7" t="str">
        <f t="shared" si="2"/>
        <v/>
      </c>
      <c r="AG7" t="str">
        <f t="shared" si="2"/>
        <v/>
      </c>
      <c r="AH7" t="str">
        <f t="shared" si="2"/>
        <v/>
      </c>
      <c r="AI7" t="str">
        <f t="shared" si="2"/>
        <v/>
      </c>
      <c r="AJ7" t="str">
        <f t="shared" si="2"/>
        <v/>
      </c>
      <c r="AK7" t="str">
        <f t="shared" si="2"/>
        <v/>
      </c>
      <c r="AL7" t="str">
        <f t="shared" si="2"/>
        <v/>
      </c>
      <c r="AN7" t="str">
        <f t="shared" si="10"/>
        <v/>
      </c>
    </row>
    <row r="8" spans="1:40" x14ac:dyDescent="0.25">
      <c r="C8" s="1"/>
      <c r="E8" t="str">
        <f>IF(F8&lt;&gt;"",INDEX(Balance!A:A,MATCH(F8,Balance!B:B,0)),"")</f>
        <v>Fournisseurs</v>
      </c>
      <c r="F8" t="s">
        <v>277</v>
      </c>
      <c r="I8" s="10">
        <v>307.69</v>
      </c>
      <c r="O8">
        <v>1</v>
      </c>
      <c r="P8">
        <v>1</v>
      </c>
      <c r="Q8">
        <f t="shared" si="3"/>
        <v>0</v>
      </c>
      <c r="R8" s="16" t="s">
        <v>874</v>
      </c>
      <c r="S8" t="str">
        <f t="shared" si="4"/>
        <v/>
      </c>
      <c r="U8">
        <f>IFERROR(VLOOKUP(F8,tab!A:B,2,FALSE),1)</f>
        <v>62</v>
      </c>
      <c r="V8" s="14">
        <f t="shared" si="5"/>
        <v>0</v>
      </c>
      <c r="W8">
        <f t="shared" si="6"/>
        <v>0</v>
      </c>
      <c r="X8" t="str">
        <f t="shared" si="7"/>
        <v/>
      </c>
      <c r="Y8" s="14">
        <f t="shared" si="8"/>
        <v>307.69</v>
      </c>
      <c r="AA8" t="str">
        <f t="shared" si="9"/>
        <v/>
      </c>
      <c r="AB8" t="str">
        <f t="shared" si="9"/>
        <v/>
      </c>
      <c r="AC8" t="str">
        <f t="shared" si="2"/>
        <v/>
      </c>
      <c r="AD8" t="str">
        <f t="shared" si="2"/>
        <v/>
      </c>
      <c r="AE8" t="str">
        <f t="shared" si="2"/>
        <v/>
      </c>
      <c r="AF8" t="str">
        <f t="shared" si="2"/>
        <v/>
      </c>
      <c r="AG8" t="str">
        <f t="shared" si="2"/>
        <v/>
      </c>
      <c r="AH8" t="str">
        <f t="shared" si="2"/>
        <v/>
      </c>
      <c r="AI8" t="str">
        <f t="shared" si="2"/>
        <v/>
      </c>
      <c r="AJ8" t="str">
        <f t="shared" si="2"/>
        <v/>
      </c>
      <c r="AK8" t="str">
        <f t="shared" si="2"/>
        <v/>
      </c>
      <c r="AL8" t="str">
        <f t="shared" si="2"/>
        <v/>
      </c>
      <c r="AN8" t="str">
        <f t="shared" si="10"/>
        <v/>
      </c>
    </row>
    <row r="9" spans="1:40" x14ac:dyDescent="0.25">
      <c r="A9" t="s">
        <v>549</v>
      </c>
      <c r="B9">
        <v>6</v>
      </c>
      <c r="C9" s="1">
        <v>43501</v>
      </c>
      <c r="D9">
        <v>1</v>
      </c>
      <c r="E9" t="str">
        <f>IF(F9&lt;&gt;"",INDEX(Balance!A:A,MATCH(F9,Balance!B:B,0)),"")</f>
        <v>Depense</v>
      </c>
      <c r="F9" t="s">
        <v>256</v>
      </c>
      <c r="G9" t="s">
        <v>524</v>
      </c>
      <c r="I9" s="10">
        <v>639.03</v>
      </c>
      <c r="K9" s="11">
        <f t="shared" si="0"/>
        <v>106.505</v>
      </c>
      <c r="L9" s="10">
        <f>L6-I9+J9</f>
        <v>-28787.35</v>
      </c>
      <c r="N9">
        <v>6</v>
      </c>
      <c r="O9">
        <v>1</v>
      </c>
      <c r="P9">
        <v>1</v>
      </c>
      <c r="Q9" t="str">
        <f t="shared" si="3"/>
        <v>300760283626261100200EUR2019020501</v>
      </c>
      <c r="R9" s="16" t="s">
        <v>948</v>
      </c>
      <c r="S9" t="str">
        <f t="shared" si="4"/>
        <v> VIR SEPA SALAIRE MR ELOI GOURNAY</v>
      </c>
      <c r="U9">
        <f>IFERROR(VLOOKUP(F9,tab!A:B,2,FALSE),1)</f>
        <v>28</v>
      </c>
      <c r="V9" s="14">
        <f t="shared" si="5"/>
        <v>-28787.35</v>
      </c>
      <c r="W9">
        <f t="shared" si="6"/>
        <v>0</v>
      </c>
      <c r="X9">
        <f t="shared" si="7"/>
        <v>1</v>
      </c>
      <c r="Y9" s="14">
        <f t="shared" si="8"/>
        <v>639.03</v>
      </c>
      <c r="AA9" t="str">
        <f t="shared" si="9"/>
        <v>&lt;Valeur name="no"&gt;6&lt;/Valeur&gt;</v>
      </c>
      <c r="AB9" t="str">
        <f t="shared" si="9"/>
        <v>&lt;Valeur name="banque"&gt;1&lt;/Valeur&gt;</v>
      </c>
      <c r="AC9" t="str">
        <f t="shared" si="2"/>
        <v>&lt;Valeur name="pointer"&gt;1&lt;/Valeur&gt;</v>
      </c>
      <c r="AD9" t="str">
        <f t="shared" si="2"/>
        <v>&lt;Valeur name="idbanque"&gt;300760283626261100200EUR2019020501&lt;/Valeur&gt;</v>
      </c>
      <c r="AE9" t="str">
        <f t="shared" si="2"/>
        <v>&lt;Valeur name="datevaleur"&gt;2019/02/05&lt;/Valeur&gt;</v>
      </c>
      <c r="AF9" t="str">
        <f t="shared" si="2"/>
        <v>&lt;Valeur name="intitule"&gt; VIR SEPA SALAIRE MR ELOI GOURNAY&lt;/Valeur&gt;</v>
      </c>
      <c r="AG9" t="str">
        <f t="shared" si="2"/>
        <v>&lt;Valeur name="description"&gt;&lt;/Valeur&gt;</v>
      </c>
      <c r="AH9" t="str">
        <f t="shared" si="2"/>
        <v>&lt;Valeur name="compte"&gt;28&lt;/Valeur&gt;</v>
      </c>
      <c r="AI9" t="str">
        <f t="shared" si="2"/>
        <v>&lt;Valeur name="solde"&gt;-28787.35&lt;/Valeur&gt;</v>
      </c>
      <c r="AJ9" t="str">
        <f t="shared" si="2"/>
        <v>&lt;Valeur name="ventiler"&gt;0&lt;/Valeur&gt;</v>
      </c>
      <c r="AK9" t="str">
        <f t="shared" si="2"/>
        <v>&lt;Valeur name="compta"&gt;1&lt;/Valeur&gt;</v>
      </c>
      <c r="AL9" t="str">
        <f t="shared" si="2"/>
        <v>&lt;Valeur name="valeur"&gt;639.03&lt;/Valeur&gt;</v>
      </c>
      <c r="AN9" t="str">
        <f t="shared" si="10"/>
        <v>&lt;Insert&gt;&lt;Valeur name="no"&gt;6&lt;/Valeur&gt;&lt;Valeur name="banque"&gt;1&lt;/Valeur&gt;&lt;Valeur name="pointer"&gt;1&lt;/Valeur&gt;&lt;Valeur name="idbanque"&gt;300760283626261100200EUR2019020501&lt;/Valeur&gt;&lt;Valeur name="datevaleur"&gt;2019/02/05&lt;/Valeur&gt;&lt;Valeur name="intitule"&gt; VIR SEPA SALAIRE MR ELOI GOURNAY&lt;/Valeur&gt;&lt;Valeur name="description"&gt;&lt;/Valeur&gt;&lt;Valeur name="compte"&gt;28&lt;/Valeur&gt;&lt;Valeur name="solde"&gt;-28787.35&lt;/Valeur&gt;&lt;Valeur name="ventiler"&gt;0&lt;/Valeur&gt;&lt;Valeur name="compta"&gt;1&lt;/Valeur&gt;&lt;Valeur name="valeur"&gt;639.03&lt;/Valeur&gt;&lt;/Insert&gt;</v>
      </c>
    </row>
    <row r="10" spans="1:40" x14ac:dyDescent="0.25">
      <c r="A10" t="s">
        <v>550</v>
      </c>
      <c r="B10">
        <v>7</v>
      </c>
      <c r="C10" s="1">
        <v>43501</v>
      </c>
      <c r="D10">
        <v>1</v>
      </c>
      <c r="E10" t="str">
        <f>IF(F10&lt;&gt;"",INDEX(Balance!A:A,MATCH(F10,Balance!B:B,0)),"")</f>
        <v>Depense</v>
      </c>
      <c r="F10" t="s">
        <v>256</v>
      </c>
      <c r="G10" t="s">
        <v>525</v>
      </c>
      <c r="I10" s="10">
        <v>1141.1400000000001</v>
      </c>
      <c r="K10" s="11">
        <f t="shared" si="0"/>
        <v>190.18999999999994</v>
      </c>
      <c r="L10" s="10">
        <f t="shared" si="1"/>
        <v>-29928.489999999998</v>
      </c>
      <c r="N10">
        <v>7</v>
      </c>
      <c r="O10">
        <v>1</v>
      </c>
      <c r="P10">
        <v>1</v>
      </c>
      <c r="Q10" t="str">
        <f t="shared" si="3"/>
        <v>300760283626261100200EUR2019020502</v>
      </c>
      <c r="R10" s="16" t="s">
        <v>948</v>
      </c>
      <c r="S10" t="str">
        <f t="shared" si="4"/>
        <v> VIR SEPA SALAIRE MAXIME LEFORT</v>
      </c>
      <c r="U10">
        <f>IFERROR(VLOOKUP(F10,tab!A:B,2,FALSE),1)</f>
        <v>28</v>
      </c>
      <c r="V10" s="14">
        <f t="shared" si="5"/>
        <v>-29928.489999999998</v>
      </c>
      <c r="W10">
        <f t="shared" si="6"/>
        <v>0</v>
      </c>
      <c r="X10">
        <f t="shared" si="7"/>
        <v>1</v>
      </c>
      <c r="Y10" s="14">
        <f t="shared" si="8"/>
        <v>1141.1400000000001</v>
      </c>
      <c r="AA10" t="str">
        <f t="shared" si="9"/>
        <v>&lt;Valeur name="no"&gt;7&lt;/Valeur&gt;</v>
      </c>
      <c r="AB10" t="str">
        <f t="shared" si="9"/>
        <v>&lt;Valeur name="banque"&gt;1&lt;/Valeur&gt;</v>
      </c>
      <c r="AC10" t="str">
        <f t="shared" si="2"/>
        <v>&lt;Valeur name="pointer"&gt;1&lt;/Valeur&gt;</v>
      </c>
      <c r="AD10" t="str">
        <f t="shared" si="2"/>
        <v>&lt;Valeur name="idbanque"&gt;300760283626261100200EUR2019020502&lt;/Valeur&gt;</v>
      </c>
      <c r="AE10" t="str">
        <f t="shared" si="2"/>
        <v>&lt;Valeur name="datevaleur"&gt;2019/02/05&lt;/Valeur&gt;</v>
      </c>
      <c r="AF10" t="str">
        <f t="shared" si="2"/>
        <v>&lt;Valeur name="intitule"&gt; VIR SEPA SALAIRE MAXIME LEFORT&lt;/Valeur&gt;</v>
      </c>
      <c r="AG10" t="str">
        <f t="shared" si="2"/>
        <v>&lt;Valeur name="description"&gt;&lt;/Valeur&gt;</v>
      </c>
      <c r="AH10" t="str">
        <f t="shared" si="2"/>
        <v>&lt;Valeur name="compte"&gt;28&lt;/Valeur&gt;</v>
      </c>
      <c r="AI10" t="str">
        <f t="shared" si="2"/>
        <v>&lt;Valeur name="solde"&gt;-29928.49&lt;/Valeur&gt;</v>
      </c>
      <c r="AJ10" t="str">
        <f t="shared" si="2"/>
        <v>&lt;Valeur name="ventiler"&gt;0&lt;/Valeur&gt;</v>
      </c>
      <c r="AK10" t="str">
        <f t="shared" si="2"/>
        <v>&lt;Valeur name="compta"&gt;1&lt;/Valeur&gt;</v>
      </c>
      <c r="AL10" t="str">
        <f t="shared" si="2"/>
        <v>&lt;Valeur name="valeur"&gt;1141.14&lt;/Valeur&gt;</v>
      </c>
      <c r="AN10" t="str">
        <f t="shared" si="10"/>
        <v>&lt;Insert&gt;&lt;Valeur name="no"&gt;7&lt;/Valeur&gt;&lt;Valeur name="banque"&gt;1&lt;/Valeur&gt;&lt;Valeur name="pointer"&gt;1&lt;/Valeur&gt;&lt;Valeur name="idbanque"&gt;300760283626261100200EUR2019020502&lt;/Valeur&gt;&lt;Valeur name="datevaleur"&gt;2019/02/05&lt;/Valeur&gt;&lt;Valeur name="intitule"&gt; VIR SEPA SALAIRE MAXIME LEFORT&lt;/Valeur&gt;&lt;Valeur name="description"&gt;&lt;/Valeur&gt;&lt;Valeur name="compte"&gt;28&lt;/Valeur&gt;&lt;Valeur name="solde"&gt;-29928.49&lt;/Valeur&gt;&lt;Valeur name="ventiler"&gt;0&lt;/Valeur&gt;&lt;Valeur name="compta"&gt;1&lt;/Valeur&gt;&lt;Valeur name="valeur"&gt;1141.14&lt;/Valeur&gt;&lt;/Insert&gt;</v>
      </c>
    </row>
    <row r="11" spans="1:40" x14ac:dyDescent="0.25">
      <c r="A11" t="s">
        <v>551</v>
      </c>
      <c r="B11">
        <v>8</v>
      </c>
      <c r="C11" s="1">
        <v>43501</v>
      </c>
      <c r="D11">
        <v>1</v>
      </c>
      <c r="E11" t="str">
        <f>IF(F11&lt;&gt;"",INDEX(Balance!A:A,MATCH(F11,Balance!B:B,0)),"")</f>
        <v>Depense</v>
      </c>
      <c r="F11" t="s">
        <v>256</v>
      </c>
      <c r="G11" t="s">
        <v>526</v>
      </c>
      <c r="I11" s="10">
        <v>1501.28</v>
      </c>
      <c r="K11" s="11">
        <f t="shared" si="0"/>
        <v>250.21333333333337</v>
      </c>
      <c r="L11" s="10">
        <f t="shared" si="1"/>
        <v>-31429.769999999997</v>
      </c>
      <c r="N11">
        <v>8</v>
      </c>
      <c r="O11">
        <v>1</v>
      </c>
      <c r="P11">
        <v>1</v>
      </c>
      <c r="Q11" t="str">
        <f t="shared" si="3"/>
        <v>300760283626261100200EUR2019020503</v>
      </c>
      <c r="R11" s="16" t="s">
        <v>948</v>
      </c>
      <c r="S11" t="str">
        <f t="shared" si="4"/>
        <v> VIR SEPA SALAIRE LUDOVIC HUTIN</v>
      </c>
      <c r="U11">
        <f>IFERROR(VLOOKUP(F11,tab!A:B,2,FALSE),1)</f>
        <v>28</v>
      </c>
      <c r="V11" s="14">
        <f t="shared" si="5"/>
        <v>-31429.769999999997</v>
      </c>
      <c r="W11">
        <f t="shared" si="6"/>
        <v>0</v>
      </c>
      <c r="X11">
        <f t="shared" si="7"/>
        <v>1</v>
      </c>
      <c r="Y11" s="14">
        <f t="shared" si="8"/>
        <v>1501.28</v>
      </c>
      <c r="AA11" t="str">
        <f t="shared" si="9"/>
        <v>&lt;Valeur name="no"&gt;8&lt;/Valeur&gt;</v>
      </c>
      <c r="AB11" t="str">
        <f t="shared" si="9"/>
        <v>&lt;Valeur name="banque"&gt;1&lt;/Valeur&gt;</v>
      </c>
      <c r="AC11" t="str">
        <f t="shared" si="2"/>
        <v>&lt;Valeur name="pointer"&gt;1&lt;/Valeur&gt;</v>
      </c>
      <c r="AD11" t="str">
        <f t="shared" si="2"/>
        <v>&lt;Valeur name="idbanque"&gt;300760283626261100200EUR2019020503&lt;/Valeur&gt;</v>
      </c>
      <c r="AE11" t="str">
        <f t="shared" si="2"/>
        <v>&lt;Valeur name="datevaleur"&gt;2019/02/05&lt;/Valeur&gt;</v>
      </c>
      <c r="AF11" t="str">
        <f t="shared" si="2"/>
        <v>&lt;Valeur name="intitule"&gt; VIR SEPA SALAIRE LUDOVIC HUTIN&lt;/Valeur&gt;</v>
      </c>
      <c r="AG11" t="str">
        <f t="shared" si="2"/>
        <v>&lt;Valeur name="description"&gt;&lt;/Valeur&gt;</v>
      </c>
      <c r="AH11" t="str">
        <f t="shared" si="2"/>
        <v>&lt;Valeur name="compte"&gt;28&lt;/Valeur&gt;</v>
      </c>
      <c r="AI11" t="str">
        <f t="shared" si="2"/>
        <v>&lt;Valeur name="solde"&gt;-31429.77&lt;/Valeur&gt;</v>
      </c>
      <c r="AJ11" t="str">
        <f t="shared" si="2"/>
        <v>&lt;Valeur name="ventiler"&gt;0&lt;/Valeur&gt;</v>
      </c>
      <c r="AK11" t="str">
        <f t="shared" si="2"/>
        <v>&lt;Valeur name="compta"&gt;1&lt;/Valeur&gt;</v>
      </c>
      <c r="AL11" t="str">
        <f t="shared" si="2"/>
        <v>&lt;Valeur name="valeur"&gt;1501.28&lt;/Valeur&gt;</v>
      </c>
      <c r="AN11" t="str">
        <f t="shared" si="10"/>
        <v>&lt;Insert&gt;&lt;Valeur name="no"&gt;8&lt;/Valeur&gt;&lt;Valeur name="banque"&gt;1&lt;/Valeur&gt;&lt;Valeur name="pointer"&gt;1&lt;/Valeur&gt;&lt;Valeur name="idbanque"&gt;300760283626261100200EUR2019020503&lt;/Valeur&gt;&lt;Valeur name="datevaleur"&gt;2019/02/05&lt;/Valeur&gt;&lt;Valeur name="intitule"&gt; VIR SEPA SALAIRE LUDOVIC HUTIN&lt;/Valeur&gt;&lt;Valeur name="description"&gt;&lt;/Valeur&gt;&lt;Valeur name="compte"&gt;28&lt;/Valeur&gt;&lt;Valeur name="solde"&gt;-31429.77&lt;/Valeur&gt;&lt;Valeur name="ventiler"&gt;0&lt;/Valeur&gt;&lt;Valeur name="compta"&gt;1&lt;/Valeur&gt;&lt;Valeur name="valeur"&gt;1501.28&lt;/Valeur&gt;&lt;/Insert&gt;</v>
      </c>
    </row>
    <row r="12" spans="1:40" x14ac:dyDescent="0.25">
      <c r="A12" t="s">
        <v>552</v>
      </c>
      <c r="B12">
        <v>9</v>
      </c>
      <c r="C12" s="1">
        <v>43502</v>
      </c>
      <c r="D12">
        <v>1</v>
      </c>
      <c r="E12" t="str">
        <f>IF(F12&lt;&gt;"",INDEX(Balance!A:A,MATCH(F12,Balance!B:B,0)),"")</f>
        <v>Depense</v>
      </c>
      <c r="F12" t="s">
        <v>257</v>
      </c>
      <c r="G12" t="s">
        <v>516</v>
      </c>
      <c r="K12" s="11">
        <f t="shared" si="0"/>
        <v>0</v>
      </c>
      <c r="L12" s="10">
        <f t="shared" si="1"/>
        <v>-31429.769999999997</v>
      </c>
      <c r="N12">
        <v>9</v>
      </c>
      <c r="O12">
        <v>1</v>
      </c>
      <c r="P12">
        <v>1</v>
      </c>
      <c r="Q12" t="str">
        <f t="shared" si="3"/>
        <v>300760283626261100200EUR2019020601</v>
      </c>
      <c r="R12" s="16" t="s">
        <v>875</v>
      </c>
      <c r="S12" t="str">
        <f t="shared" si="4"/>
        <v> INTERNET PRO (GRATUIT AVEC C.ALLIANCE)</v>
      </c>
      <c r="U12">
        <f>IFERROR(VLOOKUP(F12,tab!A:B,2,FALSE),1)</f>
        <v>18</v>
      </c>
      <c r="V12" s="14">
        <f t="shared" si="5"/>
        <v>-31429.769999999997</v>
      </c>
      <c r="W12">
        <f t="shared" si="6"/>
        <v>0</v>
      </c>
      <c r="X12">
        <f t="shared" si="7"/>
        <v>1</v>
      </c>
      <c r="Y12" s="14">
        <f t="shared" si="8"/>
        <v>0</v>
      </c>
      <c r="AA12" t="str">
        <f t="shared" si="9"/>
        <v>&lt;Valeur name="no"&gt;9&lt;/Valeur&gt;</v>
      </c>
      <c r="AB12" t="str">
        <f t="shared" si="9"/>
        <v>&lt;Valeur name="banque"&gt;1&lt;/Valeur&gt;</v>
      </c>
      <c r="AC12" t="str">
        <f t="shared" si="2"/>
        <v>&lt;Valeur name="pointer"&gt;1&lt;/Valeur&gt;</v>
      </c>
      <c r="AD12" t="str">
        <f t="shared" si="2"/>
        <v>&lt;Valeur name="idbanque"&gt;300760283626261100200EUR2019020601&lt;/Valeur&gt;</v>
      </c>
      <c r="AE12" t="str">
        <f t="shared" si="2"/>
        <v>&lt;Valeur name="datevaleur"&gt;2019/02/06&lt;/Valeur&gt;</v>
      </c>
      <c r="AF12" t="str">
        <f t="shared" si="2"/>
        <v>&lt;Valeur name="intitule"&gt; INTERNET PRO (GRATUIT AVEC C.ALLIANCE)&lt;/Valeur&gt;</v>
      </c>
      <c r="AG12" t="str">
        <f t="shared" si="2"/>
        <v>&lt;Valeur name="description"&gt;&lt;/Valeur&gt;</v>
      </c>
      <c r="AH12" t="str">
        <f t="shared" si="2"/>
        <v>&lt;Valeur name="compte"&gt;18&lt;/Valeur&gt;</v>
      </c>
      <c r="AI12" t="str">
        <f t="shared" si="2"/>
        <v>&lt;Valeur name="solde"&gt;-31429.77&lt;/Valeur&gt;</v>
      </c>
      <c r="AJ12" t="str">
        <f t="shared" si="2"/>
        <v>&lt;Valeur name="ventiler"&gt;0&lt;/Valeur&gt;</v>
      </c>
      <c r="AK12" t="str">
        <f t="shared" si="2"/>
        <v>&lt;Valeur name="compta"&gt;1&lt;/Valeur&gt;</v>
      </c>
      <c r="AL12" t="str">
        <f t="shared" si="2"/>
        <v>&lt;Valeur name="valeur"&gt;0&lt;/Valeur&gt;</v>
      </c>
      <c r="AN12" t="str">
        <f t="shared" si="10"/>
        <v>&lt;Insert&gt;&lt;Valeur name="no"&gt;9&lt;/Valeur&gt;&lt;Valeur name="banque"&gt;1&lt;/Valeur&gt;&lt;Valeur name="pointer"&gt;1&lt;/Valeur&gt;&lt;Valeur name="idbanque"&gt;300760283626261100200EUR2019020601&lt;/Valeur&gt;&lt;Valeur name="datevaleur"&gt;2019/02/06&lt;/Valeur&gt;&lt;Valeur name="intitule"&gt; INTERNET PRO (GRATUIT AVEC C.ALLIANCE)&lt;/Valeur&gt;&lt;Valeur name="description"&gt;&lt;/Valeur&gt;&lt;Valeur name="compte"&gt;18&lt;/Valeur&gt;&lt;Valeur name="solde"&gt;-31429.77&lt;/Valeur&gt;&lt;Valeur name="ventiler"&gt;0&lt;/Valeur&gt;&lt;Valeur name="compta"&gt;1&lt;/Valeur&gt;&lt;Valeur name="valeur"&gt;0&lt;/Valeur&gt;&lt;/Insert&gt;</v>
      </c>
    </row>
    <row r="13" spans="1:40" x14ac:dyDescent="0.25">
      <c r="A13" t="s">
        <v>553</v>
      </c>
      <c r="B13">
        <v>10</v>
      </c>
      <c r="C13" s="1">
        <v>43502</v>
      </c>
      <c r="D13">
        <v>1</v>
      </c>
      <c r="E13" t="str">
        <f>IF(F13&lt;&gt;"",INDEX(Balance!A:A,MATCH(F13,Balance!B:B,0)),"")</f>
        <v>Depense</v>
      </c>
      <c r="F13" t="s">
        <v>372</v>
      </c>
      <c r="G13" t="s">
        <v>517</v>
      </c>
      <c r="I13" s="10">
        <v>3.2</v>
      </c>
      <c r="K13" s="11">
        <f t="shared" si="0"/>
        <v>0.53333333333333321</v>
      </c>
      <c r="L13" s="10">
        <f t="shared" si="1"/>
        <v>-31432.969999999998</v>
      </c>
      <c r="N13">
        <v>10</v>
      </c>
      <c r="O13">
        <v>1</v>
      </c>
      <c r="P13">
        <v>1</v>
      </c>
      <c r="Q13" t="str">
        <f t="shared" si="3"/>
        <v>300760283626261100200EUR2019020602</v>
      </c>
      <c r="R13" s="16" t="s">
        <v>875</v>
      </c>
      <c r="S13" t="str">
        <f t="shared" si="4"/>
        <v> CB 454106 SANEF 2901- 60SENLIS C LE 0402</v>
      </c>
      <c r="U13">
        <f>IFERROR(VLOOKUP(F13,tab!A:B,2,FALSE),1)</f>
        <v>21</v>
      </c>
      <c r="V13" s="14">
        <f t="shared" si="5"/>
        <v>-31432.969999999998</v>
      </c>
      <c r="W13">
        <f t="shared" si="6"/>
        <v>0</v>
      </c>
      <c r="X13">
        <f t="shared" si="7"/>
        <v>1</v>
      </c>
      <c r="Y13" s="14">
        <f t="shared" si="8"/>
        <v>3.2</v>
      </c>
      <c r="AA13" t="str">
        <f t="shared" si="9"/>
        <v>&lt;Valeur name="no"&gt;10&lt;/Valeur&gt;</v>
      </c>
      <c r="AB13" t="str">
        <f t="shared" si="9"/>
        <v>&lt;Valeur name="banque"&gt;1&lt;/Valeur&gt;</v>
      </c>
      <c r="AC13" t="str">
        <f t="shared" si="2"/>
        <v>&lt;Valeur name="pointer"&gt;1&lt;/Valeur&gt;</v>
      </c>
      <c r="AD13" t="str">
        <f t="shared" si="2"/>
        <v>&lt;Valeur name="idbanque"&gt;300760283626261100200EUR2019020602&lt;/Valeur&gt;</v>
      </c>
      <c r="AE13" t="str">
        <f t="shared" si="2"/>
        <v>&lt;Valeur name="datevaleur"&gt;2019/02/06&lt;/Valeur&gt;</v>
      </c>
      <c r="AF13" t="str">
        <f t="shared" si="2"/>
        <v>&lt;Valeur name="intitule"&gt; CB 454106 SANEF 2901- 60SENLIS C LE 0402&lt;/Valeur&gt;</v>
      </c>
      <c r="AG13" t="str">
        <f t="shared" si="2"/>
        <v>&lt;Valeur name="description"&gt;&lt;/Valeur&gt;</v>
      </c>
      <c r="AH13" t="str">
        <f t="shared" si="2"/>
        <v>&lt;Valeur name="compte"&gt;21&lt;/Valeur&gt;</v>
      </c>
      <c r="AI13" t="str">
        <f t="shared" si="2"/>
        <v>&lt;Valeur name="solde"&gt;-31432.97&lt;/Valeur&gt;</v>
      </c>
      <c r="AJ13" t="str">
        <f t="shared" si="2"/>
        <v>&lt;Valeur name="ventiler"&gt;0&lt;/Valeur&gt;</v>
      </c>
      <c r="AK13" t="str">
        <f t="shared" si="2"/>
        <v>&lt;Valeur name="compta"&gt;1&lt;/Valeur&gt;</v>
      </c>
      <c r="AL13" t="str">
        <f t="shared" si="2"/>
        <v>&lt;Valeur name="valeur"&gt;3.2&lt;/Valeur&gt;</v>
      </c>
      <c r="AN13" t="str">
        <f t="shared" si="10"/>
        <v>&lt;Insert&gt;&lt;Valeur name="no"&gt;10&lt;/Valeur&gt;&lt;Valeur name="banque"&gt;1&lt;/Valeur&gt;&lt;Valeur name="pointer"&gt;1&lt;/Valeur&gt;&lt;Valeur name="idbanque"&gt;300760283626261100200EUR2019020602&lt;/Valeur&gt;&lt;Valeur name="datevaleur"&gt;2019/02/06&lt;/Valeur&gt;&lt;Valeur name="intitule"&gt; CB 454106 SANEF 2901- 60SENLIS C LE 0402&lt;/Valeur&gt;&lt;Valeur name="description"&gt;&lt;/Valeur&gt;&lt;Valeur name="compte"&gt;21&lt;/Valeur&gt;&lt;Valeur name="solde"&gt;-31432.97&lt;/Valeur&gt;&lt;Valeur name="ventiler"&gt;0&lt;/Valeur&gt;&lt;Valeur name="compta"&gt;1&lt;/Valeur&gt;&lt;Valeur name="valeur"&gt;3.2&lt;/Valeur&gt;&lt;/Insert&gt;</v>
      </c>
    </row>
    <row r="14" spans="1:40" x14ac:dyDescent="0.25">
      <c r="A14" t="s">
        <v>554</v>
      </c>
      <c r="B14">
        <v>11</v>
      </c>
      <c r="C14" s="1">
        <v>43502</v>
      </c>
      <c r="D14">
        <v>1</v>
      </c>
      <c r="E14" t="str">
        <f>IF(F14&lt;&gt;"",INDEX(Balance!A:A,MATCH(F14,Balance!B:B,0)),"")</f>
        <v>Fournisseurs</v>
      </c>
      <c r="F14" t="s">
        <v>373</v>
      </c>
      <c r="G14" t="s">
        <v>518</v>
      </c>
      <c r="I14" s="10">
        <v>18.7</v>
      </c>
      <c r="K14" s="11">
        <f t="shared" si="0"/>
        <v>3.1166666666666654</v>
      </c>
      <c r="L14" s="10">
        <f t="shared" si="1"/>
        <v>-31451.67</v>
      </c>
      <c r="N14">
        <v>11</v>
      </c>
      <c r="O14">
        <v>1</v>
      </c>
      <c r="P14">
        <v>1</v>
      </c>
      <c r="Q14" t="str">
        <f t="shared" si="3"/>
        <v>300760283626261100200EUR2019020603</v>
      </c>
      <c r="R14" s="16" t="s">
        <v>875</v>
      </c>
      <c r="S14" t="str">
        <f t="shared" si="4"/>
        <v> CB 548222 BRICO DEPOT 59AULNOY L LE 0502</v>
      </c>
      <c r="U14">
        <f>IFERROR(VLOOKUP(F14,tab!A:B,2,FALSE),1)</f>
        <v>38</v>
      </c>
      <c r="V14" s="14">
        <f t="shared" si="5"/>
        <v>-31451.67</v>
      </c>
      <c r="W14">
        <f t="shared" si="6"/>
        <v>0</v>
      </c>
      <c r="X14">
        <f t="shared" si="7"/>
        <v>1</v>
      </c>
      <c r="Y14" s="14">
        <f t="shared" si="8"/>
        <v>18.7</v>
      </c>
      <c r="AA14" t="str">
        <f t="shared" si="9"/>
        <v>&lt;Valeur name="no"&gt;11&lt;/Valeur&gt;</v>
      </c>
      <c r="AB14" t="str">
        <f t="shared" si="9"/>
        <v>&lt;Valeur name="banque"&gt;1&lt;/Valeur&gt;</v>
      </c>
      <c r="AC14" t="str">
        <f t="shared" si="2"/>
        <v>&lt;Valeur name="pointer"&gt;1&lt;/Valeur&gt;</v>
      </c>
      <c r="AD14" t="str">
        <f t="shared" si="2"/>
        <v>&lt;Valeur name="idbanque"&gt;300760283626261100200EUR2019020603&lt;/Valeur&gt;</v>
      </c>
      <c r="AE14" t="str">
        <f t="shared" si="2"/>
        <v>&lt;Valeur name="datevaleur"&gt;2019/02/06&lt;/Valeur&gt;</v>
      </c>
      <c r="AF14" t="str">
        <f t="shared" si="2"/>
        <v>&lt;Valeur name="intitule"&gt; CB 548222 BRICO DEPOT 59AULNOY L LE 0502&lt;/Valeur&gt;</v>
      </c>
      <c r="AG14" t="str">
        <f t="shared" si="2"/>
        <v>&lt;Valeur name="description"&gt;&lt;/Valeur&gt;</v>
      </c>
      <c r="AH14" t="str">
        <f t="shared" si="2"/>
        <v>&lt;Valeur name="compte"&gt;38&lt;/Valeur&gt;</v>
      </c>
      <c r="AI14" t="str">
        <f t="shared" si="2"/>
        <v>&lt;Valeur name="solde"&gt;-31451.67&lt;/Valeur&gt;</v>
      </c>
      <c r="AJ14" t="str">
        <f t="shared" si="2"/>
        <v>&lt;Valeur name="ventiler"&gt;0&lt;/Valeur&gt;</v>
      </c>
      <c r="AK14" t="str">
        <f t="shared" si="2"/>
        <v>&lt;Valeur name="compta"&gt;1&lt;/Valeur&gt;</v>
      </c>
      <c r="AL14" t="str">
        <f t="shared" si="2"/>
        <v>&lt;Valeur name="valeur"&gt;18.7&lt;/Valeur&gt;</v>
      </c>
      <c r="AN14" t="str">
        <f t="shared" si="10"/>
        <v>&lt;Insert&gt;&lt;Valeur name="no"&gt;11&lt;/Valeur&gt;&lt;Valeur name="banque"&gt;1&lt;/Valeur&gt;&lt;Valeur name="pointer"&gt;1&lt;/Valeur&gt;&lt;Valeur name="idbanque"&gt;300760283626261100200EUR2019020603&lt;/Valeur&gt;&lt;Valeur name="datevaleur"&gt;2019/02/06&lt;/Valeur&gt;&lt;Valeur name="intitule"&gt; CB 548222 BRICO DEPOT 59AULNOY L LE 0502&lt;/Valeur&gt;&lt;Valeur name="description"&gt;&lt;/Valeur&gt;&lt;Valeur name="compte"&gt;38&lt;/Valeur&gt;&lt;Valeur name="solde"&gt;-31451.67&lt;/Valeur&gt;&lt;Valeur name="ventiler"&gt;0&lt;/Valeur&gt;&lt;Valeur name="compta"&gt;1&lt;/Valeur&gt;&lt;Valeur name="valeur"&gt;18.7&lt;/Valeur&gt;&lt;/Insert&gt;</v>
      </c>
    </row>
    <row r="15" spans="1:40" x14ac:dyDescent="0.25">
      <c r="A15" t="s">
        <v>555</v>
      </c>
      <c r="B15">
        <v>12</v>
      </c>
      <c r="C15" s="1">
        <v>43502</v>
      </c>
      <c r="D15">
        <v>1</v>
      </c>
      <c r="E15" t="str">
        <f>IF(F15&lt;&gt;"",INDEX(Balance!A:A,MATCH(F15,Balance!B:B,0)),"")</f>
        <v>Fournisseurs</v>
      </c>
      <c r="F15" t="s">
        <v>355</v>
      </c>
      <c r="G15" t="s">
        <v>519</v>
      </c>
      <c r="I15" s="10">
        <v>41.32</v>
      </c>
      <c r="K15" s="11">
        <f t="shared" si="0"/>
        <v>6.8866666666666632</v>
      </c>
      <c r="L15" s="10">
        <f t="shared" si="1"/>
        <v>-31492.989999999998</v>
      </c>
      <c r="N15">
        <v>12</v>
      </c>
      <c r="O15">
        <v>1</v>
      </c>
      <c r="P15">
        <v>1</v>
      </c>
      <c r="Q15" t="str">
        <f t="shared" si="3"/>
        <v>300760283626261100200EUR2019020604</v>
      </c>
      <c r="R15" s="16" t="s">
        <v>875</v>
      </c>
      <c r="S15" t="str">
        <f t="shared" si="4"/>
        <v> CB 548222 REXEL 59LA SENTI LE 0502</v>
      </c>
      <c r="U15">
        <f>IFERROR(VLOOKUP(F15,tab!A:B,2,FALSE),1)</f>
        <v>101</v>
      </c>
      <c r="V15" s="14">
        <f t="shared" si="5"/>
        <v>-31492.989999999998</v>
      </c>
      <c r="W15">
        <f t="shared" si="6"/>
        <v>0</v>
      </c>
      <c r="X15">
        <f t="shared" si="7"/>
        <v>1</v>
      </c>
      <c r="Y15" s="14">
        <f t="shared" si="8"/>
        <v>41.32</v>
      </c>
      <c r="AA15" t="str">
        <f t="shared" si="9"/>
        <v>&lt;Valeur name="no"&gt;12&lt;/Valeur&gt;</v>
      </c>
      <c r="AB15" t="str">
        <f t="shared" si="9"/>
        <v>&lt;Valeur name="banque"&gt;1&lt;/Valeur&gt;</v>
      </c>
      <c r="AC15" t="str">
        <f t="shared" si="2"/>
        <v>&lt;Valeur name="pointer"&gt;1&lt;/Valeur&gt;</v>
      </c>
      <c r="AD15" t="str">
        <f t="shared" si="2"/>
        <v>&lt;Valeur name="idbanque"&gt;300760283626261100200EUR2019020604&lt;/Valeur&gt;</v>
      </c>
      <c r="AE15" t="str">
        <f t="shared" si="2"/>
        <v>&lt;Valeur name="datevaleur"&gt;2019/02/06&lt;/Valeur&gt;</v>
      </c>
      <c r="AF15" t="str">
        <f t="shared" si="2"/>
        <v>&lt;Valeur name="intitule"&gt; CB 548222 REXEL 59LA SENTI LE 0502&lt;/Valeur&gt;</v>
      </c>
      <c r="AG15" t="str">
        <f t="shared" si="2"/>
        <v>&lt;Valeur name="description"&gt;&lt;/Valeur&gt;</v>
      </c>
      <c r="AH15" t="str">
        <f t="shared" si="2"/>
        <v>&lt;Valeur name="compte"&gt;101&lt;/Valeur&gt;</v>
      </c>
      <c r="AI15" t="str">
        <f t="shared" si="2"/>
        <v>&lt;Valeur name="solde"&gt;-31492.99&lt;/Valeur&gt;</v>
      </c>
      <c r="AJ15" t="str">
        <f t="shared" si="2"/>
        <v>&lt;Valeur name="ventiler"&gt;0&lt;/Valeur&gt;</v>
      </c>
      <c r="AK15" t="str">
        <f t="shared" si="2"/>
        <v>&lt;Valeur name="compta"&gt;1&lt;/Valeur&gt;</v>
      </c>
      <c r="AL15" t="str">
        <f t="shared" si="2"/>
        <v>&lt;Valeur name="valeur"&gt;41.32&lt;/Valeur&gt;</v>
      </c>
      <c r="AN15" t="str">
        <f t="shared" si="10"/>
        <v>&lt;Insert&gt;&lt;Valeur name="no"&gt;12&lt;/Valeur&gt;&lt;Valeur name="banque"&gt;1&lt;/Valeur&gt;&lt;Valeur name="pointer"&gt;1&lt;/Valeur&gt;&lt;Valeur name="idbanque"&gt;300760283626261100200EUR2019020604&lt;/Valeur&gt;&lt;Valeur name="datevaleur"&gt;2019/02/06&lt;/Valeur&gt;&lt;Valeur name="intitule"&gt; CB 548222 REXEL 59LA SENTI LE 0502&lt;/Valeur&gt;&lt;Valeur name="description"&gt;&lt;/Valeur&gt;&lt;Valeur name="compte"&gt;101&lt;/Valeur&gt;&lt;Valeur name="solde"&gt;-31492.99&lt;/Valeur&gt;&lt;Valeur name="ventiler"&gt;0&lt;/Valeur&gt;&lt;Valeur name="compta"&gt;1&lt;/Valeur&gt;&lt;Valeur name="valeur"&gt;41.32&lt;/Valeur&gt;&lt;/Insert&gt;</v>
      </c>
    </row>
    <row r="16" spans="1:40" x14ac:dyDescent="0.25">
      <c r="A16" t="s">
        <v>556</v>
      </c>
      <c r="B16">
        <v>13</v>
      </c>
      <c r="C16" s="1">
        <v>43502</v>
      </c>
      <c r="D16">
        <v>1</v>
      </c>
      <c r="E16" t="str">
        <f>IF(F16&lt;&gt;"",INDEX(Balance!A:A,MATCH(F16,Balance!B:B,0)),"")</f>
        <v>Depense</v>
      </c>
      <c r="F16" t="s">
        <v>253</v>
      </c>
      <c r="G16" t="s">
        <v>520</v>
      </c>
      <c r="I16" s="10">
        <v>77.13</v>
      </c>
      <c r="K16" s="11">
        <f t="shared" si="0"/>
        <v>12.85499999999999</v>
      </c>
      <c r="L16" s="10">
        <f t="shared" si="1"/>
        <v>-31570.12</v>
      </c>
      <c r="N16">
        <v>13</v>
      </c>
      <c r="O16">
        <v>1</v>
      </c>
      <c r="P16">
        <v>1</v>
      </c>
      <c r="Q16" t="str">
        <f t="shared" si="3"/>
        <v>300760283626261100200EUR2019020605</v>
      </c>
      <c r="R16" s="16" t="s">
        <v>875</v>
      </c>
      <c r="S16" t="str">
        <f t="shared" si="4"/>
        <v> CB 548222 CARREFOUR D 59AULNOY L LE 0502</v>
      </c>
      <c r="U16">
        <f>IFERROR(VLOOKUP(F16,tab!A:B,2,FALSE),1)</f>
        <v>13</v>
      </c>
      <c r="V16" s="14">
        <f t="shared" si="5"/>
        <v>-31570.12</v>
      </c>
      <c r="W16">
        <f t="shared" si="6"/>
        <v>0</v>
      </c>
      <c r="X16">
        <f t="shared" si="7"/>
        <v>1</v>
      </c>
      <c r="Y16" s="14">
        <f t="shared" si="8"/>
        <v>77.13</v>
      </c>
      <c r="AA16" t="str">
        <f t="shared" si="9"/>
        <v>&lt;Valeur name="no"&gt;13&lt;/Valeur&gt;</v>
      </c>
      <c r="AB16" t="str">
        <f t="shared" si="9"/>
        <v>&lt;Valeur name="banque"&gt;1&lt;/Valeur&gt;</v>
      </c>
      <c r="AC16" t="str">
        <f t="shared" si="2"/>
        <v>&lt;Valeur name="pointer"&gt;1&lt;/Valeur&gt;</v>
      </c>
      <c r="AD16" t="str">
        <f t="shared" si="2"/>
        <v>&lt;Valeur name="idbanque"&gt;300760283626261100200EUR2019020605&lt;/Valeur&gt;</v>
      </c>
      <c r="AE16" t="str">
        <f t="shared" si="2"/>
        <v>&lt;Valeur name="datevaleur"&gt;2019/02/06&lt;/Valeur&gt;</v>
      </c>
      <c r="AF16" t="str">
        <f t="shared" si="2"/>
        <v>&lt;Valeur name="intitule"&gt; CB 548222 CARREFOUR D 59AULNOY L LE 0502&lt;/Valeur&gt;</v>
      </c>
      <c r="AG16" t="str">
        <f t="shared" si="2"/>
        <v>&lt;Valeur name="description"&gt;&lt;/Valeur&gt;</v>
      </c>
      <c r="AH16" t="str">
        <f t="shared" si="2"/>
        <v>&lt;Valeur name="compte"&gt;13&lt;/Valeur&gt;</v>
      </c>
      <c r="AI16" t="str">
        <f t="shared" si="2"/>
        <v>&lt;Valeur name="solde"&gt;-31570.12&lt;/Valeur&gt;</v>
      </c>
      <c r="AJ16" t="str">
        <f t="shared" si="2"/>
        <v>&lt;Valeur name="ventiler"&gt;0&lt;/Valeur&gt;</v>
      </c>
      <c r="AK16" t="str">
        <f t="shared" si="2"/>
        <v>&lt;Valeur name="compta"&gt;1&lt;/Valeur&gt;</v>
      </c>
      <c r="AL16" t="str">
        <f t="shared" si="2"/>
        <v>&lt;Valeur name="valeur"&gt;77.13&lt;/Valeur&gt;</v>
      </c>
      <c r="AN16" t="str">
        <f t="shared" si="10"/>
        <v>&lt;Insert&gt;&lt;Valeur name="no"&gt;13&lt;/Valeur&gt;&lt;Valeur name="banque"&gt;1&lt;/Valeur&gt;&lt;Valeur name="pointer"&gt;1&lt;/Valeur&gt;&lt;Valeur name="idbanque"&gt;300760283626261100200EUR2019020605&lt;/Valeur&gt;&lt;Valeur name="datevaleur"&gt;2019/02/06&lt;/Valeur&gt;&lt;Valeur name="intitule"&gt; CB 548222 CARREFOUR D 59AULNOY L LE 0502&lt;/Valeur&gt;&lt;Valeur name="description"&gt;&lt;/Valeur&gt;&lt;Valeur name="compte"&gt;13&lt;/Valeur&gt;&lt;Valeur name="solde"&gt;-31570.12&lt;/Valeur&gt;&lt;Valeur name="ventiler"&gt;0&lt;/Valeur&gt;&lt;Valeur name="compta"&gt;1&lt;/Valeur&gt;&lt;Valeur name="valeur"&gt;77.13&lt;/Valeur&gt;&lt;/Insert&gt;</v>
      </c>
    </row>
    <row r="17" spans="1:40" x14ac:dyDescent="0.25">
      <c r="A17" t="s">
        <v>557</v>
      </c>
      <c r="B17">
        <v>14</v>
      </c>
      <c r="C17" s="1">
        <v>43502</v>
      </c>
      <c r="D17">
        <v>1</v>
      </c>
      <c r="E17" t="str">
        <f>IF(F17&lt;&gt;"",INDEX(Balance!A:A,MATCH(F17,Balance!B:B,0)),"")</f>
        <v>Fournisseurs</v>
      </c>
      <c r="F17" t="s">
        <v>376</v>
      </c>
      <c r="G17" t="s">
        <v>521</v>
      </c>
      <c r="H17" t="s">
        <v>522</v>
      </c>
      <c r="I17" s="10">
        <v>8</v>
      </c>
      <c r="K17" s="11">
        <f t="shared" si="0"/>
        <v>1.333333333333333</v>
      </c>
      <c r="L17" s="10">
        <f t="shared" si="1"/>
        <v>-31578.12</v>
      </c>
      <c r="N17">
        <v>14</v>
      </c>
      <c r="O17">
        <v>1</v>
      </c>
      <c r="P17">
        <v>1</v>
      </c>
      <c r="Q17" t="str">
        <f t="shared" si="3"/>
        <v>300760283626261100200EUR2019020606</v>
      </c>
      <c r="R17" s="16" t="s">
        <v>875</v>
      </c>
      <c r="S17" t="str">
        <f t="shared" si="4"/>
        <v> PRLV SEPA Google Ireland Limited /  Motif : APPS COMMERCE:le-metal.net:GG101PA7</v>
      </c>
      <c r="U17">
        <f>IFERROR(VLOOKUP(F17,tab!A:B,2,FALSE),1)</f>
        <v>69</v>
      </c>
      <c r="V17" s="14">
        <f t="shared" si="5"/>
        <v>-31578.12</v>
      </c>
      <c r="W17">
        <f t="shared" si="6"/>
        <v>0</v>
      </c>
      <c r="X17">
        <f t="shared" si="7"/>
        <v>1</v>
      </c>
      <c r="Y17" s="14">
        <f t="shared" si="8"/>
        <v>8</v>
      </c>
      <c r="AA17" t="str">
        <f t="shared" si="9"/>
        <v>&lt;Valeur name="no"&gt;14&lt;/Valeur&gt;</v>
      </c>
      <c r="AB17" t="str">
        <f t="shared" si="9"/>
        <v>&lt;Valeur name="banque"&gt;1&lt;/Valeur&gt;</v>
      </c>
      <c r="AC17" t="str">
        <f t="shared" si="2"/>
        <v>&lt;Valeur name="pointer"&gt;1&lt;/Valeur&gt;</v>
      </c>
      <c r="AD17" t="str">
        <f t="shared" si="2"/>
        <v>&lt;Valeur name="idbanque"&gt;300760283626261100200EUR2019020606&lt;/Valeur&gt;</v>
      </c>
      <c r="AE17" t="str">
        <f t="shared" si="2"/>
        <v>&lt;Valeur name="datevaleur"&gt;2019/02/06&lt;/Valeur&gt;</v>
      </c>
      <c r="AF17" t="str">
        <f t="shared" si="2"/>
        <v>&lt;Valeur name="intitule"&gt; PRLV SEPA Google Ireland Limited /  Motif : APPS COMMERCE:le-metal.net:GG101PA7&lt;/Valeur&gt;</v>
      </c>
      <c r="AG17" t="str">
        <f t="shared" si="2"/>
        <v>&lt;Valeur name="description"&gt;&lt;/Valeur&gt;</v>
      </c>
      <c r="AH17" t="str">
        <f t="shared" si="2"/>
        <v>&lt;Valeur name="compte"&gt;69&lt;/Valeur&gt;</v>
      </c>
      <c r="AI17" t="str">
        <f t="shared" si="2"/>
        <v>&lt;Valeur name="solde"&gt;-31578.12&lt;/Valeur&gt;</v>
      </c>
      <c r="AJ17" t="str">
        <f t="shared" si="2"/>
        <v>&lt;Valeur name="ventiler"&gt;0&lt;/Valeur&gt;</v>
      </c>
      <c r="AK17" t="str">
        <f t="shared" si="2"/>
        <v>&lt;Valeur name="compta"&gt;1&lt;/Valeur&gt;</v>
      </c>
      <c r="AL17" t="str">
        <f t="shared" si="2"/>
        <v>&lt;Valeur name="valeur"&gt;8&lt;/Valeur&gt;</v>
      </c>
      <c r="AN17" t="str">
        <f t="shared" si="10"/>
        <v>&lt;Insert&gt;&lt;Valeur name="no"&gt;14&lt;/Valeur&gt;&lt;Valeur name="banque"&gt;1&lt;/Valeur&gt;&lt;Valeur name="pointer"&gt;1&lt;/Valeur&gt;&lt;Valeur name="idbanque"&gt;300760283626261100200EUR2019020606&lt;/Valeur&gt;&lt;Valeur name="datevaleur"&gt;2019/02/06&lt;/Valeur&gt;&lt;Valeur name="intitule"&gt; PRLV SEPA Google Ireland Limited /  Motif : APPS COMMERCE:le-metal.net:GG101PA7&lt;/Valeur&gt;&lt;Valeur name="description"&gt;&lt;/Valeur&gt;&lt;Valeur name="compte"&gt;69&lt;/Valeur&gt;&lt;Valeur name="solde"&gt;-31578.12&lt;/Valeur&gt;&lt;Valeur name="ventiler"&gt;0&lt;/Valeur&gt;&lt;Valeur name="compta"&gt;1&lt;/Valeur&gt;&lt;Valeur name="valeur"&gt;8&lt;/Valeur&gt;&lt;/Insert&gt;</v>
      </c>
    </row>
    <row r="18" spans="1:40" x14ac:dyDescent="0.25">
      <c r="A18" t="s">
        <v>558</v>
      </c>
      <c r="B18">
        <v>15</v>
      </c>
      <c r="C18" s="1">
        <v>43502</v>
      </c>
      <c r="E18" t="str">
        <f>IF(F18&lt;&gt;"",INDEX(Balance!A:A,MATCH(F18,Balance!B:B,0)),"")</f>
        <v>Client</v>
      </c>
      <c r="F18" t="s">
        <v>534</v>
      </c>
      <c r="G18" t="s">
        <v>523</v>
      </c>
      <c r="H18" t="s">
        <v>533</v>
      </c>
      <c r="J18" s="10">
        <v>8898.84</v>
      </c>
      <c r="K18" s="11">
        <f t="shared" si="0"/>
        <v>-1483.1399999999994</v>
      </c>
      <c r="L18" s="10">
        <f t="shared" si="1"/>
        <v>-22679.279999999999</v>
      </c>
      <c r="N18">
        <v>15</v>
      </c>
      <c r="O18">
        <v>1</v>
      </c>
      <c r="P18">
        <v>1</v>
      </c>
      <c r="Q18" t="str">
        <f t="shared" si="3"/>
        <v>300760283626261100200EUR2019020607</v>
      </c>
      <c r="R18" s="16" t="s">
        <v>875</v>
      </c>
      <c r="S18" t="str">
        <f t="shared" si="4"/>
        <v> VIR TRESORERIE FOURMIES /  Motif : FACTURE AF231-2 ANOR</v>
      </c>
      <c r="U18">
        <f>IFERROR(VLOOKUP(F18,tab!A:B,2,FALSE),1)</f>
        <v>3</v>
      </c>
      <c r="V18" s="14">
        <f t="shared" si="5"/>
        <v>-22679.279999999999</v>
      </c>
      <c r="W18">
        <f t="shared" si="6"/>
        <v>0</v>
      </c>
      <c r="X18" t="str">
        <f t="shared" si="7"/>
        <v/>
      </c>
      <c r="Y18" s="14">
        <f t="shared" si="8"/>
        <v>8898.84</v>
      </c>
      <c r="AA18" t="str">
        <f t="shared" si="9"/>
        <v>&lt;Valeur name="no"&gt;15&lt;/Valeur&gt;</v>
      </c>
      <c r="AB18" t="str">
        <f t="shared" si="9"/>
        <v>&lt;Valeur name="banque"&gt;1&lt;/Valeur&gt;</v>
      </c>
      <c r="AC18" t="str">
        <f t="shared" ref="AC18:AC81" si="11">IF(ISBLANK($N18),"",P$1&amp;P18&amp;"&lt;/Valeur&gt;")</f>
        <v>&lt;Valeur name="pointer"&gt;1&lt;/Valeur&gt;</v>
      </c>
      <c r="AD18" t="str">
        <f t="shared" ref="AD18:AD81" si="12">IF(ISBLANK($N18),"",Q$1&amp;Q18&amp;"&lt;/Valeur&gt;")</f>
        <v>&lt;Valeur name="idbanque"&gt;300760283626261100200EUR2019020607&lt;/Valeur&gt;</v>
      </c>
      <c r="AE18" t="str">
        <f t="shared" ref="AE18:AE81" si="13">IF(ISBLANK($N18),"",R$1&amp;R18&amp;"&lt;/Valeur&gt;")</f>
        <v>&lt;Valeur name="datevaleur"&gt;2019/02/06&lt;/Valeur&gt;</v>
      </c>
      <c r="AF18" t="str">
        <f t="shared" ref="AF18:AF81" si="14">IF(ISBLANK($N18),"",S$1&amp;S18&amp;"&lt;/Valeur&gt;")</f>
        <v>&lt;Valeur name="intitule"&gt; VIR TRESORERIE FOURMIES /  Motif : FACTURE AF231-2 ANOR&lt;/Valeur&gt;</v>
      </c>
      <c r="AG18" t="str">
        <f t="shared" ref="AG18:AG81" si="15">IF(ISBLANK($N18),"",T$1&amp;T18&amp;"&lt;/Valeur&gt;")</f>
        <v>&lt;Valeur name="description"&gt;&lt;/Valeur&gt;</v>
      </c>
      <c r="AH18" t="str">
        <f t="shared" ref="AH18:AH81" si="16">IF(ISBLANK($N18),"",U$1&amp;U18&amp;"&lt;/Valeur&gt;")</f>
        <v>&lt;Valeur name="compte"&gt;3&lt;/Valeur&gt;</v>
      </c>
      <c r="AI18" t="str">
        <f t="shared" ref="AI18:AI81" si="17">IF(ISBLANK($N18),"",V$1&amp;V18&amp;"&lt;/Valeur&gt;")</f>
        <v>&lt;Valeur name="solde"&gt;-22679.28&lt;/Valeur&gt;</v>
      </c>
      <c r="AJ18" t="str">
        <f t="shared" ref="AJ18:AJ81" si="18">IF(ISBLANK($N18),"",W$1&amp;W18&amp;"&lt;/Valeur&gt;")</f>
        <v>&lt;Valeur name="ventiler"&gt;0&lt;/Valeur&gt;</v>
      </c>
      <c r="AK18" t="str">
        <f t="shared" ref="AK18:AK81" si="19">IF(ISBLANK($N18),"",X$1&amp;X18&amp;"&lt;/Valeur&gt;")</f>
        <v>&lt;Valeur name="compta"&gt;&lt;/Valeur&gt;</v>
      </c>
      <c r="AL18" t="str">
        <f t="shared" ref="AL18:AL81" si="20">IF(ISBLANK($N18),"",Y$1&amp;Y18&amp;"&lt;/Valeur&gt;")</f>
        <v>&lt;Valeur name="valeur"&gt;8898.84&lt;/Valeur&gt;</v>
      </c>
      <c r="AN18" t="str">
        <f t="shared" si="10"/>
        <v>&lt;Insert&gt;&lt;Valeur name="no"&gt;15&lt;/Valeur&gt;&lt;Valeur name="banque"&gt;1&lt;/Valeur&gt;&lt;Valeur name="pointer"&gt;1&lt;/Valeur&gt;&lt;Valeur name="idbanque"&gt;300760283626261100200EUR2019020607&lt;/Valeur&gt;&lt;Valeur name="datevaleur"&gt;2019/02/06&lt;/Valeur&gt;&lt;Valeur name="intitule"&gt; VIR TRESORERIE FOURMIES /  Motif : FACTURE AF231-2 ANOR&lt;/Valeur&gt;&lt;Valeur name="description"&gt;&lt;/Valeur&gt;&lt;Valeur name="compte"&gt;3&lt;/Valeur&gt;&lt;Valeur name="solde"&gt;-22679.28&lt;/Valeur&gt;&lt;Valeur name="ventiler"&gt;0&lt;/Valeur&gt;&lt;Valeur name="compta"&gt;&lt;/Valeur&gt;&lt;Valeur name="valeur"&gt;8898.84&lt;/Valeur&gt;&lt;/Insert&gt;</v>
      </c>
    </row>
    <row r="19" spans="1:40" x14ac:dyDescent="0.25">
      <c r="A19" t="s">
        <v>559</v>
      </c>
      <c r="B19">
        <v>16</v>
      </c>
      <c r="C19" s="1">
        <v>43503</v>
      </c>
      <c r="D19">
        <v>1</v>
      </c>
      <c r="E19" t="str">
        <f>IF(F19&lt;&gt;"",INDEX(Balance!A:A,MATCH(F19,Balance!B:B,0)),"")</f>
        <v>Depense</v>
      </c>
      <c r="F19" t="s">
        <v>254</v>
      </c>
      <c r="G19" t="s">
        <v>513</v>
      </c>
      <c r="I19" s="10">
        <v>12.75</v>
      </c>
      <c r="K19" s="11">
        <f t="shared" si="0"/>
        <v>2.125</v>
      </c>
      <c r="L19" s="10">
        <f t="shared" si="1"/>
        <v>-22692.03</v>
      </c>
      <c r="N19">
        <v>16</v>
      </c>
      <c r="O19">
        <v>1</v>
      </c>
      <c r="P19">
        <v>1</v>
      </c>
      <c r="Q19" t="str">
        <f t="shared" si="3"/>
        <v>300760283626261100200EUR2019020701</v>
      </c>
      <c r="R19" s="16" t="s">
        <v>949</v>
      </c>
      <c r="S19" t="str">
        <f t="shared" si="4"/>
        <v> CB 548222 BOULANGERIE 62BEAURAIN LE 0602</v>
      </c>
      <c r="U19">
        <f>IFERROR(VLOOKUP(F19,tab!A:B,2,FALSE),1)</f>
        <v>27</v>
      </c>
      <c r="V19" s="14">
        <f t="shared" si="5"/>
        <v>-22692.03</v>
      </c>
      <c r="W19">
        <f t="shared" si="6"/>
        <v>0</v>
      </c>
      <c r="X19">
        <f t="shared" si="7"/>
        <v>1</v>
      </c>
      <c r="Y19" s="14">
        <f t="shared" si="8"/>
        <v>12.75</v>
      </c>
      <c r="AA19" t="str">
        <f t="shared" si="9"/>
        <v>&lt;Valeur name="no"&gt;16&lt;/Valeur&gt;</v>
      </c>
      <c r="AB19" t="str">
        <f t="shared" si="9"/>
        <v>&lt;Valeur name="banque"&gt;1&lt;/Valeur&gt;</v>
      </c>
      <c r="AC19" t="str">
        <f t="shared" si="11"/>
        <v>&lt;Valeur name="pointer"&gt;1&lt;/Valeur&gt;</v>
      </c>
      <c r="AD19" t="str">
        <f t="shared" si="12"/>
        <v>&lt;Valeur name="idbanque"&gt;300760283626261100200EUR2019020701&lt;/Valeur&gt;</v>
      </c>
      <c r="AE19" t="str">
        <f t="shared" si="13"/>
        <v>&lt;Valeur name="datevaleur"&gt;2019/02/07&lt;/Valeur&gt;</v>
      </c>
      <c r="AF19" t="str">
        <f t="shared" si="14"/>
        <v>&lt;Valeur name="intitule"&gt; CB 548222 BOULANGERIE 62BEAURAIN LE 0602&lt;/Valeur&gt;</v>
      </c>
      <c r="AG19" t="str">
        <f t="shared" si="15"/>
        <v>&lt;Valeur name="description"&gt;&lt;/Valeur&gt;</v>
      </c>
      <c r="AH19" t="str">
        <f t="shared" si="16"/>
        <v>&lt;Valeur name="compte"&gt;27&lt;/Valeur&gt;</v>
      </c>
      <c r="AI19" t="str">
        <f t="shared" si="17"/>
        <v>&lt;Valeur name="solde"&gt;-22692.03&lt;/Valeur&gt;</v>
      </c>
      <c r="AJ19" t="str">
        <f t="shared" si="18"/>
        <v>&lt;Valeur name="ventiler"&gt;0&lt;/Valeur&gt;</v>
      </c>
      <c r="AK19" t="str">
        <f t="shared" si="19"/>
        <v>&lt;Valeur name="compta"&gt;1&lt;/Valeur&gt;</v>
      </c>
      <c r="AL19" t="str">
        <f t="shared" si="20"/>
        <v>&lt;Valeur name="valeur"&gt;12.75&lt;/Valeur&gt;</v>
      </c>
      <c r="AN19" t="str">
        <f t="shared" si="10"/>
        <v>&lt;Insert&gt;&lt;Valeur name="no"&gt;16&lt;/Valeur&gt;&lt;Valeur name="banque"&gt;1&lt;/Valeur&gt;&lt;Valeur name="pointer"&gt;1&lt;/Valeur&gt;&lt;Valeur name="idbanque"&gt;300760283626261100200EUR2019020701&lt;/Valeur&gt;&lt;Valeur name="datevaleur"&gt;2019/02/07&lt;/Valeur&gt;&lt;Valeur name="intitule"&gt; CB 548222 BOULANGERIE 62BEAURAIN LE 0602&lt;/Valeur&gt;&lt;Valeur name="description"&gt;&lt;/Valeur&gt;&lt;Valeur name="compte"&gt;27&lt;/Valeur&gt;&lt;Valeur name="solde"&gt;-22692.03&lt;/Valeur&gt;&lt;Valeur name="ventiler"&gt;0&lt;/Valeur&gt;&lt;Valeur name="compta"&gt;1&lt;/Valeur&gt;&lt;Valeur name="valeur"&gt;12.75&lt;/Valeur&gt;&lt;/Insert&gt;</v>
      </c>
    </row>
    <row r="20" spans="1:40" x14ac:dyDescent="0.25">
      <c r="A20" t="s">
        <v>560</v>
      </c>
      <c r="B20">
        <v>17</v>
      </c>
      <c r="C20" s="1">
        <v>43503</v>
      </c>
      <c r="D20">
        <v>1</v>
      </c>
      <c r="E20" t="str">
        <f>IF(F20&lt;&gt;"",INDEX(Balance!A:A,MATCH(F20,Balance!B:B,0)),"")</f>
        <v>Fournisseurs</v>
      </c>
      <c r="F20" t="s">
        <v>373</v>
      </c>
      <c r="G20" t="s">
        <v>514</v>
      </c>
      <c r="I20" s="10">
        <v>50.22</v>
      </c>
      <c r="K20" s="11">
        <f t="shared" si="0"/>
        <v>8.3699999999999974</v>
      </c>
      <c r="L20" s="10">
        <f t="shared" si="1"/>
        <v>-22742.25</v>
      </c>
      <c r="N20">
        <v>17</v>
      </c>
      <c r="O20">
        <v>1</v>
      </c>
      <c r="P20">
        <v>1</v>
      </c>
      <c r="Q20" t="str">
        <f t="shared" si="3"/>
        <v>300760283626261100200EUR2019020702</v>
      </c>
      <c r="R20" s="16" t="s">
        <v>949</v>
      </c>
      <c r="S20" t="str">
        <f t="shared" si="4"/>
        <v> CB 548222 BRICO DEPOT 62BEAURAIN LE 0602</v>
      </c>
      <c r="U20">
        <f>IFERROR(VLOOKUP(F20,tab!A:B,2,FALSE),1)</f>
        <v>38</v>
      </c>
      <c r="V20" s="14">
        <f t="shared" si="5"/>
        <v>-22742.25</v>
      </c>
      <c r="W20">
        <f t="shared" si="6"/>
        <v>0</v>
      </c>
      <c r="X20">
        <f t="shared" si="7"/>
        <v>1</v>
      </c>
      <c r="Y20" s="14">
        <f t="shared" si="8"/>
        <v>50.22</v>
      </c>
      <c r="AA20" t="str">
        <f t="shared" si="9"/>
        <v>&lt;Valeur name="no"&gt;17&lt;/Valeur&gt;</v>
      </c>
      <c r="AB20" t="str">
        <f t="shared" si="9"/>
        <v>&lt;Valeur name="banque"&gt;1&lt;/Valeur&gt;</v>
      </c>
      <c r="AC20" t="str">
        <f t="shared" si="11"/>
        <v>&lt;Valeur name="pointer"&gt;1&lt;/Valeur&gt;</v>
      </c>
      <c r="AD20" t="str">
        <f t="shared" si="12"/>
        <v>&lt;Valeur name="idbanque"&gt;300760283626261100200EUR2019020702&lt;/Valeur&gt;</v>
      </c>
      <c r="AE20" t="str">
        <f t="shared" si="13"/>
        <v>&lt;Valeur name="datevaleur"&gt;2019/02/07&lt;/Valeur&gt;</v>
      </c>
      <c r="AF20" t="str">
        <f t="shared" si="14"/>
        <v>&lt;Valeur name="intitule"&gt; CB 548222 BRICO DEPOT 62BEAURAIN LE 0602&lt;/Valeur&gt;</v>
      </c>
      <c r="AG20" t="str">
        <f t="shared" si="15"/>
        <v>&lt;Valeur name="description"&gt;&lt;/Valeur&gt;</v>
      </c>
      <c r="AH20" t="str">
        <f t="shared" si="16"/>
        <v>&lt;Valeur name="compte"&gt;38&lt;/Valeur&gt;</v>
      </c>
      <c r="AI20" t="str">
        <f t="shared" si="17"/>
        <v>&lt;Valeur name="solde"&gt;-22742.25&lt;/Valeur&gt;</v>
      </c>
      <c r="AJ20" t="str">
        <f t="shared" si="18"/>
        <v>&lt;Valeur name="ventiler"&gt;0&lt;/Valeur&gt;</v>
      </c>
      <c r="AK20" t="str">
        <f t="shared" si="19"/>
        <v>&lt;Valeur name="compta"&gt;1&lt;/Valeur&gt;</v>
      </c>
      <c r="AL20" t="str">
        <f t="shared" si="20"/>
        <v>&lt;Valeur name="valeur"&gt;50.22&lt;/Valeur&gt;</v>
      </c>
      <c r="AN20" t="str">
        <f t="shared" si="10"/>
        <v>&lt;Insert&gt;&lt;Valeur name="no"&gt;17&lt;/Valeur&gt;&lt;Valeur name="banque"&gt;1&lt;/Valeur&gt;&lt;Valeur name="pointer"&gt;1&lt;/Valeur&gt;&lt;Valeur name="idbanque"&gt;300760283626261100200EUR2019020702&lt;/Valeur&gt;&lt;Valeur name="datevaleur"&gt;2019/02/07&lt;/Valeur&gt;&lt;Valeur name="intitule"&gt; CB 548222 BRICO DEPOT 62BEAURAIN LE 0602&lt;/Valeur&gt;&lt;Valeur name="description"&gt;&lt;/Valeur&gt;&lt;Valeur name="compte"&gt;38&lt;/Valeur&gt;&lt;Valeur name="solde"&gt;-22742.25&lt;/Valeur&gt;&lt;Valeur name="ventiler"&gt;0&lt;/Valeur&gt;&lt;Valeur name="compta"&gt;1&lt;/Valeur&gt;&lt;Valeur name="valeur"&gt;50.22&lt;/Valeur&gt;&lt;/Insert&gt;</v>
      </c>
    </row>
    <row r="21" spans="1:40" x14ac:dyDescent="0.25">
      <c r="A21" t="s">
        <v>561</v>
      </c>
      <c r="B21">
        <v>18</v>
      </c>
      <c r="C21" s="1">
        <v>43503</v>
      </c>
      <c r="D21">
        <v>1</v>
      </c>
      <c r="E21" t="str">
        <f>IF(F21&lt;&gt;"",INDEX(Balance!A:A,MATCH(F21,Balance!B:B,0)),"")</f>
        <v>Fournisseurs</v>
      </c>
      <c r="F21" t="s">
        <v>373</v>
      </c>
      <c r="G21" t="s">
        <v>515</v>
      </c>
      <c r="I21" s="10">
        <v>74.150000000000006</v>
      </c>
      <c r="K21" s="11">
        <f t="shared" si="0"/>
        <v>12.358333333333334</v>
      </c>
      <c r="L21" s="10">
        <f t="shared" si="1"/>
        <v>-22816.400000000001</v>
      </c>
      <c r="N21">
        <v>18</v>
      </c>
      <c r="O21">
        <v>1</v>
      </c>
      <c r="P21">
        <v>1</v>
      </c>
      <c r="Q21" t="str">
        <f t="shared" si="3"/>
        <v>300760283626261100200EUR2019020703</v>
      </c>
      <c r="R21" s="16" t="s">
        <v>949</v>
      </c>
      <c r="S21" t="str">
        <f t="shared" si="4"/>
        <v> CB 548222 BRICO DEPOT 59AULNOY L LE 0602</v>
      </c>
      <c r="U21">
        <f>IFERROR(VLOOKUP(F21,tab!A:B,2,FALSE),1)</f>
        <v>38</v>
      </c>
      <c r="V21" s="14">
        <f t="shared" si="5"/>
        <v>-22816.400000000001</v>
      </c>
      <c r="W21">
        <f t="shared" si="6"/>
        <v>0</v>
      </c>
      <c r="X21">
        <f t="shared" si="7"/>
        <v>1</v>
      </c>
      <c r="Y21" s="14">
        <f t="shared" si="8"/>
        <v>74.150000000000006</v>
      </c>
      <c r="AA21" t="str">
        <f t="shared" si="9"/>
        <v>&lt;Valeur name="no"&gt;18&lt;/Valeur&gt;</v>
      </c>
      <c r="AB21" t="str">
        <f t="shared" si="9"/>
        <v>&lt;Valeur name="banque"&gt;1&lt;/Valeur&gt;</v>
      </c>
      <c r="AC21" t="str">
        <f t="shared" si="11"/>
        <v>&lt;Valeur name="pointer"&gt;1&lt;/Valeur&gt;</v>
      </c>
      <c r="AD21" t="str">
        <f t="shared" si="12"/>
        <v>&lt;Valeur name="idbanque"&gt;300760283626261100200EUR2019020703&lt;/Valeur&gt;</v>
      </c>
      <c r="AE21" t="str">
        <f t="shared" si="13"/>
        <v>&lt;Valeur name="datevaleur"&gt;2019/02/07&lt;/Valeur&gt;</v>
      </c>
      <c r="AF21" t="str">
        <f t="shared" si="14"/>
        <v>&lt;Valeur name="intitule"&gt; CB 548222 BRICO DEPOT 59AULNOY L LE 0602&lt;/Valeur&gt;</v>
      </c>
      <c r="AG21" t="str">
        <f t="shared" si="15"/>
        <v>&lt;Valeur name="description"&gt;&lt;/Valeur&gt;</v>
      </c>
      <c r="AH21" t="str">
        <f t="shared" si="16"/>
        <v>&lt;Valeur name="compte"&gt;38&lt;/Valeur&gt;</v>
      </c>
      <c r="AI21" t="str">
        <f t="shared" si="17"/>
        <v>&lt;Valeur name="solde"&gt;-22816.4&lt;/Valeur&gt;</v>
      </c>
      <c r="AJ21" t="str">
        <f t="shared" si="18"/>
        <v>&lt;Valeur name="ventiler"&gt;0&lt;/Valeur&gt;</v>
      </c>
      <c r="AK21" t="str">
        <f t="shared" si="19"/>
        <v>&lt;Valeur name="compta"&gt;1&lt;/Valeur&gt;</v>
      </c>
      <c r="AL21" t="str">
        <f t="shared" si="20"/>
        <v>&lt;Valeur name="valeur"&gt;74.15&lt;/Valeur&gt;</v>
      </c>
      <c r="AN21" t="str">
        <f t="shared" si="10"/>
        <v>&lt;Insert&gt;&lt;Valeur name="no"&gt;18&lt;/Valeur&gt;&lt;Valeur name="banque"&gt;1&lt;/Valeur&gt;&lt;Valeur name="pointer"&gt;1&lt;/Valeur&gt;&lt;Valeur name="idbanque"&gt;300760283626261100200EUR2019020703&lt;/Valeur&gt;&lt;Valeur name="datevaleur"&gt;2019/02/07&lt;/Valeur&gt;&lt;Valeur name="intitule"&gt; CB 548222 BRICO DEPOT 59AULNOY L LE 0602&lt;/Valeur&gt;&lt;Valeur name="description"&gt;&lt;/Valeur&gt;&lt;Valeur name="compte"&gt;38&lt;/Valeur&gt;&lt;Valeur name="solde"&gt;-22816.4&lt;/Valeur&gt;&lt;Valeur name="ventiler"&gt;0&lt;/Valeur&gt;&lt;Valeur name="compta"&gt;1&lt;/Valeur&gt;&lt;Valeur name="valeur"&gt;74.15&lt;/Valeur&gt;&lt;/Insert&gt;</v>
      </c>
    </row>
    <row r="22" spans="1:40" x14ac:dyDescent="0.25">
      <c r="A22" t="s">
        <v>562</v>
      </c>
      <c r="B22">
        <v>19</v>
      </c>
      <c r="C22" s="1">
        <v>43507</v>
      </c>
      <c r="D22">
        <v>1</v>
      </c>
      <c r="E22" t="str">
        <f>IF(F22&lt;&gt;"",INDEX(Balance!A:A,MATCH(F22,Balance!B:B,0)),"")</f>
        <v>Depense</v>
      </c>
      <c r="F22" t="s">
        <v>381</v>
      </c>
      <c r="G22" t="s">
        <v>532</v>
      </c>
      <c r="I22" s="10">
        <v>237.15</v>
      </c>
      <c r="K22" s="11">
        <f t="shared" si="0"/>
        <v>39.525000000000006</v>
      </c>
      <c r="L22" s="10">
        <f t="shared" si="1"/>
        <v>-23053.550000000003</v>
      </c>
      <c r="N22">
        <v>19</v>
      </c>
      <c r="O22">
        <v>1</v>
      </c>
      <c r="P22">
        <v>1</v>
      </c>
      <c r="Q22" t="str">
        <f t="shared" si="3"/>
        <v>300760283626261100200EUR2019021101</v>
      </c>
      <c r="R22" s="16" t="s">
        <v>950</v>
      </c>
      <c r="S22" t="str">
        <f t="shared" si="4"/>
        <v> 02836 262611 0138 01FIN DE PRET: 12/2020</v>
      </c>
      <c r="U22">
        <f>IFERROR(VLOOKUP(F22,tab!A:B,2,FALSE),1)</f>
        <v>22</v>
      </c>
      <c r="V22" s="14">
        <f t="shared" si="5"/>
        <v>-23053.550000000003</v>
      </c>
      <c r="W22">
        <f t="shared" si="6"/>
        <v>0</v>
      </c>
      <c r="X22">
        <f t="shared" si="7"/>
        <v>1</v>
      </c>
      <c r="Y22" s="14">
        <f t="shared" si="8"/>
        <v>237.15</v>
      </c>
      <c r="AA22" t="str">
        <f t="shared" si="9"/>
        <v>&lt;Valeur name="no"&gt;19&lt;/Valeur&gt;</v>
      </c>
      <c r="AB22" t="str">
        <f t="shared" si="9"/>
        <v>&lt;Valeur name="banque"&gt;1&lt;/Valeur&gt;</v>
      </c>
      <c r="AC22" t="str">
        <f t="shared" si="11"/>
        <v>&lt;Valeur name="pointer"&gt;1&lt;/Valeur&gt;</v>
      </c>
      <c r="AD22" t="str">
        <f t="shared" si="12"/>
        <v>&lt;Valeur name="idbanque"&gt;300760283626261100200EUR2019021101&lt;/Valeur&gt;</v>
      </c>
      <c r="AE22" t="str">
        <f t="shared" si="13"/>
        <v>&lt;Valeur name="datevaleur"&gt;2019/02/11&lt;/Valeur&gt;</v>
      </c>
      <c r="AF22" t="str">
        <f t="shared" si="14"/>
        <v>&lt;Valeur name="intitule"&gt; 02836 262611 0138 01FIN DE PRET: 12/2020&lt;/Valeur&gt;</v>
      </c>
      <c r="AG22" t="str">
        <f t="shared" si="15"/>
        <v>&lt;Valeur name="description"&gt;&lt;/Valeur&gt;</v>
      </c>
      <c r="AH22" t="str">
        <f t="shared" si="16"/>
        <v>&lt;Valeur name="compte"&gt;22&lt;/Valeur&gt;</v>
      </c>
      <c r="AI22" t="str">
        <f t="shared" si="17"/>
        <v>&lt;Valeur name="solde"&gt;-23053.55&lt;/Valeur&gt;</v>
      </c>
      <c r="AJ22" t="str">
        <f t="shared" si="18"/>
        <v>&lt;Valeur name="ventiler"&gt;0&lt;/Valeur&gt;</v>
      </c>
      <c r="AK22" t="str">
        <f t="shared" si="19"/>
        <v>&lt;Valeur name="compta"&gt;1&lt;/Valeur&gt;</v>
      </c>
      <c r="AL22" t="str">
        <f t="shared" si="20"/>
        <v>&lt;Valeur name="valeur"&gt;237.15&lt;/Valeur&gt;</v>
      </c>
      <c r="AN22" t="str">
        <f t="shared" si="10"/>
        <v>&lt;Insert&gt;&lt;Valeur name="no"&gt;19&lt;/Valeur&gt;&lt;Valeur name="banque"&gt;1&lt;/Valeur&gt;&lt;Valeur name="pointer"&gt;1&lt;/Valeur&gt;&lt;Valeur name="idbanque"&gt;300760283626261100200EUR2019021101&lt;/Valeur&gt;&lt;Valeur name="datevaleur"&gt;2019/02/11&lt;/Valeur&gt;&lt;Valeur name="intitule"&gt; 02836 262611 0138 01FIN DE PRET: 12/2020&lt;/Valeur&gt;&lt;Valeur name="description"&gt;&lt;/Valeur&gt;&lt;Valeur name="compte"&gt;22&lt;/Valeur&gt;&lt;Valeur name="solde"&gt;-23053.55&lt;/Valeur&gt;&lt;Valeur name="ventiler"&gt;0&lt;/Valeur&gt;&lt;Valeur name="compta"&gt;1&lt;/Valeur&gt;&lt;Valeur name="valeur"&gt;237.15&lt;/Valeur&gt;&lt;/Insert&gt;</v>
      </c>
    </row>
    <row r="23" spans="1:40" x14ac:dyDescent="0.25">
      <c r="A23" t="s">
        <v>563</v>
      </c>
      <c r="B23">
        <v>20</v>
      </c>
      <c r="C23" s="1">
        <v>43507</v>
      </c>
      <c r="D23">
        <v>1</v>
      </c>
      <c r="E23" t="str">
        <f>IF(F23&lt;&gt;"",INDEX(Balance!A:A,MATCH(F23,Balance!B:B,0)),"")</f>
        <v>Depense</v>
      </c>
      <c r="F23" t="s">
        <v>382</v>
      </c>
      <c r="G23" t="s">
        <v>509</v>
      </c>
      <c r="I23" s="10">
        <v>260</v>
      </c>
      <c r="K23" s="11">
        <f t="shared" si="0"/>
        <v>43.333333333333314</v>
      </c>
      <c r="L23" s="10">
        <f t="shared" si="1"/>
        <v>-23313.550000000003</v>
      </c>
      <c r="N23">
        <v>20</v>
      </c>
      <c r="O23">
        <v>1</v>
      </c>
      <c r="P23">
        <v>1</v>
      </c>
      <c r="Q23" t="str">
        <f t="shared" si="3"/>
        <v>300760283626261100200EUR2019021102</v>
      </c>
      <c r="R23" s="16" t="s">
        <v>950</v>
      </c>
      <c r="S23" t="str">
        <f t="shared" si="4"/>
        <v> 02836 262611 0104 00 5 831,16 EUR</v>
      </c>
      <c r="U23">
        <f>IFERROR(VLOOKUP(F23,tab!A:B,2,FALSE),1)</f>
        <v>23</v>
      </c>
      <c r="V23" s="14">
        <f t="shared" si="5"/>
        <v>-23313.550000000003</v>
      </c>
      <c r="W23">
        <f t="shared" si="6"/>
        <v>0</v>
      </c>
      <c r="X23">
        <f t="shared" si="7"/>
        <v>1</v>
      </c>
      <c r="Y23" s="14">
        <f t="shared" si="8"/>
        <v>260</v>
      </c>
      <c r="AA23" t="str">
        <f t="shared" si="9"/>
        <v>&lt;Valeur name="no"&gt;20&lt;/Valeur&gt;</v>
      </c>
      <c r="AB23" t="str">
        <f t="shared" si="9"/>
        <v>&lt;Valeur name="banque"&gt;1&lt;/Valeur&gt;</v>
      </c>
      <c r="AC23" t="str">
        <f t="shared" si="11"/>
        <v>&lt;Valeur name="pointer"&gt;1&lt;/Valeur&gt;</v>
      </c>
      <c r="AD23" t="str">
        <f t="shared" si="12"/>
        <v>&lt;Valeur name="idbanque"&gt;300760283626261100200EUR2019021102&lt;/Valeur&gt;</v>
      </c>
      <c r="AE23" t="str">
        <f t="shared" si="13"/>
        <v>&lt;Valeur name="datevaleur"&gt;2019/02/11&lt;/Valeur&gt;</v>
      </c>
      <c r="AF23" t="str">
        <f t="shared" si="14"/>
        <v>&lt;Valeur name="intitule"&gt; 02836 262611 0104 00 5 831,16 EUR&lt;/Valeur&gt;</v>
      </c>
      <c r="AG23" t="str">
        <f t="shared" si="15"/>
        <v>&lt;Valeur name="description"&gt;&lt;/Valeur&gt;</v>
      </c>
      <c r="AH23" t="str">
        <f t="shared" si="16"/>
        <v>&lt;Valeur name="compte"&gt;23&lt;/Valeur&gt;</v>
      </c>
      <c r="AI23" t="str">
        <f t="shared" si="17"/>
        <v>&lt;Valeur name="solde"&gt;-23313.55&lt;/Valeur&gt;</v>
      </c>
      <c r="AJ23" t="str">
        <f t="shared" si="18"/>
        <v>&lt;Valeur name="ventiler"&gt;0&lt;/Valeur&gt;</v>
      </c>
      <c r="AK23" t="str">
        <f t="shared" si="19"/>
        <v>&lt;Valeur name="compta"&gt;1&lt;/Valeur&gt;</v>
      </c>
      <c r="AL23" t="str">
        <f t="shared" si="20"/>
        <v>&lt;Valeur name="valeur"&gt;260&lt;/Valeur&gt;</v>
      </c>
      <c r="AN23" t="str">
        <f t="shared" si="10"/>
        <v>&lt;Insert&gt;&lt;Valeur name="no"&gt;20&lt;/Valeur&gt;&lt;Valeur name="banque"&gt;1&lt;/Valeur&gt;&lt;Valeur name="pointer"&gt;1&lt;/Valeur&gt;&lt;Valeur name="idbanque"&gt;300760283626261100200EUR2019021102&lt;/Valeur&gt;&lt;Valeur name="datevaleur"&gt;2019/02/11&lt;/Valeur&gt;&lt;Valeur name="intitule"&gt; 02836 262611 0104 00 5 831,16 EUR&lt;/Valeur&gt;&lt;Valeur name="description"&gt;&lt;/Valeur&gt;&lt;Valeur name="compte"&gt;23&lt;/Valeur&gt;&lt;Valeur name="solde"&gt;-23313.55&lt;/Valeur&gt;&lt;Valeur name="ventiler"&gt;0&lt;/Valeur&gt;&lt;Valeur name="compta"&gt;1&lt;/Valeur&gt;&lt;Valeur name="valeur"&gt;260&lt;/Valeur&gt;&lt;/Insert&gt;</v>
      </c>
    </row>
    <row r="24" spans="1:40" x14ac:dyDescent="0.25">
      <c r="A24" t="s">
        <v>564</v>
      </c>
      <c r="B24">
        <v>21</v>
      </c>
      <c r="C24" s="1">
        <v>43507</v>
      </c>
      <c r="D24">
        <v>1</v>
      </c>
      <c r="E24" t="str">
        <f>IF(F24&lt;&gt;"",INDEX(Balance!A:A,MATCH(F24,Balance!B:B,0)),"")</f>
        <v>Depense</v>
      </c>
      <c r="F24" t="s">
        <v>380</v>
      </c>
      <c r="G24" t="s">
        <v>510</v>
      </c>
      <c r="I24" s="10">
        <v>380</v>
      </c>
      <c r="K24" s="11">
        <f t="shared" si="0"/>
        <v>63.333333333333314</v>
      </c>
      <c r="L24" s="10">
        <f t="shared" si="1"/>
        <v>-23693.550000000003</v>
      </c>
      <c r="N24">
        <v>21</v>
      </c>
      <c r="O24">
        <v>1</v>
      </c>
      <c r="P24">
        <v>1</v>
      </c>
      <c r="Q24" t="str">
        <f t="shared" si="3"/>
        <v>300760283626261100200EUR2019021103</v>
      </c>
      <c r="R24" s="16" t="s">
        <v>950</v>
      </c>
      <c r="S24" t="str">
        <f t="shared" si="4"/>
        <v> 02836 262611 0138 00FIN DE PRET: 03/2020</v>
      </c>
      <c r="U24">
        <f>IFERROR(VLOOKUP(F24,tab!A:B,2,FALSE),1)</f>
        <v>24</v>
      </c>
      <c r="V24" s="14">
        <f t="shared" si="5"/>
        <v>-23693.550000000003</v>
      </c>
      <c r="W24">
        <f t="shared" si="6"/>
        <v>0</v>
      </c>
      <c r="X24">
        <f t="shared" si="7"/>
        <v>1</v>
      </c>
      <c r="Y24" s="14">
        <f t="shared" si="8"/>
        <v>380</v>
      </c>
      <c r="AA24" t="str">
        <f t="shared" si="9"/>
        <v>&lt;Valeur name="no"&gt;21&lt;/Valeur&gt;</v>
      </c>
      <c r="AB24" t="str">
        <f t="shared" si="9"/>
        <v>&lt;Valeur name="banque"&gt;1&lt;/Valeur&gt;</v>
      </c>
      <c r="AC24" t="str">
        <f t="shared" si="11"/>
        <v>&lt;Valeur name="pointer"&gt;1&lt;/Valeur&gt;</v>
      </c>
      <c r="AD24" t="str">
        <f t="shared" si="12"/>
        <v>&lt;Valeur name="idbanque"&gt;300760283626261100200EUR2019021103&lt;/Valeur&gt;</v>
      </c>
      <c r="AE24" t="str">
        <f t="shared" si="13"/>
        <v>&lt;Valeur name="datevaleur"&gt;2019/02/11&lt;/Valeur&gt;</v>
      </c>
      <c r="AF24" t="str">
        <f t="shared" si="14"/>
        <v>&lt;Valeur name="intitule"&gt; 02836 262611 0138 00FIN DE PRET: 03/2020&lt;/Valeur&gt;</v>
      </c>
      <c r="AG24" t="str">
        <f t="shared" si="15"/>
        <v>&lt;Valeur name="description"&gt;&lt;/Valeur&gt;</v>
      </c>
      <c r="AH24" t="str">
        <f t="shared" si="16"/>
        <v>&lt;Valeur name="compte"&gt;24&lt;/Valeur&gt;</v>
      </c>
      <c r="AI24" t="str">
        <f t="shared" si="17"/>
        <v>&lt;Valeur name="solde"&gt;-23693.55&lt;/Valeur&gt;</v>
      </c>
      <c r="AJ24" t="str">
        <f t="shared" si="18"/>
        <v>&lt;Valeur name="ventiler"&gt;0&lt;/Valeur&gt;</v>
      </c>
      <c r="AK24" t="str">
        <f t="shared" si="19"/>
        <v>&lt;Valeur name="compta"&gt;1&lt;/Valeur&gt;</v>
      </c>
      <c r="AL24" t="str">
        <f t="shared" si="20"/>
        <v>&lt;Valeur name="valeur"&gt;380&lt;/Valeur&gt;</v>
      </c>
      <c r="AN24" t="str">
        <f t="shared" si="10"/>
        <v>&lt;Insert&gt;&lt;Valeur name="no"&gt;21&lt;/Valeur&gt;&lt;Valeur name="banque"&gt;1&lt;/Valeur&gt;&lt;Valeur name="pointer"&gt;1&lt;/Valeur&gt;&lt;Valeur name="idbanque"&gt;300760283626261100200EUR2019021103&lt;/Valeur&gt;&lt;Valeur name="datevaleur"&gt;2019/02/11&lt;/Valeur&gt;&lt;Valeur name="intitule"&gt; 02836 262611 0138 00FIN DE PRET: 03/2020&lt;/Valeur&gt;&lt;Valeur name="description"&gt;&lt;/Valeur&gt;&lt;Valeur name="compte"&gt;24&lt;/Valeur&gt;&lt;Valeur name="solde"&gt;-23693.55&lt;/Valeur&gt;&lt;Valeur name="ventiler"&gt;0&lt;/Valeur&gt;&lt;Valeur name="compta"&gt;1&lt;/Valeur&gt;&lt;Valeur name="valeur"&gt;380&lt;/Valeur&gt;&lt;/Insert&gt;</v>
      </c>
    </row>
    <row r="25" spans="1:40" x14ac:dyDescent="0.25">
      <c r="A25" t="s">
        <v>565</v>
      </c>
      <c r="B25">
        <v>22</v>
      </c>
      <c r="C25" s="1">
        <v>43507</v>
      </c>
      <c r="D25">
        <v>1</v>
      </c>
      <c r="E25" t="str">
        <f>IF(F25&lt;&gt;"",INDEX(Balance!A:A,MATCH(F25,Balance!B:B,0)),"")</f>
        <v>Depense</v>
      </c>
      <c r="F25" t="s">
        <v>254</v>
      </c>
      <c r="G25" t="s">
        <v>511</v>
      </c>
      <c r="I25" s="10">
        <v>11.45</v>
      </c>
      <c r="K25" s="11">
        <f t="shared" si="0"/>
        <v>1.9083333333333332</v>
      </c>
      <c r="L25" s="10">
        <f t="shared" si="1"/>
        <v>-23705.000000000004</v>
      </c>
      <c r="N25">
        <v>22</v>
      </c>
      <c r="O25">
        <v>1</v>
      </c>
      <c r="P25">
        <v>1</v>
      </c>
      <c r="Q25" t="str">
        <f t="shared" si="3"/>
        <v>300760283626261100200EUR2019021104</v>
      </c>
      <c r="R25" s="16" t="s">
        <v>950</v>
      </c>
      <c r="S25" t="str">
        <f t="shared" si="4"/>
        <v> CB 454106 GERSTEP 59WASQUEHA LE 0802</v>
      </c>
      <c r="U25">
        <f>IFERROR(VLOOKUP(F25,tab!A:B,2,FALSE),1)</f>
        <v>27</v>
      </c>
      <c r="V25" s="14">
        <f t="shared" si="5"/>
        <v>-23705.000000000004</v>
      </c>
      <c r="W25">
        <f t="shared" si="6"/>
        <v>0</v>
      </c>
      <c r="X25">
        <f t="shared" si="7"/>
        <v>1</v>
      </c>
      <c r="Y25" s="14">
        <f t="shared" si="8"/>
        <v>11.45</v>
      </c>
      <c r="AA25" t="str">
        <f t="shared" si="9"/>
        <v>&lt;Valeur name="no"&gt;22&lt;/Valeur&gt;</v>
      </c>
      <c r="AB25" t="str">
        <f t="shared" si="9"/>
        <v>&lt;Valeur name="banque"&gt;1&lt;/Valeur&gt;</v>
      </c>
      <c r="AC25" t="str">
        <f t="shared" si="11"/>
        <v>&lt;Valeur name="pointer"&gt;1&lt;/Valeur&gt;</v>
      </c>
      <c r="AD25" t="str">
        <f t="shared" si="12"/>
        <v>&lt;Valeur name="idbanque"&gt;300760283626261100200EUR2019021104&lt;/Valeur&gt;</v>
      </c>
      <c r="AE25" t="str">
        <f t="shared" si="13"/>
        <v>&lt;Valeur name="datevaleur"&gt;2019/02/11&lt;/Valeur&gt;</v>
      </c>
      <c r="AF25" t="str">
        <f t="shared" si="14"/>
        <v>&lt;Valeur name="intitule"&gt; CB 454106 GERSTEP 59WASQUEHA LE 0802&lt;/Valeur&gt;</v>
      </c>
      <c r="AG25" t="str">
        <f t="shared" si="15"/>
        <v>&lt;Valeur name="description"&gt;&lt;/Valeur&gt;</v>
      </c>
      <c r="AH25" t="str">
        <f t="shared" si="16"/>
        <v>&lt;Valeur name="compte"&gt;27&lt;/Valeur&gt;</v>
      </c>
      <c r="AI25" t="str">
        <f t="shared" si="17"/>
        <v>&lt;Valeur name="solde"&gt;-23705&lt;/Valeur&gt;</v>
      </c>
      <c r="AJ25" t="str">
        <f t="shared" si="18"/>
        <v>&lt;Valeur name="ventiler"&gt;0&lt;/Valeur&gt;</v>
      </c>
      <c r="AK25" t="str">
        <f t="shared" si="19"/>
        <v>&lt;Valeur name="compta"&gt;1&lt;/Valeur&gt;</v>
      </c>
      <c r="AL25" t="str">
        <f t="shared" si="20"/>
        <v>&lt;Valeur name="valeur"&gt;11.45&lt;/Valeur&gt;</v>
      </c>
      <c r="AN25" t="str">
        <f t="shared" si="10"/>
        <v>&lt;Insert&gt;&lt;Valeur name="no"&gt;22&lt;/Valeur&gt;&lt;Valeur name="banque"&gt;1&lt;/Valeur&gt;&lt;Valeur name="pointer"&gt;1&lt;/Valeur&gt;&lt;Valeur name="idbanque"&gt;300760283626261100200EUR2019021104&lt;/Valeur&gt;&lt;Valeur name="datevaleur"&gt;2019/02/11&lt;/Valeur&gt;&lt;Valeur name="intitule"&gt; CB 454106 GERSTEP 59WASQUEHA LE 0802&lt;/Valeur&gt;&lt;Valeur name="description"&gt;&lt;/Valeur&gt;&lt;Valeur name="compte"&gt;27&lt;/Valeur&gt;&lt;Valeur name="solde"&gt;-23705&lt;/Valeur&gt;&lt;Valeur name="ventiler"&gt;0&lt;/Valeur&gt;&lt;Valeur name="compta"&gt;1&lt;/Valeur&gt;&lt;Valeur name="valeur"&gt;11.45&lt;/Valeur&gt;&lt;/Insert&gt;</v>
      </c>
    </row>
    <row r="26" spans="1:40" x14ac:dyDescent="0.25">
      <c r="A26" t="s">
        <v>566</v>
      </c>
      <c r="B26">
        <v>23</v>
      </c>
      <c r="C26" s="1">
        <v>43507</v>
      </c>
      <c r="D26">
        <v>1</v>
      </c>
      <c r="E26" t="str">
        <f>IF(F26&lt;&gt;"",INDEX(Balance!A:A,MATCH(F26,Balance!B:B,0)),"")</f>
        <v>Depense</v>
      </c>
      <c r="F26" t="s">
        <v>253</v>
      </c>
      <c r="G26" t="s">
        <v>512</v>
      </c>
      <c r="I26" s="10">
        <v>73.52</v>
      </c>
      <c r="K26" s="11">
        <f t="shared" si="0"/>
        <v>12.25333333333333</v>
      </c>
      <c r="L26" s="10">
        <f t="shared" si="1"/>
        <v>-23778.520000000004</v>
      </c>
      <c r="N26">
        <v>23</v>
      </c>
      <c r="O26">
        <v>1</v>
      </c>
      <c r="P26">
        <v>1</v>
      </c>
      <c r="Q26" t="str">
        <f t="shared" si="3"/>
        <v>300760283626261100200EUR2019021105</v>
      </c>
      <c r="R26" s="16" t="s">
        <v>950</v>
      </c>
      <c r="S26" t="str">
        <f t="shared" si="4"/>
        <v> CB 454106 CARREFOUR D 59AULNOY L LE 0802</v>
      </c>
      <c r="U26">
        <f>IFERROR(VLOOKUP(F26,tab!A:B,2,FALSE),1)</f>
        <v>13</v>
      </c>
      <c r="V26" s="14">
        <f t="shared" si="5"/>
        <v>-23778.520000000004</v>
      </c>
      <c r="W26">
        <f t="shared" si="6"/>
        <v>0</v>
      </c>
      <c r="X26">
        <f t="shared" si="7"/>
        <v>1</v>
      </c>
      <c r="Y26" s="14">
        <f t="shared" si="8"/>
        <v>73.52</v>
      </c>
      <c r="AA26" t="str">
        <f t="shared" si="9"/>
        <v>&lt;Valeur name="no"&gt;23&lt;/Valeur&gt;</v>
      </c>
      <c r="AB26" t="str">
        <f t="shared" si="9"/>
        <v>&lt;Valeur name="banque"&gt;1&lt;/Valeur&gt;</v>
      </c>
      <c r="AC26" t="str">
        <f t="shared" si="11"/>
        <v>&lt;Valeur name="pointer"&gt;1&lt;/Valeur&gt;</v>
      </c>
      <c r="AD26" t="str">
        <f t="shared" si="12"/>
        <v>&lt;Valeur name="idbanque"&gt;300760283626261100200EUR2019021105&lt;/Valeur&gt;</v>
      </c>
      <c r="AE26" t="str">
        <f t="shared" si="13"/>
        <v>&lt;Valeur name="datevaleur"&gt;2019/02/11&lt;/Valeur&gt;</v>
      </c>
      <c r="AF26" t="str">
        <f t="shared" si="14"/>
        <v>&lt;Valeur name="intitule"&gt; CB 454106 CARREFOUR D 59AULNOY L LE 0802&lt;/Valeur&gt;</v>
      </c>
      <c r="AG26" t="str">
        <f t="shared" si="15"/>
        <v>&lt;Valeur name="description"&gt;&lt;/Valeur&gt;</v>
      </c>
      <c r="AH26" t="str">
        <f t="shared" si="16"/>
        <v>&lt;Valeur name="compte"&gt;13&lt;/Valeur&gt;</v>
      </c>
      <c r="AI26" t="str">
        <f t="shared" si="17"/>
        <v>&lt;Valeur name="solde"&gt;-23778.52&lt;/Valeur&gt;</v>
      </c>
      <c r="AJ26" t="str">
        <f t="shared" si="18"/>
        <v>&lt;Valeur name="ventiler"&gt;0&lt;/Valeur&gt;</v>
      </c>
      <c r="AK26" t="str">
        <f t="shared" si="19"/>
        <v>&lt;Valeur name="compta"&gt;1&lt;/Valeur&gt;</v>
      </c>
      <c r="AL26" t="str">
        <f t="shared" si="20"/>
        <v>&lt;Valeur name="valeur"&gt;73.52&lt;/Valeur&gt;</v>
      </c>
      <c r="AN26" t="str">
        <f t="shared" si="10"/>
        <v>&lt;Insert&gt;&lt;Valeur name="no"&gt;23&lt;/Valeur&gt;&lt;Valeur name="banque"&gt;1&lt;/Valeur&gt;&lt;Valeur name="pointer"&gt;1&lt;/Valeur&gt;&lt;Valeur name="idbanque"&gt;300760283626261100200EUR2019021105&lt;/Valeur&gt;&lt;Valeur name="datevaleur"&gt;2019/02/11&lt;/Valeur&gt;&lt;Valeur name="intitule"&gt; CB 454106 CARREFOUR D 59AULNOY L LE 0802&lt;/Valeur&gt;&lt;Valeur name="description"&gt;&lt;/Valeur&gt;&lt;Valeur name="compte"&gt;13&lt;/Valeur&gt;&lt;Valeur name="solde"&gt;-23778.52&lt;/Valeur&gt;&lt;Valeur name="ventiler"&gt;0&lt;/Valeur&gt;&lt;Valeur name="compta"&gt;1&lt;/Valeur&gt;&lt;Valeur name="valeur"&gt;73.52&lt;/Valeur&gt;&lt;/Insert&gt;</v>
      </c>
    </row>
    <row r="27" spans="1:40" x14ac:dyDescent="0.25">
      <c r="A27" t="s">
        <v>246</v>
      </c>
      <c r="B27">
        <v>24</v>
      </c>
      <c r="C27" s="1">
        <v>43508</v>
      </c>
      <c r="D27">
        <v>1</v>
      </c>
      <c r="E27" t="str">
        <f>IF(F27&lt;&gt;"",INDEX(Balance!A:A,MATCH(F27,Balance!B:B,0)),"")</f>
        <v>Fournisseurs</v>
      </c>
      <c r="F27" t="s">
        <v>437</v>
      </c>
      <c r="G27" t="s">
        <v>247</v>
      </c>
      <c r="H27" t="s">
        <v>438</v>
      </c>
      <c r="I27" s="10">
        <v>176</v>
      </c>
      <c r="K27" s="11">
        <f t="shared" si="0"/>
        <v>29.333333333333314</v>
      </c>
      <c r="L27" s="10">
        <f t="shared" si="1"/>
        <v>-23954.520000000004</v>
      </c>
      <c r="N27">
        <v>24</v>
      </c>
      <c r="O27">
        <v>1</v>
      </c>
      <c r="P27">
        <v>1</v>
      </c>
      <c r="Q27" t="str">
        <f t="shared" si="3"/>
        <v>300760283626261100200EUR201902121070789000</v>
      </c>
      <c r="R27" s="16" t="s">
        <v>877</v>
      </c>
      <c r="S27" t="str">
        <f t="shared" si="4"/>
        <v>CB 548222 CARREFOUR V 59AULNOY L / Location Camion Arras</v>
      </c>
      <c r="U27">
        <f>IFERROR(VLOOKUP(F27,tab!A:B,2,FALSE),1)</f>
        <v>41</v>
      </c>
      <c r="V27" s="14">
        <f t="shared" si="5"/>
        <v>-23954.520000000004</v>
      </c>
      <c r="W27">
        <f t="shared" si="6"/>
        <v>0</v>
      </c>
      <c r="X27">
        <f t="shared" si="7"/>
        <v>1</v>
      </c>
      <c r="Y27" s="14">
        <f t="shared" si="8"/>
        <v>176</v>
      </c>
      <c r="AA27" t="str">
        <f t="shared" si="9"/>
        <v>&lt;Valeur name="no"&gt;24&lt;/Valeur&gt;</v>
      </c>
      <c r="AB27" t="str">
        <f t="shared" si="9"/>
        <v>&lt;Valeur name="banque"&gt;1&lt;/Valeur&gt;</v>
      </c>
      <c r="AC27" t="str">
        <f t="shared" si="11"/>
        <v>&lt;Valeur name="pointer"&gt;1&lt;/Valeur&gt;</v>
      </c>
      <c r="AD27" t="str">
        <f t="shared" si="12"/>
        <v>&lt;Valeur name="idbanque"&gt;300760283626261100200EUR201902121070789000&lt;/Valeur&gt;</v>
      </c>
      <c r="AE27" t="str">
        <f t="shared" si="13"/>
        <v>&lt;Valeur name="datevaleur"&gt;2019/02/12&lt;/Valeur&gt;</v>
      </c>
      <c r="AF27" t="str">
        <f t="shared" si="14"/>
        <v>&lt;Valeur name="intitule"&gt;CB 548222 CARREFOUR V 59AULNOY L / Location Camion Arras&lt;/Valeur&gt;</v>
      </c>
      <c r="AG27" t="str">
        <f t="shared" si="15"/>
        <v>&lt;Valeur name="description"&gt;&lt;/Valeur&gt;</v>
      </c>
      <c r="AH27" t="str">
        <f t="shared" si="16"/>
        <v>&lt;Valeur name="compte"&gt;41&lt;/Valeur&gt;</v>
      </c>
      <c r="AI27" t="str">
        <f t="shared" si="17"/>
        <v>&lt;Valeur name="solde"&gt;-23954.52&lt;/Valeur&gt;</v>
      </c>
      <c r="AJ27" t="str">
        <f t="shared" si="18"/>
        <v>&lt;Valeur name="ventiler"&gt;0&lt;/Valeur&gt;</v>
      </c>
      <c r="AK27" t="str">
        <f t="shared" si="19"/>
        <v>&lt;Valeur name="compta"&gt;1&lt;/Valeur&gt;</v>
      </c>
      <c r="AL27" t="str">
        <f t="shared" si="20"/>
        <v>&lt;Valeur name="valeur"&gt;176&lt;/Valeur&gt;</v>
      </c>
      <c r="AN27" t="str">
        <f t="shared" si="10"/>
        <v>&lt;Insert&gt;&lt;Valeur name="no"&gt;24&lt;/Valeur&gt;&lt;Valeur name="banque"&gt;1&lt;/Valeur&gt;&lt;Valeur name="pointer"&gt;1&lt;/Valeur&gt;&lt;Valeur name="idbanque"&gt;300760283626261100200EUR201902121070789000&lt;/Valeur&gt;&lt;Valeur name="datevaleur"&gt;2019/02/12&lt;/Valeur&gt;&lt;Valeur name="intitule"&gt;CB 548222 CARREFOUR V 59AULNOY L / Location Camion Arras&lt;/Valeur&gt;&lt;Valeur name="description"&gt;&lt;/Valeur&gt;&lt;Valeur name="compte"&gt;41&lt;/Valeur&gt;&lt;Valeur name="solde"&gt;-23954.52&lt;/Valeur&gt;&lt;Valeur name="ventiler"&gt;0&lt;/Valeur&gt;&lt;Valeur name="compta"&gt;1&lt;/Valeur&gt;&lt;Valeur name="valeur"&gt;176&lt;/Valeur&gt;&lt;/Insert&gt;</v>
      </c>
    </row>
    <row r="28" spans="1:40" x14ac:dyDescent="0.25">
      <c r="A28" t="s">
        <v>244</v>
      </c>
      <c r="B28">
        <v>25</v>
      </c>
      <c r="C28" s="1">
        <v>43508</v>
      </c>
      <c r="D28">
        <v>1</v>
      </c>
      <c r="E28" t="str">
        <f>IF(F28&lt;&gt;"",INDEX(Balance!A:A,MATCH(F28,Balance!B:B,0)),"")</f>
        <v>Depense</v>
      </c>
      <c r="F28" t="s">
        <v>254</v>
      </c>
      <c r="G28" t="s">
        <v>245</v>
      </c>
      <c r="I28" s="10">
        <v>4.8499999999999996</v>
      </c>
      <c r="K28" s="11">
        <f t="shared" si="0"/>
        <v>0.80833333333333268</v>
      </c>
      <c r="L28" s="10">
        <f t="shared" ref="L28:L35" si="21">L27-I28+J28</f>
        <v>-23959.370000000003</v>
      </c>
      <c r="N28">
        <v>25</v>
      </c>
      <c r="O28">
        <v>1</v>
      </c>
      <c r="P28">
        <v>1</v>
      </c>
      <c r="Q28" t="str">
        <f t="shared" si="3"/>
        <v>300760283626261100200EUR201902121070789100</v>
      </c>
      <c r="R28" s="16" t="s">
        <v>877</v>
      </c>
      <c r="S28" t="str">
        <f t="shared" si="4"/>
        <v>CB 454106 FOUR D ANNA 59VILLENEU</v>
      </c>
      <c r="U28">
        <f>IFERROR(VLOOKUP(F28,tab!A:B,2,FALSE),1)</f>
        <v>27</v>
      </c>
      <c r="V28" s="14">
        <f t="shared" si="5"/>
        <v>-23959.370000000003</v>
      </c>
      <c r="W28">
        <f t="shared" si="6"/>
        <v>0</v>
      </c>
      <c r="X28">
        <f t="shared" si="7"/>
        <v>1</v>
      </c>
      <c r="Y28" s="14">
        <f t="shared" si="8"/>
        <v>4.8499999999999996</v>
      </c>
      <c r="AA28" t="str">
        <f t="shared" si="9"/>
        <v>&lt;Valeur name="no"&gt;25&lt;/Valeur&gt;</v>
      </c>
      <c r="AB28" t="str">
        <f t="shared" si="9"/>
        <v>&lt;Valeur name="banque"&gt;1&lt;/Valeur&gt;</v>
      </c>
      <c r="AC28" t="str">
        <f t="shared" si="11"/>
        <v>&lt;Valeur name="pointer"&gt;1&lt;/Valeur&gt;</v>
      </c>
      <c r="AD28" t="str">
        <f t="shared" si="12"/>
        <v>&lt;Valeur name="idbanque"&gt;300760283626261100200EUR201902121070789100&lt;/Valeur&gt;</v>
      </c>
      <c r="AE28" t="str">
        <f t="shared" si="13"/>
        <v>&lt;Valeur name="datevaleur"&gt;2019/02/12&lt;/Valeur&gt;</v>
      </c>
      <c r="AF28" t="str">
        <f t="shared" si="14"/>
        <v>&lt;Valeur name="intitule"&gt;CB 454106 FOUR D ANNA 59VILLENEU&lt;/Valeur&gt;</v>
      </c>
      <c r="AG28" t="str">
        <f t="shared" si="15"/>
        <v>&lt;Valeur name="description"&gt;&lt;/Valeur&gt;</v>
      </c>
      <c r="AH28" t="str">
        <f t="shared" si="16"/>
        <v>&lt;Valeur name="compte"&gt;27&lt;/Valeur&gt;</v>
      </c>
      <c r="AI28" t="str">
        <f t="shared" si="17"/>
        <v>&lt;Valeur name="solde"&gt;-23959.37&lt;/Valeur&gt;</v>
      </c>
      <c r="AJ28" t="str">
        <f t="shared" si="18"/>
        <v>&lt;Valeur name="ventiler"&gt;0&lt;/Valeur&gt;</v>
      </c>
      <c r="AK28" t="str">
        <f t="shared" si="19"/>
        <v>&lt;Valeur name="compta"&gt;1&lt;/Valeur&gt;</v>
      </c>
      <c r="AL28" t="str">
        <f t="shared" si="20"/>
        <v>&lt;Valeur name="valeur"&gt;4.85&lt;/Valeur&gt;</v>
      </c>
      <c r="AN28" t="str">
        <f t="shared" si="10"/>
        <v>&lt;Insert&gt;&lt;Valeur name="no"&gt;25&lt;/Valeur&gt;&lt;Valeur name="banque"&gt;1&lt;/Valeur&gt;&lt;Valeur name="pointer"&gt;1&lt;/Valeur&gt;&lt;Valeur name="idbanque"&gt;300760283626261100200EUR201902121070789100&lt;/Valeur&gt;&lt;Valeur name="datevaleur"&gt;2019/02/12&lt;/Valeur&gt;&lt;Valeur name="intitule"&gt;CB 454106 FOUR D ANNA 59VILLENEU&lt;/Valeur&gt;&lt;Valeur name="description"&gt;&lt;/Valeur&gt;&lt;Valeur name="compte"&gt;27&lt;/Valeur&gt;&lt;Valeur name="solde"&gt;-23959.37&lt;/Valeur&gt;&lt;Valeur name="ventiler"&gt;0&lt;/Valeur&gt;&lt;Valeur name="compta"&gt;1&lt;/Valeur&gt;&lt;Valeur name="valeur"&gt;4.85&lt;/Valeur&gt;&lt;/Insert&gt;</v>
      </c>
    </row>
    <row r="29" spans="1:40" x14ac:dyDescent="0.25">
      <c r="A29" t="s">
        <v>248</v>
      </c>
      <c r="B29">
        <v>26</v>
      </c>
      <c r="C29" s="1">
        <v>43508</v>
      </c>
      <c r="E29" t="str">
        <f>IF(F29&lt;&gt;"",INDEX(Balance!A:A,MATCH(F29,Balance!B:B,0)),"")</f>
        <v>Client</v>
      </c>
      <c r="F29" t="s">
        <v>370</v>
      </c>
      <c r="G29" t="s">
        <v>37</v>
      </c>
      <c r="H29" t="s">
        <v>249</v>
      </c>
      <c r="J29" s="10">
        <v>23562.7</v>
      </c>
      <c r="K29" s="11">
        <f t="shared" si="0"/>
        <v>-3927.116666666665</v>
      </c>
      <c r="L29" s="10">
        <f t="shared" si="21"/>
        <v>-396.67000000000189</v>
      </c>
      <c r="N29">
        <v>26</v>
      </c>
      <c r="O29">
        <v>1</v>
      </c>
      <c r="P29">
        <v>1</v>
      </c>
      <c r="Q29" t="str">
        <f t="shared" si="3"/>
        <v>300760283626261100200EUR201902126317075200</v>
      </c>
      <c r="R29" s="16" t="s">
        <v>877</v>
      </c>
      <c r="S29" t="str">
        <f t="shared" si="4"/>
        <v>VIR TRESORERIE VILLENEUVE D / FAC NoAF241-2 DU 31/12/2018VILLE</v>
      </c>
      <c r="U29">
        <f>IFERROR(VLOOKUP(F29,tab!A:B,2,FALSE),1)</f>
        <v>9</v>
      </c>
      <c r="V29" s="14">
        <f t="shared" si="5"/>
        <v>-396.67000000000189</v>
      </c>
      <c r="W29">
        <f t="shared" si="6"/>
        <v>0</v>
      </c>
      <c r="X29" t="str">
        <f t="shared" si="7"/>
        <v/>
      </c>
      <c r="Y29" s="14">
        <f t="shared" si="8"/>
        <v>23562.7</v>
      </c>
      <c r="AA29" t="str">
        <f t="shared" si="9"/>
        <v>&lt;Valeur name="no"&gt;26&lt;/Valeur&gt;</v>
      </c>
      <c r="AB29" t="str">
        <f t="shared" si="9"/>
        <v>&lt;Valeur name="banque"&gt;1&lt;/Valeur&gt;</v>
      </c>
      <c r="AC29" t="str">
        <f t="shared" si="11"/>
        <v>&lt;Valeur name="pointer"&gt;1&lt;/Valeur&gt;</v>
      </c>
      <c r="AD29" t="str">
        <f t="shared" si="12"/>
        <v>&lt;Valeur name="idbanque"&gt;300760283626261100200EUR201902126317075200&lt;/Valeur&gt;</v>
      </c>
      <c r="AE29" t="str">
        <f t="shared" si="13"/>
        <v>&lt;Valeur name="datevaleur"&gt;2019/02/12&lt;/Valeur&gt;</v>
      </c>
      <c r="AF29" t="str">
        <f t="shared" si="14"/>
        <v>&lt;Valeur name="intitule"&gt;VIR TRESORERIE VILLENEUVE D / FAC NoAF241-2 DU 31/12/2018VILLE&lt;/Valeur&gt;</v>
      </c>
      <c r="AG29" t="str">
        <f t="shared" si="15"/>
        <v>&lt;Valeur name="description"&gt;&lt;/Valeur&gt;</v>
      </c>
      <c r="AH29" t="str">
        <f t="shared" si="16"/>
        <v>&lt;Valeur name="compte"&gt;9&lt;/Valeur&gt;</v>
      </c>
      <c r="AI29" t="str">
        <f t="shared" si="17"/>
        <v>&lt;Valeur name="solde"&gt;-396.670000000002&lt;/Valeur&gt;</v>
      </c>
      <c r="AJ29" t="str">
        <f t="shared" si="18"/>
        <v>&lt;Valeur name="ventiler"&gt;0&lt;/Valeur&gt;</v>
      </c>
      <c r="AK29" t="str">
        <f t="shared" si="19"/>
        <v>&lt;Valeur name="compta"&gt;&lt;/Valeur&gt;</v>
      </c>
      <c r="AL29" t="str">
        <f t="shared" si="20"/>
        <v>&lt;Valeur name="valeur"&gt;23562.7&lt;/Valeur&gt;</v>
      </c>
      <c r="AN29" t="str">
        <f t="shared" si="10"/>
        <v>&lt;Insert&gt;&lt;Valeur name="no"&gt;26&lt;/Valeur&gt;&lt;Valeur name="banque"&gt;1&lt;/Valeur&gt;&lt;Valeur name="pointer"&gt;1&lt;/Valeur&gt;&lt;Valeur name="idbanque"&gt;300760283626261100200EUR201902126317075200&lt;/Valeur&gt;&lt;Valeur name="datevaleur"&gt;2019/02/12&lt;/Valeur&gt;&lt;Valeur name="intitule"&gt;VIR TRESORERIE VILLENEUVE D / FAC NoAF241-2 DU 31/12/2018VILLE&lt;/Valeur&gt;&lt;Valeur name="description"&gt;&lt;/Valeur&gt;&lt;Valeur name="compte"&gt;9&lt;/Valeur&gt;&lt;Valeur name="solde"&gt;-396.670000000002&lt;/Valeur&gt;&lt;Valeur name="ventiler"&gt;0&lt;/Valeur&gt;&lt;Valeur name="compta"&gt;&lt;/Valeur&gt;&lt;Valeur name="valeur"&gt;23562.7&lt;/Valeur&gt;&lt;/Insert&gt;</v>
      </c>
    </row>
    <row r="30" spans="1:40" x14ac:dyDescent="0.25">
      <c r="A30" t="s">
        <v>243</v>
      </c>
      <c r="B30">
        <v>27</v>
      </c>
      <c r="C30" s="1">
        <v>43509</v>
      </c>
      <c r="D30">
        <v>1</v>
      </c>
      <c r="E30" t="str">
        <f>IF(F30&lt;&gt;"",INDEX(Balance!A:A,MATCH(F30,Balance!B:B,0)),"")</f>
        <v>Depense</v>
      </c>
      <c r="F30" t="s">
        <v>253</v>
      </c>
      <c r="G30" t="s">
        <v>149</v>
      </c>
      <c r="I30" s="10">
        <v>51.11</v>
      </c>
      <c r="K30" s="11">
        <f t="shared" ref="K30:K35" si="22">IF(I30&gt;0,I30-(I30/TVA),-(J30-(J30/TVA)))</f>
        <v>8.5183333333333309</v>
      </c>
      <c r="L30" s="10">
        <f t="shared" si="21"/>
        <v>-447.78000000000191</v>
      </c>
      <c r="N30">
        <v>27</v>
      </c>
      <c r="O30">
        <v>1</v>
      </c>
      <c r="P30">
        <v>1</v>
      </c>
      <c r="Q30" t="str">
        <f t="shared" si="3"/>
        <v>300760283626261100200EUR201902131079131900</v>
      </c>
      <c r="R30" s="16" t="s">
        <v>951</v>
      </c>
      <c r="S30" t="str">
        <f t="shared" si="4"/>
        <v>CB 548222 CARREFOUR D 59AULNOY L</v>
      </c>
      <c r="U30">
        <f>IFERROR(VLOOKUP(F30,tab!A:B,2,FALSE),1)</f>
        <v>13</v>
      </c>
      <c r="V30" s="14">
        <f t="shared" si="5"/>
        <v>-447.78000000000191</v>
      </c>
      <c r="W30">
        <f t="shared" si="6"/>
        <v>0</v>
      </c>
      <c r="X30">
        <f t="shared" si="7"/>
        <v>1</v>
      </c>
      <c r="Y30" s="14">
        <f t="shared" si="8"/>
        <v>51.11</v>
      </c>
      <c r="AA30" t="str">
        <f t="shared" si="9"/>
        <v>&lt;Valeur name="no"&gt;27&lt;/Valeur&gt;</v>
      </c>
      <c r="AB30" t="str">
        <f t="shared" si="9"/>
        <v>&lt;Valeur name="banque"&gt;1&lt;/Valeur&gt;</v>
      </c>
      <c r="AC30" t="str">
        <f t="shared" si="11"/>
        <v>&lt;Valeur name="pointer"&gt;1&lt;/Valeur&gt;</v>
      </c>
      <c r="AD30" t="str">
        <f t="shared" si="12"/>
        <v>&lt;Valeur name="idbanque"&gt;300760283626261100200EUR201902131079131900&lt;/Valeur&gt;</v>
      </c>
      <c r="AE30" t="str">
        <f t="shared" si="13"/>
        <v>&lt;Valeur name="datevaleur"&gt;2019/02/13&lt;/Valeur&gt;</v>
      </c>
      <c r="AF30" t="str">
        <f t="shared" si="14"/>
        <v>&lt;Valeur name="intitule"&gt;CB 548222 CARREFOUR D 59AULNOY L&lt;/Valeur&gt;</v>
      </c>
      <c r="AG30" t="str">
        <f t="shared" si="15"/>
        <v>&lt;Valeur name="description"&gt;&lt;/Valeur&gt;</v>
      </c>
      <c r="AH30" t="str">
        <f t="shared" si="16"/>
        <v>&lt;Valeur name="compte"&gt;13&lt;/Valeur&gt;</v>
      </c>
      <c r="AI30" t="str">
        <f t="shared" si="17"/>
        <v>&lt;Valeur name="solde"&gt;-447.780000000002&lt;/Valeur&gt;</v>
      </c>
      <c r="AJ30" t="str">
        <f t="shared" si="18"/>
        <v>&lt;Valeur name="ventiler"&gt;0&lt;/Valeur&gt;</v>
      </c>
      <c r="AK30" t="str">
        <f t="shared" si="19"/>
        <v>&lt;Valeur name="compta"&gt;1&lt;/Valeur&gt;</v>
      </c>
      <c r="AL30" t="str">
        <f t="shared" si="20"/>
        <v>&lt;Valeur name="valeur"&gt;51.11&lt;/Valeur&gt;</v>
      </c>
      <c r="AN30" t="str">
        <f t="shared" si="10"/>
        <v>&lt;Insert&gt;&lt;Valeur name="no"&gt;27&lt;/Valeur&gt;&lt;Valeur name="banque"&gt;1&lt;/Valeur&gt;&lt;Valeur name="pointer"&gt;1&lt;/Valeur&gt;&lt;Valeur name="idbanque"&gt;300760283626261100200EUR201902131079131900&lt;/Valeur&gt;&lt;Valeur name="datevaleur"&gt;2019/02/13&lt;/Valeur&gt;&lt;Valeur name="intitule"&gt;CB 548222 CARREFOUR D 59AULNOY L&lt;/Valeur&gt;&lt;Valeur name="description"&gt;&lt;/Valeur&gt;&lt;Valeur name="compte"&gt;13&lt;/Valeur&gt;&lt;Valeur name="solde"&gt;-447.780000000002&lt;/Valeur&gt;&lt;Valeur name="ventiler"&gt;0&lt;/Valeur&gt;&lt;Valeur name="compta"&gt;1&lt;/Valeur&gt;&lt;Valeur name="valeur"&gt;51.11&lt;/Valeur&gt;&lt;/Insert&gt;</v>
      </c>
    </row>
    <row r="31" spans="1:40" x14ac:dyDescent="0.25">
      <c r="A31" t="s">
        <v>237</v>
      </c>
      <c r="B31">
        <v>28</v>
      </c>
      <c r="C31" s="1">
        <v>43510</v>
      </c>
      <c r="E31" t="str">
        <f>IF(F31&lt;&gt;"",INDEX(Balance!A:A,MATCH(F31,Balance!B:B,0)),"")</f>
        <v>Depense</v>
      </c>
      <c r="F31" t="s">
        <v>255</v>
      </c>
      <c r="G31" t="s">
        <v>238</v>
      </c>
      <c r="I31" s="10">
        <v>1300</v>
      </c>
      <c r="K31" s="11">
        <f t="shared" si="22"/>
        <v>216.66666666666652</v>
      </c>
      <c r="L31" s="10">
        <f t="shared" si="21"/>
        <v>-1747.780000000002</v>
      </c>
      <c r="N31">
        <v>28</v>
      </c>
      <c r="O31">
        <v>1</v>
      </c>
      <c r="P31">
        <v>1</v>
      </c>
      <c r="Q31" t="str">
        <f t="shared" si="3"/>
        <v>300760283626261100200EUR201902140292128500</v>
      </c>
      <c r="R31" s="16" t="s">
        <v>952</v>
      </c>
      <c r="S31" t="str">
        <f t="shared" si="4"/>
        <v>E-VIR SEPA Loyer</v>
      </c>
      <c r="U31">
        <f>IFERROR(VLOOKUP(F31,tab!A:B,2,FALSE),1)</f>
        <v>20</v>
      </c>
      <c r="V31" s="14">
        <f t="shared" si="5"/>
        <v>-1747.780000000002</v>
      </c>
      <c r="W31">
        <f t="shared" si="6"/>
        <v>0</v>
      </c>
      <c r="X31" t="str">
        <f t="shared" si="7"/>
        <v/>
      </c>
      <c r="Y31" s="14">
        <f t="shared" si="8"/>
        <v>1300</v>
      </c>
      <c r="AA31" t="str">
        <f t="shared" si="9"/>
        <v>&lt;Valeur name="no"&gt;28&lt;/Valeur&gt;</v>
      </c>
      <c r="AB31" t="str">
        <f t="shared" si="9"/>
        <v>&lt;Valeur name="banque"&gt;1&lt;/Valeur&gt;</v>
      </c>
      <c r="AC31" t="str">
        <f t="shared" si="11"/>
        <v>&lt;Valeur name="pointer"&gt;1&lt;/Valeur&gt;</v>
      </c>
      <c r="AD31" t="str">
        <f t="shared" si="12"/>
        <v>&lt;Valeur name="idbanque"&gt;300760283626261100200EUR201902140292128500&lt;/Valeur&gt;</v>
      </c>
      <c r="AE31" t="str">
        <f t="shared" si="13"/>
        <v>&lt;Valeur name="datevaleur"&gt;2019/02/14&lt;/Valeur&gt;</v>
      </c>
      <c r="AF31" t="str">
        <f t="shared" si="14"/>
        <v>&lt;Valeur name="intitule"&gt;E-VIR SEPA Loyer&lt;/Valeur&gt;</v>
      </c>
      <c r="AG31" t="str">
        <f t="shared" si="15"/>
        <v>&lt;Valeur name="description"&gt;&lt;/Valeur&gt;</v>
      </c>
      <c r="AH31" t="str">
        <f t="shared" si="16"/>
        <v>&lt;Valeur name="compte"&gt;20&lt;/Valeur&gt;</v>
      </c>
      <c r="AI31" t="str">
        <f t="shared" si="17"/>
        <v>&lt;Valeur name="solde"&gt;-1747.78&lt;/Valeur&gt;</v>
      </c>
      <c r="AJ31" t="str">
        <f t="shared" si="18"/>
        <v>&lt;Valeur name="ventiler"&gt;0&lt;/Valeur&gt;</v>
      </c>
      <c r="AK31" t="str">
        <f t="shared" si="19"/>
        <v>&lt;Valeur name="compta"&gt;&lt;/Valeur&gt;</v>
      </c>
      <c r="AL31" t="str">
        <f t="shared" si="20"/>
        <v>&lt;Valeur name="valeur"&gt;1300&lt;/Valeur&gt;</v>
      </c>
      <c r="AN31" t="str">
        <f t="shared" si="10"/>
        <v>&lt;Insert&gt;&lt;Valeur name="no"&gt;28&lt;/Valeur&gt;&lt;Valeur name="banque"&gt;1&lt;/Valeur&gt;&lt;Valeur name="pointer"&gt;1&lt;/Valeur&gt;&lt;Valeur name="idbanque"&gt;300760283626261100200EUR201902140292128500&lt;/Valeur&gt;&lt;Valeur name="datevaleur"&gt;2019/02/14&lt;/Valeur&gt;&lt;Valeur name="intitule"&gt;E-VIR SEPA Loyer&lt;/Valeur&gt;&lt;Valeur name="description"&gt;&lt;/Valeur&gt;&lt;Valeur name="compte"&gt;20&lt;/Valeur&gt;&lt;Valeur name="solde"&gt;-1747.78&lt;/Valeur&gt;&lt;Valeur name="ventiler"&gt;0&lt;/Valeur&gt;&lt;Valeur name="compta"&gt;&lt;/Valeur&gt;&lt;Valeur name="valeur"&gt;1300&lt;/Valeur&gt;&lt;/Insert&gt;</v>
      </c>
    </row>
    <row r="32" spans="1:40" x14ac:dyDescent="0.25">
      <c r="A32" t="s">
        <v>240</v>
      </c>
      <c r="B32">
        <v>29</v>
      </c>
      <c r="C32" s="1">
        <v>43510</v>
      </c>
      <c r="D32">
        <v>1</v>
      </c>
      <c r="E32" t="str">
        <f>IF(F32&lt;&gt;"",INDEX(Balance!A:A,MATCH(F32,Balance!B:B,0)),"")</f>
        <v>Fournisseurs</v>
      </c>
      <c r="F32" t="s">
        <v>373</v>
      </c>
      <c r="G32" t="s">
        <v>132</v>
      </c>
      <c r="I32" s="10">
        <v>90</v>
      </c>
      <c r="K32" s="11">
        <f t="shared" si="22"/>
        <v>15</v>
      </c>
      <c r="L32" s="10">
        <f t="shared" si="21"/>
        <v>-1837.780000000002</v>
      </c>
      <c r="N32">
        <v>29</v>
      </c>
      <c r="O32">
        <v>1</v>
      </c>
      <c r="P32">
        <v>1</v>
      </c>
      <c r="Q32" t="str">
        <f t="shared" si="3"/>
        <v>300760283626261100200EUR201902141073012200</v>
      </c>
      <c r="R32" s="16" t="s">
        <v>952</v>
      </c>
      <c r="S32" t="str">
        <f t="shared" si="4"/>
        <v>CB 548222 BRICO DEPOT 59AULNOY L</v>
      </c>
      <c r="U32">
        <f>IFERROR(VLOOKUP(F32,tab!A:B,2,FALSE),1)</f>
        <v>38</v>
      </c>
      <c r="V32" s="14">
        <f t="shared" si="5"/>
        <v>-1837.780000000002</v>
      </c>
      <c r="W32">
        <f t="shared" si="6"/>
        <v>0</v>
      </c>
      <c r="X32">
        <f t="shared" si="7"/>
        <v>1</v>
      </c>
      <c r="Y32" s="14">
        <f t="shared" si="8"/>
        <v>90</v>
      </c>
      <c r="AA32" t="str">
        <f t="shared" si="9"/>
        <v>&lt;Valeur name="no"&gt;29&lt;/Valeur&gt;</v>
      </c>
      <c r="AB32" t="str">
        <f t="shared" si="9"/>
        <v>&lt;Valeur name="banque"&gt;1&lt;/Valeur&gt;</v>
      </c>
      <c r="AC32" t="str">
        <f t="shared" si="11"/>
        <v>&lt;Valeur name="pointer"&gt;1&lt;/Valeur&gt;</v>
      </c>
      <c r="AD32" t="str">
        <f t="shared" si="12"/>
        <v>&lt;Valeur name="idbanque"&gt;300760283626261100200EUR201902141073012200&lt;/Valeur&gt;</v>
      </c>
      <c r="AE32" t="str">
        <f t="shared" si="13"/>
        <v>&lt;Valeur name="datevaleur"&gt;2019/02/14&lt;/Valeur&gt;</v>
      </c>
      <c r="AF32" t="str">
        <f t="shared" si="14"/>
        <v>&lt;Valeur name="intitule"&gt;CB 548222 BRICO DEPOT 59AULNOY L&lt;/Valeur&gt;</v>
      </c>
      <c r="AG32" t="str">
        <f t="shared" si="15"/>
        <v>&lt;Valeur name="description"&gt;&lt;/Valeur&gt;</v>
      </c>
      <c r="AH32" t="str">
        <f t="shared" si="16"/>
        <v>&lt;Valeur name="compte"&gt;38&lt;/Valeur&gt;</v>
      </c>
      <c r="AI32" t="str">
        <f t="shared" si="17"/>
        <v>&lt;Valeur name="solde"&gt;-1837.78&lt;/Valeur&gt;</v>
      </c>
      <c r="AJ32" t="str">
        <f t="shared" si="18"/>
        <v>&lt;Valeur name="ventiler"&gt;0&lt;/Valeur&gt;</v>
      </c>
      <c r="AK32" t="str">
        <f t="shared" si="19"/>
        <v>&lt;Valeur name="compta"&gt;1&lt;/Valeur&gt;</v>
      </c>
      <c r="AL32" t="str">
        <f t="shared" si="20"/>
        <v>&lt;Valeur name="valeur"&gt;90&lt;/Valeur&gt;</v>
      </c>
      <c r="AN32" t="str">
        <f t="shared" si="10"/>
        <v>&lt;Insert&gt;&lt;Valeur name="no"&gt;29&lt;/Valeur&gt;&lt;Valeur name="banque"&gt;1&lt;/Valeur&gt;&lt;Valeur name="pointer"&gt;1&lt;/Valeur&gt;&lt;Valeur name="idbanque"&gt;300760283626261100200EUR201902141073012200&lt;/Valeur&gt;&lt;Valeur name="datevaleur"&gt;2019/02/14&lt;/Valeur&gt;&lt;Valeur name="intitule"&gt;CB 548222 BRICO DEPOT 59AULNOY L&lt;/Valeur&gt;&lt;Valeur name="description"&gt;&lt;/Valeur&gt;&lt;Valeur name="compte"&gt;38&lt;/Valeur&gt;&lt;Valeur name="solde"&gt;-1837.78&lt;/Valeur&gt;&lt;Valeur name="ventiler"&gt;0&lt;/Valeur&gt;&lt;Valeur name="compta"&gt;1&lt;/Valeur&gt;&lt;Valeur name="valeur"&gt;90&lt;/Valeur&gt;&lt;/Insert&gt;</v>
      </c>
    </row>
    <row r="33" spans="1:40" x14ac:dyDescent="0.25">
      <c r="A33" t="s">
        <v>241</v>
      </c>
      <c r="B33">
        <v>30</v>
      </c>
      <c r="C33" s="1">
        <v>43510</v>
      </c>
      <c r="D33">
        <v>1</v>
      </c>
      <c r="E33" t="str">
        <f>IF(F33&lt;&gt;"",INDEX(Balance!A:A,MATCH(F33,Balance!B:B,0)),"")</f>
        <v>Depense</v>
      </c>
      <c r="F33" t="s">
        <v>253</v>
      </c>
      <c r="G33" t="s">
        <v>242</v>
      </c>
      <c r="I33" s="10">
        <v>94.12</v>
      </c>
      <c r="K33" s="11">
        <f t="shared" si="22"/>
        <v>15.686666666666667</v>
      </c>
      <c r="L33" s="10">
        <f t="shared" si="21"/>
        <v>-1931.9000000000019</v>
      </c>
      <c r="N33">
        <v>30</v>
      </c>
      <c r="O33">
        <v>1</v>
      </c>
      <c r="P33">
        <v>1</v>
      </c>
      <c r="Q33" t="str">
        <f t="shared" si="3"/>
        <v>300760283626261100200EUR201902141074499100</v>
      </c>
      <c r="R33" s="16" t="s">
        <v>952</v>
      </c>
      <c r="S33" t="str">
        <f t="shared" si="4"/>
        <v>CB 454106 RELAIS ARRA 62ARRAS CE</v>
      </c>
      <c r="U33">
        <f>IFERROR(VLOOKUP(F33,tab!A:B,2,FALSE),1)</f>
        <v>13</v>
      </c>
      <c r="V33" s="14">
        <f t="shared" si="5"/>
        <v>-1931.9000000000019</v>
      </c>
      <c r="W33">
        <f t="shared" si="6"/>
        <v>0</v>
      </c>
      <c r="X33">
        <f t="shared" si="7"/>
        <v>1</v>
      </c>
      <c r="Y33" s="14">
        <f t="shared" si="8"/>
        <v>94.12</v>
      </c>
      <c r="AA33" t="str">
        <f t="shared" si="9"/>
        <v>&lt;Valeur name="no"&gt;30&lt;/Valeur&gt;</v>
      </c>
      <c r="AB33" t="str">
        <f t="shared" si="9"/>
        <v>&lt;Valeur name="banque"&gt;1&lt;/Valeur&gt;</v>
      </c>
      <c r="AC33" t="str">
        <f t="shared" si="11"/>
        <v>&lt;Valeur name="pointer"&gt;1&lt;/Valeur&gt;</v>
      </c>
      <c r="AD33" t="str">
        <f t="shared" si="12"/>
        <v>&lt;Valeur name="idbanque"&gt;300760283626261100200EUR201902141074499100&lt;/Valeur&gt;</v>
      </c>
      <c r="AE33" t="str">
        <f t="shared" si="13"/>
        <v>&lt;Valeur name="datevaleur"&gt;2019/02/14&lt;/Valeur&gt;</v>
      </c>
      <c r="AF33" t="str">
        <f t="shared" si="14"/>
        <v>&lt;Valeur name="intitule"&gt;CB 454106 RELAIS ARRA 62ARRAS CE&lt;/Valeur&gt;</v>
      </c>
      <c r="AG33" t="str">
        <f t="shared" si="15"/>
        <v>&lt;Valeur name="description"&gt;&lt;/Valeur&gt;</v>
      </c>
      <c r="AH33" t="str">
        <f t="shared" si="16"/>
        <v>&lt;Valeur name="compte"&gt;13&lt;/Valeur&gt;</v>
      </c>
      <c r="AI33" t="str">
        <f t="shared" si="17"/>
        <v>&lt;Valeur name="solde"&gt;-1931.9&lt;/Valeur&gt;</v>
      </c>
      <c r="AJ33" t="str">
        <f t="shared" si="18"/>
        <v>&lt;Valeur name="ventiler"&gt;0&lt;/Valeur&gt;</v>
      </c>
      <c r="AK33" t="str">
        <f t="shared" si="19"/>
        <v>&lt;Valeur name="compta"&gt;1&lt;/Valeur&gt;</v>
      </c>
      <c r="AL33" t="str">
        <f t="shared" si="20"/>
        <v>&lt;Valeur name="valeur"&gt;94.12&lt;/Valeur&gt;</v>
      </c>
      <c r="AN33" t="str">
        <f t="shared" si="10"/>
        <v>&lt;Insert&gt;&lt;Valeur name="no"&gt;30&lt;/Valeur&gt;&lt;Valeur name="banque"&gt;1&lt;/Valeur&gt;&lt;Valeur name="pointer"&gt;1&lt;/Valeur&gt;&lt;Valeur name="idbanque"&gt;300760283626261100200EUR201902141074499100&lt;/Valeur&gt;&lt;Valeur name="datevaleur"&gt;2019/02/14&lt;/Valeur&gt;&lt;Valeur name="intitule"&gt;CB 454106 RELAIS ARRA 62ARRAS CE&lt;/Valeur&gt;&lt;Valeur name="description"&gt;&lt;/Valeur&gt;&lt;Valeur name="compte"&gt;13&lt;/Valeur&gt;&lt;Valeur name="solde"&gt;-1931.9&lt;/Valeur&gt;&lt;Valeur name="ventiler"&gt;0&lt;/Valeur&gt;&lt;Valeur name="compta"&gt;1&lt;/Valeur&gt;&lt;Valeur name="valeur"&gt;94.12&lt;/Valeur&gt;&lt;/Insert&gt;</v>
      </c>
    </row>
    <row r="34" spans="1:40" x14ac:dyDescent="0.25">
      <c r="A34" t="s">
        <v>239</v>
      </c>
      <c r="B34">
        <v>31</v>
      </c>
      <c r="C34" s="1">
        <v>43510</v>
      </c>
      <c r="D34">
        <v>1</v>
      </c>
      <c r="E34" t="str">
        <f>IF(F34&lt;&gt;"",INDEX(Balance!A:A,MATCH(F34,Balance!B:B,0)),"")</f>
        <v>Depense</v>
      </c>
      <c r="F34" t="s">
        <v>254</v>
      </c>
      <c r="G34" t="s">
        <v>219</v>
      </c>
      <c r="I34" s="10">
        <v>15.8</v>
      </c>
      <c r="K34" s="11">
        <f t="shared" si="22"/>
        <v>2.6333333333333329</v>
      </c>
      <c r="L34" s="10">
        <f t="shared" si="21"/>
        <v>-1947.7000000000019</v>
      </c>
      <c r="N34">
        <v>31</v>
      </c>
      <c r="O34">
        <v>1</v>
      </c>
      <c r="P34">
        <v>1</v>
      </c>
      <c r="Q34" t="str">
        <f t="shared" si="3"/>
        <v>300760283626261100200EUR201902141074499200</v>
      </c>
      <c r="R34" s="16" t="s">
        <v>952</v>
      </c>
      <c r="S34" t="str">
        <f t="shared" si="4"/>
        <v>CB 454106 SHELL 3298  62RUMAUCOU</v>
      </c>
      <c r="U34">
        <f>IFERROR(VLOOKUP(F34,tab!A:B,2,FALSE),1)</f>
        <v>27</v>
      </c>
      <c r="V34" s="14">
        <f t="shared" si="5"/>
        <v>-1947.7000000000019</v>
      </c>
      <c r="W34">
        <f t="shared" si="6"/>
        <v>0</v>
      </c>
      <c r="X34">
        <f t="shared" si="7"/>
        <v>1</v>
      </c>
      <c r="Y34" s="14">
        <f t="shared" si="8"/>
        <v>15.8</v>
      </c>
      <c r="AA34" t="str">
        <f t="shared" si="9"/>
        <v>&lt;Valeur name="no"&gt;31&lt;/Valeur&gt;</v>
      </c>
      <c r="AB34" t="str">
        <f t="shared" si="9"/>
        <v>&lt;Valeur name="banque"&gt;1&lt;/Valeur&gt;</v>
      </c>
      <c r="AC34" t="str">
        <f t="shared" si="11"/>
        <v>&lt;Valeur name="pointer"&gt;1&lt;/Valeur&gt;</v>
      </c>
      <c r="AD34" t="str">
        <f t="shared" si="12"/>
        <v>&lt;Valeur name="idbanque"&gt;300760283626261100200EUR201902141074499200&lt;/Valeur&gt;</v>
      </c>
      <c r="AE34" t="str">
        <f t="shared" si="13"/>
        <v>&lt;Valeur name="datevaleur"&gt;2019/02/14&lt;/Valeur&gt;</v>
      </c>
      <c r="AF34" t="str">
        <f t="shared" si="14"/>
        <v>&lt;Valeur name="intitule"&gt;CB 454106 SHELL 3298  62RUMAUCOU&lt;/Valeur&gt;</v>
      </c>
      <c r="AG34" t="str">
        <f t="shared" si="15"/>
        <v>&lt;Valeur name="description"&gt;&lt;/Valeur&gt;</v>
      </c>
      <c r="AH34" t="str">
        <f t="shared" si="16"/>
        <v>&lt;Valeur name="compte"&gt;27&lt;/Valeur&gt;</v>
      </c>
      <c r="AI34" t="str">
        <f t="shared" si="17"/>
        <v>&lt;Valeur name="solde"&gt;-1947.7&lt;/Valeur&gt;</v>
      </c>
      <c r="AJ34" t="str">
        <f t="shared" si="18"/>
        <v>&lt;Valeur name="ventiler"&gt;0&lt;/Valeur&gt;</v>
      </c>
      <c r="AK34" t="str">
        <f t="shared" si="19"/>
        <v>&lt;Valeur name="compta"&gt;1&lt;/Valeur&gt;</v>
      </c>
      <c r="AL34" t="str">
        <f t="shared" si="20"/>
        <v>&lt;Valeur name="valeur"&gt;15.8&lt;/Valeur&gt;</v>
      </c>
      <c r="AN34" t="str">
        <f t="shared" si="10"/>
        <v>&lt;Insert&gt;&lt;Valeur name="no"&gt;31&lt;/Valeur&gt;&lt;Valeur name="banque"&gt;1&lt;/Valeur&gt;&lt;Valeur name="pointer"&gt;1&lt;/Valeur&gt;&lt;Valeur name="idbanque"&gt;300760283626261100200EUR201902141074499200&lt;/Valeur&gt;&lt;Valeur name="datevaleur"&gt;2019/02/14&lt;/Valeur&gt;&lt;Valeur name="intitule"&gt;CB 454106 SHELL 3298  62RUMAUCOU&lt;/Valeur&gt;&lt;Valeur name="description"&gt;&lt;/Valeur&gt;&lt;Valeur name="compte"&gt;27&lt;/Valeur&gt;&lt;Valeur name="solde"&gt;-1947.7&lt;/Valeur&gt;&lt;Valeur name="ventiler"&gt;0&lt;/Valeur&gt;&lt;Valeur name="compta"&gt;1&lt;/Valeur&gt;&lt;Valeur name="valeur"&gt;15.8&lt;/Valeur&gt;&lt;/Insert&gt;</v>
      </c>
    </row>
    <row r="35" spans="1:40" x14ac:dyDescent="0.25">
      <c r="A35" t="s">
        <v>235</v>
      </c>
      <c r="B35">
        <v>32</v>
      </c>
      <c r="C35" s="1">
        <v>43511</v>
      </c>
      <c r="E35" t="str">
        <f>IF(F35&lt;&gt;"",INDEX(Balance!A:A,MATCH(F35,Balance!B:B,0)),"")</f>
        <v/>
      </c>
      <c r="G35" t="s">
        <v>236</v>
      </c>
      <c r="I35" s="10">
        <v>6377.59</v>
      </c>
      <c r="K35" s="11">
        <f t="shared" si="22"/>
        <v>1062.9316666666664</v>
      </c>
      <c r="L35" s="10">
        <f t="shared" si="21"/>
        <v>-8325.2900000000027</v>
      </c>
      <c r="N35">
        <v>32</v>
      </c>
      <c r="O35">
        <v>1</v>
      </c>
      <c r="P35">
        <v>1</v>
      </c>
      <c r="Q35" t="str">
        <f t="shared" si="3"/>
        <v>300760283626261100200EUR201902150910911000</v>
      </c>
      <c r="R35" s="16" t="s">
        <v>904</v>
      </c>
      <c r="S35" t="str">
        <f t="shared" si="4"/>
        <v>RELEVE LCR DU  080219  CONFORME</v>
      </c>
      <c r="U35">
        <f>IFERROR(VLOOKUP(F35,tab!A:B,2,FALSE),1)</f>
        <v>1</v>
      </c>
      <c r="V35" s="14">
        <f t="shared" si="5"/>
        <v>-8325.2900000000027</v>
      </c>
      <c r="W35">
        <f t="shared" si="6"/>
        <v>1</v>
      </c>
      <c r="X35" t="str">
        <f t="shared" si="7"/>
        <v/>
      </c>
      <c r="Y35" s="14">
        <f t="shared" si="8"/>
        <v>6377.59</v>
      </c>
      <c r="AA35" t="str">
        <f t="shared" si="9"/>
        <v>&lt;Valeur name="no"&gt;32&lt;/Valeur&gt;</v>
      </c>
      <c r="AB35" t="str">
        <f t="shared" si="9"/>
        <v>&lt;Valeur name="banque"&gt;1&lt;/Valeur&gt;</v>
      </c>
      <c r="AC35" t="str">
        <f t="shared" si="11"/>
        <v>&lt;Valeur name="pointer"&gt;1&lt;/Valeur&gt;</v>
      </c>
      <c r="AD35" t="str">
        <f t="shared" si="12"/>
        <v>&lt;Valeur name="idbanque"&gt;300760283626261100200EUR201902150910911000&lt;/Valeur&gt;</v>
      </c>
      <c r="AE35" t="str">
        <f t="shared" si="13"/>
        <v>&lt;Valeur name="datevaleur"&gt;2019/02/15&lt;/Valeur&gt;</v>
      </c>
      <c r="AF35" t="str">
        <f t="shared" si="14"/>
        <v>&lt;Valeur name="intitule"&gt;RELEVE LCR DU  080219  CONFORME&lt;/Valeur&gt;</v>
      </c>
      <c r="AG35" t="str">
        <f t="shared" si="15"/>
        <v>&lt;Valeur name="description"&gt;&lt;/Valeur&gt;</v>
      </c>
      <c r="AH35" t="str">
        <f t="shared" si="16"/>
        <v>&lt;Valeur name="compte"&gt;1&lt;/Valeur&gt;</v>
      </c>
      <c r="AI35" t="str">
        <f t="shared" si="17"/>
        <v>&lt;Valeur name="solde"&gt;-8325.29&lt;/Valeur&gt;</v>
      </c>
      <c r="AJ35" t="str">
        <f t="shared" si="18"/>
        <v>&lt;Valeur name="ventiler"&gt;1&lt;/Valeur&gt;</v>
      </c>
      <c r="AK35" t="str">
        <f t="shared" si="19"/>
        <v>&lt;Valeur name="compta"&gt;&lt;/Valeur&gt;</v>
      </c>
      <c r="AL35" t="str">
        <f t="shared" si="20"/>
        <v>&lt;Valeur name="valeur"&gt;6377.59&lt;/Valeur&gt;</v>
      </c>
      <c r="AN35" t="str">
        <f t="shared" si="10"/>
        <v>&lt;Insert&gt;&lt;Valeur name="no"&gt;32&lt;/Valeur&gt;&lt;Valeur name="banque"&gt;1&lt;/Valeur&gt;&lt;Valeur name="pointer"&gt;1&lt;/Valeur&gt;&lt;Valeur name="idbanque"&gt;300760283626261100200EUR201902150910911000&lt;/Valeur&gt;&lt;Valeur name="datevaleur"&gt;2019/02/15&lt;/Valeur&gt;&lt;Valeur name="intitule"&gt;RELEVE LCR DU  080219  CONFORME&lt;/Valeur&gt;&lt;Valeur name="description"&gt;&lt;/Valeur&gt;&lt;Valeur name="compte"&gt;1&lt;/Valeur&gt;&lt;Valeur name="solde"&gt;-8325.29&lt;/Valeur&gt;&lt;Valeur name="ventiler"&gt;1&lt;/Valeur&gt;&lt;Valeur name="compta"&gt;&lt;/Valeur&gt;&lt;Valeur name="valeur"&gt;6377.59&lt;/Valeur&gt;&lt;/Insert&gt;</v>
      </c>
    </row>
    <row r="36" spans="1:40" x14ac:dyDescent="0.25">
      <c r="C36" s="1"/>
      <c r="E36" t="str">
        <f>IF(F36&lt;&gt;"",INDEX(Balance!A:A,MATCH(F36,Balance!B:B,0)),"")</f>
        <v>Fournisseurs</v>
      </c>
      <c r="F36" t="s">
        <v>268</v>
      </c>
      <c r="I36" s="10">
        <v>797.12</v>
      </c>
      <c r="O36">
        <v>1</v>
      </c>
      <c r="P36">
        <v>1</v>
      </c>
      <c r="Q36">
        <f t="shared" si="3"/>
        <v>0</v>
      </c>
      <c r="R36" s="16" t="s">
        <v>874</v>
      </c>
      <c r="S36" t="str">
        <f t="shared" si="4"/>
        <v/>
      </c>
      <c r="U36">
        <f>IFERROR(VLOOKUP(F36,tab!A:B,2,FALSE),1)</f>
        <v>106</v>
      </c>
      <c r="V36" s="14">
        <f t="shared" si="5"/>
        <v>0</v>
      </c>
      <c r="W36">
        <f t="shared" si="6"/>
        <v>1</v>
      </c>
      <c r="X36" t="str">
        <f t="shared" si="7"/>
        <v/>
      </c>
      <c r="Y36" s="14">
        <f t="shared" si="8"/>
        <v>797.12</v>
      </c>
      <c r="AA36" t="str">
        <f t="shared" si="9"/>
        <v/>
      </c>
      <c r="AB36" t="str">
        <f t="shared" si="9"/>
        <v/>
      </c>
      <c r="AC36" t="str">
        <f t="shared" si="11"/>
        <v/>
      </c>
      <c r="AD36" t="str">
        <f t="shared" si="12"/>
        <v/>
      </c>
      <c r="AE36" t="str">
        <f t="shared" si="13"/>
        <v/>
      </c>
      <c r="AF36" t="str">
        <f t="shared" si="14"/>
        <v/>
      </c>
      <c r="AG36" t="str">
        <f t="shared" si="15"/>
        <v/>
      </c>
      <c r="AH36" t="str">
        <f t="shared" si="16"/>
        <v/>
      </c>
      <c r="AI36" t="str">
        <f t="shared" si="17"/>
        <v/>
      </c>
      <c r="AJ36" t="str">
        <f t="shared" si="18"/>
        <v/>
      </c>
      <c r="AK36" t="str">
        <f t="shared" si="19"/>
        <v/>
      </c>
      <c r="AL36" t="str">
        <f t="shared" si="20"/>
        <v/>
      </c>
      <c r="AN36" t="str">
        <f t="shared" si="10"/>
        <v/>
      </c>
    </row>
    <row r="37" spans="1:40" x14ac:dyDescent="0.25">
      <c r="C37" s="1"/>
      <c r="E37" t="str">
        <f>IF(F37&lt;&gt;"",INDEX(Balance!A:A,MATCH(F37,Balance!B:B,0)),"")</f>
        <v>Fournisseurs</v>
      </c>
      <c r="F37" t="s">
        <v>279</v>
      </c>
      <c r="I37" s="10">
        <v>1330.73</v>
      </c>
      <c r="O37">
        <v>1</v>
      </c>
      <c r="P37">
        <v>1</v>
      </c>
      <c r="Q37">
        <f t="shared" si="3"/>
        <v>0</v>
      </c>
      <c r="R37" s="16" t="s">
        <v>874</v>
      </c>
      <c r="S37" t="str">
        <f t="shared" si="4"/>
        <v/>
      </c>
      <c r="U37">
        <f>IFERROR(VLOOKUP(F37,tab!A:B,2,FALSE),1)</f>
        <v>54</v>
      </c>
      <c r="V37" s="14">
        <f t="shared" si="5"/>
        <v>0</v>
      </c>
      <c r="W37">
        <f t="shared" si="6"/>
        <v>1</v>
      </c>
      <c r="X37" t="str">
        <f t="shared" si="7"/>
        <v/>
      </c>
      <c r="Y37" s="14">
        <f t="shared" si="8"/>
        <v>1330.73</v>
      </c>
      <c r="AA37" t="str">
        <f t="shared" si="9"/>
        <v/>
      </c>
      <c r="AB37" t="str">
        <f t="shared" si="9"/>
        <v/>
      </c>
      <c r="AC37" t="str">
        <f t="shared" si="11"/>
        <v/>
      </c>
      <c r="AD37" t="str">
        <f t="shared" si="12"/>
        <v/>
      </c>
      <c r="AE37" t="str">
        <f t="shared" si="13"/>
        <v/>
      </c>
      <c r="AF37" t="str">
        <f t="shared" si="14"/>
        <v/>
      </c>
      <c r="AG37" t="str">
        <f t="shared" si="15"/>
        <v/>
      </c>
      <c r="AH37" t="str">
        <f t="shared" si="16"/>
        <v/>
      </c>
      <c r="AI37" t="str">
        <f t="shared" si="17"/>
        <v/>
      </c>
      <c r="AJ37" t="str">
        <f t="shared" si="18"/>
        <v/>
      </c>
      <c r="AK37" t="str">
        <f t="shared" si="19"/>
        <v/>
      </c>
      <c r="AL37" t="str">
        <f t="shared" si="20"/>
        <v/>
      </c>
      <c r="AN37" t="str">
        <f t="shared" si="10"/>
        <v/>
      </c>
    </row>
    <row r="38" spans="1:40" x14ac:dyDescent="0.25">
      <c r="C38" s="1"/>
      <c r="E38" t="str">
        <f>IF(F38&lt;&gt;"",INDEX(Balance!A:A,MATCH(F38,Balance!B:B,0)),"")</f>
        <v>Fournisseurs</v>
      </c>
      <c r="F38" t="s">
        <v>262</v>
      </c>
      <c r="I38" s="10">
        <v>4249.74</v>
      </c>
      <c r="O38">
        <v>1</v>
      </c>
      <c r="P38">
        <v>1</v>
      </c>
      <c r="Q38">
        <f t="shared" si="3"/>
        <v>0</v>
      </c>
      <c r="R38" s="16" t="s">
        <v>874</v>
      </c>
      <c r="S38" t="str">
        <f t="shared" si="4"/>
        <v/>
      </c>
      <c r="U38">
        <f>IFERROR(VLOOKUP(F38,tab!A:B,2,FALSE),1)</f>
        <v>65</v>
      </c>
      <c r="V38" s="14">
        <f t="shared" si="5"/>
        <v>0</v>
      </c>
      <c r="W38">
        <f t="shared" si="6"/>
        <v>0</v>
      </c>
      <c r="X38" t="str">
        <f t="shared" si="7"/>
        <v/>
      </c>
      <c r="Y38" s="14">
        <f t="shared" si="8"/>
        <v>4249.74</v>
      </c>
      <c r="AA38" t="str">
        <f t="shared" si="9"/>
        <v/>
      </c>
      <c r="AB38" t="str">
        <f t="shared" si="9"/>
        <v/>
      </c>
      <c r="AC38" t="str">
        <f t="shared" si="11"/>
        <v/>
      </c>
      <c r="AD38" t="str">
        <f t="shared" si="12"/>
        <v/>
      </c>
      <c r="AE38" t="str">
        <f t="shared" si="13"/>
        <v/>
      </c>
      <c r="AF38" t="str">
        <f t="shared" si="14"/>
        <v/>
      </c>
      <c r="AG38" t="str">
        <f t="shared" si="15"/>
        <v/>
      </c>
      <c r="AH38" t="str">
        <f t="shared" si="16"/>
        <v/>
      </c>
      <c r="AI38" t="str">
        <f t="shared" si="17"/>
        <v/>
      </c>
      <c r="AJ38" t="str">
        <f t="shared" si="18"/>
        <v/>
      </c>
      <c r="AK38" t="str">
        <f t="shared" si="19"/>
        <v/>
      </c>
      <c r="AL38" t="str">
        <f t="shared" si="20"/>
        <v/>
      </c>
      <c r="AN38" t="str">
        <f t="shared" si="10"/>
        <v/>
      </c>
    </row>
    <row r="39" spans="1:40" x14ac:dyDescent="0.25">
      <c r="A39" t="s">
        <v>232</v>
      </c>
      <c r="B39">
        <v>33</v>
      </c>
      <c r="C39" s="1">
        <v>43511</v>
      </c>
      <c r="D39">
        <v>1</v>
      </c>
      <c r="E39" t="str">
        <f>IF(F39&lt;&gt;"",INDEX(Balance!A:A,MATCH(F39,Balance!B:B,0)),"")</f>
        <v>Depense</v>
      </c>
      <c r="F39" t="s">
        <v>278</v>
      </c>
      <c r="G39" t="s">
        <v>233</v>
      </c>
      <c r="I39" s="10">
        <v>135</v>
      </c>
      <c r="K39" s="11">
        <f t="shared" ref="K39:K44" si="23">IF(I39&gt;0,I39-(I39/TVA),-(J39-(J39/TVA)))</f>
        <v>22.5</v>
      </c>
      <c r="L39" s="10">
        <f>L35-I39+J39</f>
        <v>-8460.2900000000027</v>
      </c>
      <c r="N39">
        <v>33</v>
      </c>
      <c r="O39">
        <v>1</v>
      </c>
      <c r="P39">
        <v>1</v>
      </c>
      <c r="Q39" t="str">
        <f t="shared" si="3"/>
        <v>300760283626261100200EUR201902151073141800</v>
      </c>
      <c r="R39" s="16" t="s">
        <v>904</v>
      </c>
      <c r="S39" t="str">
        <f t="shared" si="4"/>
        <v>CB 548222 AMENDE PVE  35RENNES</v>
      </c>
      <c r="U39">
        <f>IFERROR(VLOOKUP(F39,tab!A:B,2,FALSE),1)</f>
        <v>11</v>
      </c>
      <c r="V39" s="14">
        <f t="shared" si="5"/>
        <v>-8460.2900000000027</v>
      </c>
      <c r="W39">
        <f t="shared" si="6"/>
        <v>0</v>
      </c>
      <c r="X39">
        <f t="shared" si="7"/>
        <v>1</v>
      </c>
      <c r="Y39" s="14">
        <f t="shared" si="8"/>
        <v>135</v>
      </c>
      <c r="AA39" t="str">
        <f t="shared" si="9"/>
        <v>&lt;Valeur name="no"&gt;33&lt;/Valeur&gt;</v>
      </c>
      <c r="AB39" t="str">
        <f t="shared" si="9"/>
        <v>&lt;Valeur name="banque"&gt;1&lt;/Valeur&gt;</v>
      </c>
      <c r="AC39" t="str">
        <f t="shared" si="11"/>
        <v>&lt;Valeur name="pointer"&gt;1&lt;/Valeur&gt;</v>
      </c>
      <c r="AD39" t="str">
        <f t="shared" si="12"/>
        <v>&lt;Valeur name="idbanque"&gt;300760283626261100200EUR201902151073141800&lt;/Valeur&gt;</v>
      </c>
      <c r="AE39" t="str">
        <f t="shared" si="13"/>
        <v>&lt;Valeur name="datevaleur"&gt;2019/02/15&lt;/Valeur&gt;</v>
      </c>
      <c r="AF39" t="str">
        <f t="shared" si="14"/>
        <v>&lt;Valeur name="intitule"&gt;CB 548222 AMENDE PVE  35RENNES&lt;/Valeur&gt;</v>
      </c>
      <c r="AG39" t="str">
        <f t="shared" si="15"/>
        <v>&lt;Valeur name="description"&gt;&lt;/Valeur&gt;</v>
      </c>
      <c r="AH39" t="str">
        <f t="shared" si="16"/>
        <v>&lt;Valeur name="compte"&gt;11&lt;/Valeur&gt;</v>
      </c>
      <c r="AI39" t="str">
        <f t="shared" si="17"/>
        <v>&lt;Valeur name="solde"&gt;-8460.29&lt;/Valeur&gt;</v>
      </c>
      <c r="AJ39" t="str">
        <f t="shared" si="18"/>
        <v>&lt;Valeur name="ventiler"&gt;0&lt;/Valeur&gt;</v>
      </c>
      <c r="AK39" t="str">
        <f t="shared" si="19"/>
        <v>&lt;Valeur name="compta"&gt;1&lt;/Valeur&gt;</v>
      </c>
      <c r="AL39" t="str">
        <f t="shared" si="20"/>
        <v>&lt;Valeur name="valeur"&gt;135&lt;/Valeur&gt;</v>
      </c>
      <c r="AN39" t="str">
        <f t="shared" si="10"/>
        <v>&lt;Insert&gt;&lt;Valeur name="no"&gt;33&lt;/Valeur&gt;&lt;Valeur name="banque"&gt;1&lt;/Valeur&gt;&lt;Valeur name="pointer"&gt;1&lt;/Valeur&gt;&lt;Valeur name="idbanque"&gt;300760283626261100200EUR201902151073141800&lt;/Valeur&gt;&lt;Valeur name="datevaleur"&gt;2019/02/15&lt;/Valeur&gt;&lt;Valeur name="intitule"&gt;CB 548222 AMENDE PVE  35RENNES&lt;/Valeur&gt;&lt;Valeur name="description"&gt;&lt;/Valeur&gt;&lt;Valeur name="compte"&gt;11&lt;/Valeur&gt;&lt;Valeur name="solde"&gt;-8460.29&lt;/Valeur&gt;&lt;Valeur name="ventiler"&gt;0&lt;/Valeur&gt;&lt;Valeur name="compta"&gt;1&lt;/Valeur&gt;&lt;Valeur name="valeur"&gt;135&lt;/Valeur&gt;&lt;/Insert&gt;</v>
      </c>
    </row>
    <row r="40" spans="1:40" x14ac:dyDescent="0.25">
      <c r="A40" t="s">
        <v>229</v>
      </c>
      <c r="B40">
        <v>34</v>
      </c>
      <c r="C40" s="1">
        <v>43511</v>
      </c>
      <c r="D40">
        <v>1</v>
      </c>
      <c r="E40" t="str">
        <f>IF(F40&lt;&gt;"",INDEX(Balance!A:A,MATCH(F40,Balance!B:B,0)),"")</f>
        <v>Depense</v>
      </c>
      <c r="F40" t="s">
        <v>269</v>
      </c>
      <c r="G40" t="s">
        <v>230</v>
      </c>
      <c r="I40" s="10">
        <v>3088</v>
      </c>
      <c r="K40" s="11">
        <f t="shared" si="23"/>
        <v>514.66666666666652</v>
      </c>
      <c r="L40" s="10">
        <f>L39-I40+J40</f>
        <v>-11548.290000000003</v>
      </c>
      <c r="N40">
        <v>34</v>
      </c>
      <c r="O40">
        <v>1</v>
      </c>
      <c r="P40">
        <v>1</v>
      </c>
      <c r="Q40" t="str">
        <f t="shared" si="3"/>
        <v>300760283626261100200EUR201902156333934900</v>
      </c>
      <c r="R40" s="16" t="s">
        <v>904</v>
      </c>
      <c r="S40" t="str">
        <f t="shared" si="4"/>
        <v>PRLV B2B CONGES INTEMPERIES BTP</v>
      </c>
      <c r="U40">
        <f>IFERROR(VLOOKUP(F40,tab!A:B,2,FALSE),1)</f>
        <v>14</v>
      </c>
      <c r="V40" s="14">
        <f t="shared" si="5"/>
        <v>-11548.290000000003</v>
      </c>
      <c r="W40">
        <f t="shared" si="6"/>
        <v>0</v>
      </c>
      <c r="X40">
        <f t="shared" si="7"/>
        <v>1</v>
      </c>
      <c r="Y40" s="14">
        <f t="shared" si="8"/>
        <v>3088</v>
      </c>
      <c r="AA40" t="str">
        <f t="shared" si="9"/>
        <v>&lt;Valeur name="no"&gt;34&lt;/Valeur&gt;</v>
      </c>
      <c r="AB40" t="str">
        <f t="shared" si="9"/>
        <v>&lt;Valeur name="banque"&gt;1&lt;/Valeur&gt;</v>
      </c>
      <c r="AC40" t="str">
        <f t="shared" si="11"/>
        <v>&lt;Valeur name="pointer"&gt;1&lt;/Valeur&gt;</v>
      </c>
      <c r="AD40" t="str">
        <f t="shared" si="12"/>
        <v>&lt;Valeur name="idbanque"&gt;300760283626261100200EUR201902156333934900&lt;/Valeur&gt;</v>
      </c>
      <c r="AE40" t="str">
        <f t="shared" si="13"/>
        <v>&lt;Valeur name="datevaleur"&gt;2019/02/15&lt;/Valeur&gt;</v>
      </c>
      <c r="AF40" t="str">
        <f t="shared" si="14"/>
        <v>&lt;Valeur name="intitule"&gt;PRLV B2B CONGES INTEMPERIES BTP&lt;/Valeur&gt;</v>
      </c>
      <c r="AG40" t="str">
        <f t="shared" si="15"/>
        <v>&lt;Valeur name="description"&gt;&lt;/Valeur&gt;</v>
      </c>
      <c r="AH40" t="str">
        <f t="shared" si="16"/>
        <v>&lt;Valeur name="compte"&gt;14&lt;/Valeur&gt;</v>
      </c>
      <c r="AI40" t="str">
        <f t="shared" si="17"/>
        <v>&lt;Valeur name="solde"&gt;-11548.29&lt;/Valeur&gt;</v>
      </c>
      <c r="AJ40" t="str">
        <f t="shared" si="18"/>
        <v>&lt;Valeur name="ventiler"&gt;0&lt;/Valeur&gt;</v>
      </c>
      <c r="AK40" t="str">
        <f t="shared" si="19"/>
        <v>&lt;Valeur name="compta"&gt;1&lt;/Valeur&gt;</v>
      </c>
      <c r="AL40" t="str">
        <f t="shared" si="20"/>
        <v>&lt;Valeur name="valeur"&gt;3088&lt;/Valeur&gt;</v>
      </c>
      <c r="AN40" t="str">
        <f t="shared" si="10"/>
        <v>&lt;Insert&gt;&lt;Valeur name="no"&gt;34&lt;/Valeur&gt;&lt;Valeur name="banque"&gt;1&lt;/Valeur&gt;&lt;Valeur name="pointer"&gt;1&lt;/Valeur&gt;&lt;Valeur name="idbanque"&gt;300760283626261100200EUR201902156333934900&lt;/Valeur&gt;&lt;Valeur name="datevaleur"&gt;2019/02/15&lt;/Valeur&gt;&lt;Valeur name="intitule"&gt;PRLV B2B CONGES INTEMPERIES BTP&lt;/Valeur&gt;&lt;Valeur name="description"&gt;&lt;/Valeur&gt;&lt;Valeur name="compte"&gt;14&lt;/Valeur&gt;&lt;Valeur name="solde"&gt;-11548.29&lt;/Valeur&gt;&lt;Valeur name="ventiler"&gt;0&lt;/Valeur&gt;&lt;Valeur name="compta"&gt;1&lt;/Valeur&gt;&lt;Valeur name="valeur"&gt;3088&lt;/Valeur&gt;&lt;/Insert&gt;</v>
      </c>
    </row>
    <row r="41" spans="1:40" x14ac:dyDescent="0.25">
      <c r="A41" t="s">
        <v>234</v>
      </c>
      <c r="B41">
        <v>35</v>
      </c>
      <c r="C41" s="1">
        <v>43511</v>
      </c>
      <c r="D41">
        <v>1</v>
      </c>
      <c r="E41" t="str">
        <f>IF(F41&lt;&gt;"",INDEX(Balance!A:A,MATCH(F41,Balance!B:B,0)),"")</f>
        <v>Depense</v>
      </c>
      <c r="F41" t="s">
        <v>267</v>
      </c>
      <c r="G41" t="s">
        <v>52</v>
      </c>
      <c r="I41" s="10">
        <v>162</v>
      </c>
      <c r="K41" s="11">
        <f t="shared" si="23"/>
        <v>27</v>
      </c>
      <c r="L41" s="10">
        <f>L40-I41+J41</f>
        <v>-11710.290000000003</v>
      </c>
      <c r="N41">
        <v>35</v>
      </c>
      <c r="O41">
        <v>1</v>
      </c>
      <c r="P41">
        <v>1</v>
      </c>
      <c r="Q41" t="str">
        <f t="shared" si="3"/>
        <v>300760283626261100200EUR201902156339942500</v>
      </c>
      <c r="R41" s="16" t="s">
        <v>904</v>
      </c>
      <c r="S41" t="str">
        <f t="shared" si="4"/>
        <v>PRLV SEPA MMA IARD SA-MMA IARD</v>
      </c>
      <c r="U41">
        <f>IFERROR(VLOOKUP(F41,tab!A:B,2,FALSE),1)</f>
        <v>12</v>
      </c>
      <c r="V41" s="14">
        <f t="shared" si="5"/>
        <v>-11710.290000000003</v>
      </c>
      <c r="W41">
        <f t="shared" si="6"/>
        <v>0</v>
      </c>
      <c r="X41">
        <f t="shared" si="7"/>
        <v>1</v>
      </c>
      <c r="Y41" s="14">
        <f t="shared" si="8"/>
        <v>162</v>
      </c>
      <c r="AA41" t="str">
        <f t="shared" si="9"/>
        <v>&lt;Valeur name="no"&gt;35&lt;/Valeur&gt;</v>
      </c>
      <c r="AB41" t="str">
        <f t="shared" si="9"/>
        <v>&lt;Valeur name="banque"&gt;1&lt;/Valeur&gt;</v>
      </c>
      <c r="AC41" t="str">
        <f t="shared" si="11"/>
        <v>&lt;Valeur name="pointer"&gt;1&lt;/Valeur&gt;</v>
      </c>
      <c r="AD41" t="str">
        <f t="shared" si="12"/>
        <v>&lt;Valeur name="idbanque"&gt;300760283626261100200EUR201902156339942500&lt;/Valeur&gt;</v>
      </c>
      <c r="AE41" t="str">
        <f t="shared" si="13"/>
        <v>&lt;Valeur name="datevaleur"&gt;2019/02/15&lt;/Valeur&gt;</v>
      </c>
      <c r="AF41" t="str">
        <f t="shared" si="14"/>
        <v>&lt;Valeur name="intitule"&gt;PRLV SEPA MMA IARD SA-MMA IARD&lt;/Valeur&gt;</v>
      </c>
      <c r="AG41" t="str">
        <f t="shared" si="15"/>
        <v>&lt;Valeur name="description"&gt;&lt;/Valeur&gt;</v>
      </c>
      <c r="AH41" t="str">
        <f t="shared" si="16"/>
        <v>&lt;Valeur name="compte"&gt;12&lt;/Valeur&gt;</v>
      </c>
      <c r="AI41" t="str">
        <f t="shared" si="17"/>
        <v>&lt;Valeur name="solde"&gt;-11710.29&lt;/Valeur&gt;</v>
      </c>
      <c r="AJ41" t="str">
        <f t="shared" si="18"/>
        <v>&lt;Valeur name="ventiler"&gt;0&lt;/Valeur&gt;</v>
      </c>
      <c r="AK41" t="str">
        <f t="shared" si="19"/>
        <v>&lt;Valeur name="compta"&gt;1&lt;/Valeur&gt;</v>
      </c>
      <c r="AL41" t="str">
        <f t="shared" si="20"/>
        <v>&lt;Valeur name="valeur"&gt;162&lt;/Valeur&gt;</v>
      </c>
      <c r="AN41" t="str">
        <f t="shared" si="10"/>
        <v>&lt;Insert&gt;&lt;Valeur name="no"&gt;35&lt;/Valeur&gt;&lt;Valeur name="banque"&gt;1&lt;/Valeur&gt;&lt;Valeur name="pointer"&gt;1&lt;/Valeur&gt;&lt;Valeur name="idbanque"&gt;300760283626261100200EUR201902156339942500&lt;/Valeur&gt;&lt;Valeur name="datevaleur"&gt;2019/02/15&lt;/Valeur&gt;&lt;Valeur name="intitule"&gt;PRLV SEPA MMA IARD SA-MMA IARD&lt;/Valeur&gt;&lt;Valeur name="description"&gt;&lt;/Valeur&gt;&lt;Valeur name="compte"&gt;12&lt;/Valeur&gt;&lt;Valeur name="solde"&gt;-11710.29&lt;/Valeur&gt;&lt;Valeur name="ventiler"&gt;0&lt;/Valeur&gt;&lt;Valeur name="compta"&gt;1&lt;/Valeur&gt;&lt;Valeur name="valeur"&gt;162&lt;/Valeur&gt;&lt;/Insert&gt;</v>
      </c>
    </row>
    <row r="42" spans="1:40" x14ac:dyDescent="0.25">
      <c r="A42" t="s">
        <v>231</v>
      </c>
      <c r="B42">
        <v>36</v>
      </c>
      <c r="C42" s="1">
        <v>43511</v>
      </c>
      <c r="D42">
        <v>1</v>
      </c>
      <c r="E42" t="str">
        <f>IF(F42&lt;&gt;"",INDEX(Balance!A:A,MATCH(F42,Balance!B:B,0)),"")</f>
        <v>Depense</v>
      </c>
      <c r="F42" t="s">
        <v>257</v>
      </c>
      <c r="G42" t="s">
        <v>31</v>
      </c>
      <c r="I42" s="10">
        <v>0.21</v>
      </c>
      <c r="K42" s="11">
        <f t="shared" si="23"/>
        <v>3.5000000000000003E-2</v>
      </c>
      <c r="L42" s="10">
        <f>L41-I42+J42</f>
        <v>-11710.500000000002</v>
      </c>
      <c r="N42">
        <v>36</v>
      </c>
      <c r="O42">
        <v>1</v>
      </c>
      <c r="P42">
        <v>1</v>
      </c>
      <c r="Q42" t="str">
        <f t="shared" si="3"/>
        <v>300760283626261100200EUR201902159222708000</v>
      </c>
      <c r="R42" s="16" t="s">
        <v>904</v>
      </c>
      <c r="S42" t="str">
        <f t="shared" si="4"/>
        <v>FRAIS E-VIR SEPA VERS EEE</v>
      </c>
      <c r="U42">
        <f>IFERROR(VLOOKUP(F42,tab!A:B,2,FALSE),1)</f>
        <v>18</v>
      </c>
      <c r="V42" s="14">
        <f t="shared" si="5"/>
        <v>-11710.500000000002</v>
      </c>
      <c r="W42">
        <f t="shared" si="6"/>
        <v>0</v>
      </c>
      <c r="X42">
        <f t="shared" si="7"/>
        <v>1</v>
      </c>
      <c r="Y42" s="14">
        <f t="shared" si="8"/>
        <v>0.21</v>
      </c>
      <c r="AA42" t="str">
        <f t="shared" si="9"/>
        <v>&lt;Valeur name="no"&gt;36&lt;/Valeur&gt;</v>
      </c>
      <c r="AB42" t="str">
        <f t="shared" si="9"/>
        <v>&lt;Valeur name="banque"&gt;1&lt;/Valeur&gt;</v>
      </c>
      <c r="AC42" t="str">
        <f t="shared" si="11"/>
        <v>&lt;Valeur name="pointer"&gt;1&lt;/Valeur&gt;</v>
      </c>
      <c r="AD42" t="str">
        <f t="shared" si="12"/>
        <v>&lt;Valeur name="idbanque"&gt;300760283626261100200EUR201902159222708000&lt;/Valeur&gt;</v>
      </c>
      <c r="AE42" t="str">
        <f t="shared" si="13"/>
        <v>&lt;Valeur name="datevaleur"&gt;2019/02/15&lt;/Valeur&gt;</v>
      </c>
      <c r="AF42" t="str">
        <f t="shared" si="14"/>
        <v>&lt;Valeur name="intitule"&gt;FRAIS E-VIR SEPA VERS EEE&lt;/Valeur&gt;</v>
      </c>
      <c r="AG42" t="str">
        <f t="shared" si="15"/>
        <v>&lt;Valeur name="description"&gt;&lt;/Valeur&gt;</v>
      </c>
      <c r="AH42" t="str">
        <f t="shared" si="16"/>
        <v>&lt;Valeur name="compte"&gt;18&lt;/Valeur&gt;</v>
      </c>
      <c r="AI42" t="str">
        <f t="shared" si="17"/>
        <v>&lt;Valeur name="solde"&gt;-11710.5&lt;/Valeur&gt;</v>
      </c>
      <c r="AJ42" t="str">
        <f t="shared" si="18"/>
        <v>&lt;Valeur name="ventiler"&gt;0&lt;/Valeur&gt;</v>
      </c>
      <c r="AK42" t="str">
        <f t="shared" si="19"/>
        <v>&lt;Valeur name="compta"&gt;1&lt;/Valeur&gt;</v>
      </c>
      <c r="AL42" t="str">
        <f t="shared" si="20"/>
        <v>&lt;Valeur name="valeur"&gt;0.21&lt;/Valeur&gt;</v>
      </c>
      <c r="AN42" t="str">
        <f t="shared" si="10"/>
        <v>&lt;Insert&gt;&lt;Valeur name="no"&gt;36&lt;/Valeur&gt;&lt;Valeur name="banque"&gt;1&lt;/Valeur&gt;&lt;Valeur name="pointer"&gt;1&lt;/Valeur&gt;&lt;Valeur name="idbanque"&gt;300760283626261100200EUR201902159222708000&lt;/Valeur&gt;&lt;Valeur name="datevaleur"&gt;2019/02/15&lt;/Valeur&gt;&lt;Valeur name="intitule"&gt;FRAIS E-VIR SEPA VERS EEE&lt;/Valeur&gt;&lt;Valeur name="description"&gt;&lt;/Valeur&gt;&lt;Valeur name="compte"&gt;18&lt;/Valeur&gt;&lt;Valeur name="solde"&gt;-11710.5&lt;/Valeur&gt;&lt;Valeur name="ventiler"&gt;0&lt;/Valeur&gt;&lt;Valeur name="compta"&gt;1&lt;/Valeur&gt;&lt;Valeur name="valeur"&gt;0.21&lt;/Valeur&gt;&lt;/Insert&gt;</v>
      </c>
    </row>
    <row r="43" spans="1:40" x14ac:dyDescent="0.25">
      <c r="A43" t="s">
        <v>216</v>
      </c>
      <c r="B43">
        <v>37</v>
      </c>
      <c r="C43" s="1">
        <v>43514</v>
      </c>
      <c r="E43" t="str">
        <f>IF(F43&lt;&gt;"",INDEX(Balance!A:A,MATCH(F43,Balance!B:B,0)),"")</f>
        <v>Fournisseurs</v>
      </c>
      <c r="F43" t="s">
        <v>280</v>
      </c>
      <c r="G43" t="s">
        <v>217</v>
      </c>
      <c r="I43" s="10">
        <v>961.2</v>
      </c>
      <c r="K43" s="11">
        <f t="shared" si="23"/>
        <v>160.19999999999993</v>
      </c>
      <c r="L43" s="10">
        <f>L42-I43+J43</f>
        <v>-12671.700000000003</v>
      </c>
      <c r="N43">
        <v>37</v>
      </c>
      <c r="O43">
        <v>1</v>
      </c>
      <c r="P43">
        <v>1</v>
      </c>
      <c r="Q43" t="str">
        <f t="shared" si="3"/>
        <v>300760283626261100200EUR201902180294347200</v>
      </c>
      <c r="R43" s="16" t="s">
        <v>878</v>
      </c>
      <c r="S43" t="str">
        <f t="shared" si="4"/>
        <v>E-VIR SEPA CIR Caillebotis Thery</v>
      </c>
      <c r="U43">
        <f>IFERROR(VLOOKUP(F43,tab!A:B,2,FALSE),1)</f>
        <v>43</v>
      </c>
      <c r="V43" s="14">
        <f t="shared" si="5"/>
        <v>-12671.700000000003</v>
      </c>
      <c r="W43">
        <f t="shared" si="6"/>
        <v>0</v>
      </c>
      <c r="X43" t="str">
        <f t="shared" si="7"/>
        <v/>
      </c>
      <c r="Y43" s="14">
        <f t="shared" si="8"/>
        <v>961.2</v>
      </c>
      <c r="AA43" t="str">
        <f t="shared" si="9"/>
        <v>&lt;Valeur name="no"&gt;37&lt;/Valeur&gt;</v>
      </c>
      <c r="AB43" t="str">
        <f t="shared" si="9"/>
        <v>&lt;Valeur name="banque"&gt;1&lt;/Valeur&gt;</v>
      </c>
      <c r="AC43" t="str">
        <f t="shared" si="11"/>
        <v>&lt;Valeur name="pointer"&gt;1&lt;/Valeur&gt;</v>
      </c>
      <c r="AD43" t="str">
        <f t="shared" si="12"/>
        <v>&lt;Valeur name="idbanque"&gt;300760283626261100200EUR201902180294347200&lt;/Valeur&gt;</v>
      </c>
      <c r="AE43" t="str">
        <f t="shared" si="13"/>
        <v>&lt;Valeur name="datevaleur"&gt;2019/02/18&lt;/Valeur&gt;</v>
      </c>
      <c r="AF43" t="str">
        <f t="shared" si="14"/>
        <v>&lt;Valeur name="intitule"&gt;E-VIR SEPA CIR Caillebotis Thery&lt;/Valeur&gt;</v>
      </c>
      <c r="AG43" t="str">
        <f t="shared" si="15"/>
        <v>&lt;Valeur name="description"&gt;&lt;/Valeur&gt;</v>
      </c>
      <c r="AH43" t="str">
        <f t="shared" si="16"/>
        <v>&lt;Valeur name="compte"&gt;43&lt;/Valeur&gt;</v>
      </c>
      <c r="AI43" t="str">
        <f t="shared" si="17"/>
        <v>&lt;Valeur name="solde"&gt;-12671.7&lt;/Valeur&gt;</v>
      </c>
      <c r="AJ43" t="str">
        <f t="shared" si="18"/>
        <v>&lt;Valeur name="ventiler"&gt;0&lt;/Valeur&gt;</v>
      </c>
      <c r="AK43" t="str">
        <f t="shared" si="19"/>
        <v>&lt;Valeur name="compta"&gt;&lt;/Valeur&gt;</v>
      </c>
      <c r="AL43" t="str">
        <f t="shared" si="20"/>
        <v>&lt;Valeur name="valeur"&gt;961.2&lt;/Valeur&gt;</v>
      </c>
      <c r="AN43" t="str">
        <f t="shared" si="10"/>
        <v>&lt;Insert&gt;&lt;Valeur name="no"&gt;37&lt;/Valeur&gt;&lt;Valeur name="banque"&gt;1&lt;/Valeur&gt;&lt;Valeur name="pointer"&gt;1&lt;/Valeur&gt;&lt;Valeur name="idbanque"&gt;300760283626261100200EUR201902180294347200&lt;/Valeur&gt;&lt;Valeur name="datevaleur"&gt;2019/02/18&lt;/Valeur&gt;&lt;Valeur name="intitule"&gt;E-VIR SEPA CIR Caillebotis Thery&lt;/Valeur&gt;&lt;Valeur name="description"&gt;&lt;/Valeur&gt;&lt;Valeur name="compte"&gt;43&lt;/Valeur&gt;&lt;Valeur name="solde"&gt;-12671.7&lt;/Valeur&gt;&lt;Valeur name="ventiler"&gt;0&lt;/Valeur&gt;&lt;Valeur name="compta"&gt;&lt;/Valeur&gt;&lt;Valeur name="valeur"&gt;961.2&lt;/Valeur&gt;&lt;/Insert&gt;</v>
      </c>
    </row>
    <row r="44" spans="1:40" x14ac:dyDescent="0.25">
      <c r="A44" t="s">
        <v>224</v>
      </c>
      <c r="B44">
        <v>38</v>
      </c>
      <c r="C44" s="1">
        <v>43514</v>
      </c>
      <c r="E44" t="str">
        <f>IF(F44&lt;&gt;"",INDEX(Balance!A:A,MATCH(F44,Balance!B:B,0)),"")</f>
        <v/>
      </c>
      <c r="G44" t="s">
        <v>225</v>
      </c>
      <c r="I44" s="10">
        <v>2614.4299999999998</v>
      </c>
      <c r="K44" s="11">
        <f t="shared" si="23"/>
        <v>435.73833333333323</v>
      </c>
      <c r="L44" s="10">
        <f>L43-I44+J44</f>
        <v>-15286.130000000003</v>
      </c>
      <c r="N44">
        <v>38</v>
      </c>
      <c r="O44">
        <v>1</v>
      </c>
      <c r="P44">
        <v>1</v>
      </c>
      <c r="Q44" t="str">
        <f t="shared" si="3"/>
        <v>300760283626261100200EUR201902180910410400</v>
      </c>
      <c r="R44" s="16" t="s">
        <v>878</v>
      </c>
      <c r="S44" t="str">
        <f t="shared" si="4"/>
        <v>RELEVE LCR DU  110219  CONFORME</v>
      </c>
      <c r="U44">
        <f>IFERROR(VLOOKUP(F44,tab!A:B,2,FALSE),1)</f>
        <v>1</v>
      </c>
      <c r="V44" s="14">
        <f t="shared" si="5"/>
        <v>-15286.130000000003</v>
      </c>
      <c r="W44">
        <f t="shared" si="6"/>
        <v>1</v>
      </c>
      <c r="X44" t="str">
        <f t="shared" si="7"/>
        <v/>
      </c>
      <c r="Y44" s="14">
        <f t="shared" si="8"/>
        <v>2614.4299999999998</v>
      </c>
      <c r="AA44" t="str">
        <f t="shared" si="9"/>
        <v>&lt;Valeur name="no"&gt;38&lt;/Valeur&gt;</v>
      </c>
      <c r="AB44" t="str">
        <f t="shared" si="9"/>
        <v>&lt;Valeur name="banque"&gt;1&lt;/Valeur&gt;</v>
      </c>
      <c r="AC44" t="str">
        <f t="shared" si="11"/>
        <v>&lt;Valeur name="pointer"&gt;1&lt;/Valeur&gt;</v>
      </c>
      <c r="AD44" t="str">
        <f t="shared" si="12"/>
        <v>&lt;Valeur name="idbanque"&gt;300760283626261100200EUR201902180910410400&lt;/Valeur&gt;</v>
      </c>
      <c r="AE44" t="str">
        <f t="shared" si="13"/>
        <v>&lt;Valeur name="datevaleur"&gt;2019/02/18&lt;/Valeur&gt;</v>
      </c>
      <c r="AF44" t="str">
        <f t="shared" si="14"/>
        <v>&lt;Valeur name="intitule"&gt;RELEVE LCR DU  110219  CONFORME&lt;/Valeur&gt;</v>
      </c>
      <c r="AG44" t="str">
        <f t="shared" si="15"/>
        <v>&lt;Valeur name="description"&gt;&lt;/Valeur&gt;</v>
      </c>
      <c r="AH44" t="str">
        <f t="shared" si="16"/>
        <v>&lt;Valeur name="compte"&gt;1&lt;/Valeur&gt;</v>
      </c>
      <c r="AI44" t="str">
        <f t="shared" si="17"/>
        <v>&lt;Valeur name="solde"&gt;-15286.13&lt;/Valeur&gt;</v>
      </c>
      <c r="AJ44" t="str">
        <f t="shared" si="18"/>
        <v>&lt;Valeur name="ventiler"&gt;1&lt;/Valeur&gt;</v>
      </c>
      <c r="AK44" t="str">
        <f t="shared" si="19"/>
        <v>&lt;Valeur name="compta"&gt;&lt;/Valeur&gt;</v>
      </c>
      <c r="AL44" t="str">
        <f t="shared" si="20"/>
        <v>&lt;Valeur name="valeur"&gt;2614.43&lt;/Valeur&gt;</v>
      </c>
      <c r="AN44" t="str">
        <f t="shared" si="10"/>
        <v>&lt;Insert&gt;&lt;Valeur name="no"&gt;38&lt;/Valeur&gt;&lt;Valeur name="banque"&gt;1&lt;/Valeur&gt;&lt;Valeur name="pointer"&gt;1&lt;/Valeur&gt;&lt;Valeur name="idbanque"&gt;300760283626261100200EUR201902180910410400&lt;/Valeur&gt;&lt;Valeur name="datevaleur"&gt;2019/02/18&lt;/Valeur&gt;&lt;Valeur name="intitule"&gt;RELEVE LCR DU  110219  CONFORME&lt;/Valeur&gt;&lt;Valeur name="description"&gt;&lt;/Valeur&gt;&lt;Valeur name="compte"&gt;1&lt;/Valeur&gt;&lt;Valeur name="solde"&gt;-15286.13&lt;/Valeur&gt;&lt;Valeur name="ventiler"&gt;1&lt;/Valeur&gt;&lt;Valeur name="compta"&gt;&lt;/Valeur&gt;&lt;Valeur name="valeur"&gt;2614.43&lt;/Valeur&gt;&lt;/Insert&gt;</v>
      </c>
    </row>
    <row r="45" spans="1:40" x14ac:dyDescent="0.25">
      <c r="C45" s="1"/>
      <c r="E45" t="str">
        <f>IF(F45&lt;&gt;"",INDEX(Balance!A:A,MATCH(F45,Balance!B:B,0)),"")</f>
        <v>Fournisseurs</v>
      </c>
      <c r="F45" t="s">
        <v>277</v>
      </c>
      <c r="I45" s="10">
        <v>816.83</v>
      </c>
      <c r="O45">
        <v>1</v>
      </c>
      <c r="P45">
        <v>1</v>
      </c>
      <c r="Q45">
        <f t="shared" si="3"/>
        <v>0</v>
      </c>
      <c r="R45" s="16" t="s">
        <v>874</v>
      </c>
      <c r="S45" t="str">
        <f t="shared" si="4"/>
        <v/>
      </c>
      <c r="U45">
        <f>IFERROR(VLOOKUP(F45,tab!A:B,2,FALSE),1)</f>
        <v>62</v>
      </c>
      <c r="V45" s="14">
        <f t="shared" si="5"/>
        <v>0</v>
      </c>
      <c r="W45">
        <f t="shared" si="6"/>
        <v>1</v>
      </c>
      <c r="X45" t="str">
        <f t="shared" si="7"/>
        <v/>
      </c>
      <c r="Y45" s="14">
        <f t="shared" si="8"/>
        <v>816.83</v>
      </c>
      <c r="AA45" t="str">
        <f t="shared" si="9"/>
        <v/>
      </c>
      <c r="AB45" t="str">
        <f t="shared" si="9"/>
        <v/>
      </c>
      <c r="AC45" t="str">
        <f t="shared" si="11"/>
        <v/>
      </c>
      <c r="AD45" t="str">
        <f t="shared" si="12"/>
        <v/>
      </c>
      <c r="AE45" t="str">
        <f t="shared" si="13"/>
        <v/>
      </c>
      <c r="AF45" t="str">
        <f t="shared" si="14"/>
        <v/>
      </c>
      <c r="AG45" t="str">
        <f t="shared" si="15"/>
        <v/>
      </c>
      <c r="AH45" t="str">
        <f t="shared" si="16"/>
        <v/>
      </c>
      <c r="AI45" t="str">
        <f t="shared" si="17"/>
        <v/>
      </c>
      <c r="AJ45" t="str">
        <f t="shared" si="18"/>
        <v/>
      </c>
      <c r="AK45" t="str">
        <f t="shared" si="19"/>
        <v/>
      </c>
      <c r="AL45" t="str">
        <f t="shared" si="20"/>
        <v/>
      </c>
      <c r="AN45" t="str">
        <f t="shared" si="10"/>
        <v/>
      </c>
    </row>
    <row r="46" spans="1:40" x14ac:dyDescent="0.25">
      <c r="C46" s="1"/>
      <c r="E46" t="str">
        <f>IF(F46&lt;&gt;"",INDEX(Balance!A:A,MATCH(F46,Balance!B:B,0)),"")</f>
        <v>Fournisseurs</v>
      </c>
      <c r="F46" t="s">
        <v>281</v>
      </c>
      <c r="I46" s="10">
        <v>1797.6</v>
      </c>
      <c r="O46">
        <v>1</v>
      </c>
      <c r="P46">
        <v>1</v>
      </c>
      <c r="Q46">
        <f t="shared" si="3"/>
        <v>0</v>
      </c>
      <c r="R46" s="16" t="s">
        <v>874</v>
      </c>
      <c r="S46" t="str">
        <f t="shared" si="4"/>
        <v/>
      </c>
      <c r="U46">
        <f>IFERROR(VLOOKUP(F46,tab!A:B,2,FALSE),1)</f>
        <v>77</v>
      </c>
      <c r="V46" s="14">
        <f t="shared" si="5"/>
        <v>0</v>
      </c>
      <c r="W46">
        <f t="shared" si="6"/>
        <v>0</v>
      </c>
      <c r="X46" t="str">
        <f t="shared" si="7"/>
        <v/>
      </c>
      <c r="Y46" s="14">
        <f t="shared" si="8"/>
        <v>1797.6</v>
      </c>
      <c r="AA46" t="str">
        <f t="shared" si="9"/>
        <v/>
      </c>
      <c r="AB46" t="str">
        <f t="shared" si="9"/>
        <v/>
      </c>
      <c r="AC46" t="str">
        <f t="shared" si="11"/>
        <v/>
      </c>
      <c r="AD46" t="str">
        <f t="shared" si="12"/>
        <v/>
      </c>
      <c r="AE46" t="str">
        <f t="shared" si="13"/>
        <v/>
      </c>
      <c r="AF46" t="str">
        <f t="shared" si="14"/>
        <v/>
      </c>
      <c r="AG46" t="str">
        <f t="shared" si="15"/>
        <v/>
      </c>
      <c r="AH46" t="str">
        <f t="shared" si="16"/>
        <v/>
      </c>
      <c r="AI46" t="str">
        <f t="shared" si="17"/>
        <v/>
      </c>
      <c r="AJ46" t="str">
        <f t="shared" si="18"/>
        <v/>
      </c>
      <c r="AK46" t="str">
        <f t="shared" si="19"/>
        <v/>
      </c>
      <c r="AL46" t="str">
        <f t="shared" si="20"/>
        <v/>
      </c>
      <c r="AN46" t="str">
        <f t="shared" si="10"/>
        <v/>
      </c>
    </row>
    <row r="47" spans="1:40" x14ac:dyDescent="0.25">
      <c r="A47" t="s">
        <v>220</v>
      </c>
      <c r="B47">
        <v>39</v>
      </c>
      <c r="C47" s="1">
        <v>43514</v>
      </c>
      <c r="D47">
        <v>1</v>
      </c>
      <c r="E47" t="str">
        <f>IF(F47&lt;&gt;"",INDEX(Balance!A:A,MATCH(F47,Balance!B:B,0)),"")</f>
        <v>Fournisseurs</v>
      </c>
      <c r="F47" t="s">
        <v>376</v>
      </c>
      <c r="G47" t="s">
        <v>42</v>
      </c>
      <c r="I47" s="10">
        <v>9.99</v>
      </c>
      <c r="K47" s="11">
        <f t="shared" ref="K47:K82" si="24">IF(I47&gt;0,I47-(I47/TVA),-(J47-(J47/TVA)))</f>
        <v>1.6649999999999991</v>
      </c>
      <c r="L47" s="10">
        <f>L44-I47+J47</f>
        <v>-15296.120000000003</v>
      </c>
      <c r="N47">
        <v>39</v>
      </c>
      <c r="O47">
        <v>1</v>
      </c>
      <c r="P47">
        <v>1</v>
      </c>
      <c r="Q47" t="str">
        <f t="shared" si="3"/>
        <v>300760283626261100200EUR201902181074862600</v>
      </c>
      <c r="R47" s="16" t="s">
        <v>878</v>
      </c>
      <c r="S47" t="str">
        <f t="shared" si="4"/>
        <v>CB 548222 GOOGLE GOOG GB   9,99</v>
      </c>
      <c r="U47">
        <f>IFERROR(VLOOKUP(F47,tab!A:B,2,FALSE),1)</f>
        <v>69</v>
      </c>
      <c r="V47" s="14">
        <f t="shared" si="5"/>
        <v>-15296.120000000003</v>
      </c>
      <c r="W47">
        <f t="shared" si="6"/>
        <v>0</v>
      </c>
      <c r="X47">
        <f t="shared" si="7"/>
        <v>1</v>
      </c>
      <c r="Y47" s="14">
        <f t="shared" si="8"/>
        <v>9.99</v>
      </c>
      <c r="AA47" t="str">
        <f t="shared" si="9"/>
        <v>&lt;Valeur name="no"&gt;39&lt;/Valeur&gt;</v>
      </c>
      <c r="AB47" t="str">
        <f t="shared" si="9"/>
        <v>&lt;Valeur name="banque"&gt;1&lt;/Valeur&gt;</v>
      </c>
      <c r="AC47" t="str">
        <f t="shared" si="11"/>
        <v>&lt;Valeur name="pointer"&gt;1&lt;/Valeur&gt;</v>
      </c>
      <c r="AD47" t="str">
        <f t="shared" si="12"/>
        <v>&lt;Valeur name="idbanque"&gt;300760283626261100200EUR201902181074862600&lt;/Valeur&gt;</v>
      </c>
      <c r="AE47" t="str">
        <f t="shared" si="13"/>
        <v>&lt;Valeur name="datevaleur"&gt;2019/02/18&lt;/Valeur&gt;</v>
      </c>
      <c r="AF47" t="str">
        <f t="shared" si="14"/>
        <v>&lt;Valeur name="intitule"&gt;CB 548222 GOOGLE GOOG GB   9,99&lt;/Valeur&gt;</v>
      </c>
      <c r="AG47" t="str">
        <f t="shared" si="15"/>
        <v>&lt;Valeur name="description"&gt;&lt;/Valeur&gt;</v>
      </c>
      <c r="AH47" t="str">
        <f t="shared" si="16"/>
        <v>&lt;Valeur name="compte"&gt;69&lt;/Valeur&gt;</v>
      </c>
      <c r="AI47" t="str">
        <f t="shared" si="17"/>
        <v>&lt;Valeur name="solde"&gt;-15296.12&lt;/Valeur&gt;</v>
      </c>
      <c r="AJ47" t="str">
        <f t="shared" si="18"/>
        <v>&lt;Valeur name="ventiler"&gt;0&lt;/Valeur&gt;</v>
      </c>
      <c r="AK47" t="str">
        <f t="shared" si="19"/>
        <v>&lt;Valeur name="compta"&gt;1&lt;/Valeur&gt;</v>
      </c>
      <c r="AL47" t="str">
        <f t="shared" si="20"/>
        <v>&lt;Valeur name="valeur"&gt;9.99&lt;/Valeur&gt;</v>
      </c>
      <c r="AN47" t="str">
        <f t="shared" si="10"/>
        <v>&lt;Insert&gt;&lt;Valeur name="no"&gt;39&lt;/Valeur&gt;&lt;Valeur name="banque"&gt;1&lt;/Valeur&gt;&lt;Valeur name="pointer"&gt;1&lt;/Valeur&gt;&lt;Valeur name="idbanque"&gt;300760283626261100200EUR201902181074862600&lt;/Valeur&gt;&lt;Valeur name="datevaleur"&gt;2019/02/18&lt;/Valeur&gt;&lt;Valeur name="intitule"&gt;CB 548222 GOOGLE GOOG GB   9,99&lt;/Valeur&gt;&lt;Valeur name="description"&gt;&lt;/Valeur&gt;&lt;Valeur name="compte"&gt;69&lt;/Valeur&gt;&lt;Valeur name="solde"&gt;-15296.12&lt;/Valeur&gt;&lt;Valeur name="ventiler"&gt;0&lt;/Valeur&gt;&lt;Valeur name="compta"&gt;1&lt;/Valeur&gt;&lt;Valeur name="valeur"&gt;9.99&lt;/Valeur&gt;&lt;/Insert&gt;</v>
      </c>
    </row>
    <row r="48" spans="1:40" x14ac:dyDescent="0.25">
      <c r="A48" t="s">
        <v>218</v>
      </c>
      <c r="B48">
        <v>40</v>
      </c>
      <c r="C48" s="1">
        <v>43514</v>
      </c>
      <c r="D48">
        <v>1</v>
      </c>
      <c r="E48" t="str">
        <f>IF(F48&lt;&gt;"",INDEX(Balance!A:A,MATCH(F48,Balance!B:B,0)),"")</f>
        <v>Depense</v>
      </c>
      <c r="F48" t="s">
        <v>254</v>
      </c>
      <c r="G48" t="s">
        <v>219</v>
      </c>
      <c r="I48" s="10">
        <v>9.5</v>
      </c>
      <c r="K48" s="11">
        <f t="shared" si="24"/>
        <v>1.583333333333333</v>
      </c>
      <c r="L48" s="10">
        <f t="shared" ref="L48:L82" si="25">L47-I48+J48</f>
        <v>-15305.620000000003</v>
      </c>
      <c r="N48">
        <v>40</v>
      </c>
      <c r="O48">
        <v>1</v>
      </c>
      <c r="P48">
        <v>1</v>
      </c>
      <c r="Q48" t="str">
        <f t="shared" si="3"/>
        <v>300760283626261100200EUR201902181074950400</v>
      </c>
      <c r="R48" s="16" t="s">
        <v>878</v>
      </c>
      <c r="S48" t="str">
        <f t="shared" si="4"/>
        <v>CB 454106 SHELL 3298  62RUMAUCOU</v>
      </c>
      <c r="U48">
        <f>IFERROR(VLOOKUP(F48,tab!A:B,2,FALSE),1)</f>
        <v>27</v>
      </c>
      <c r="V48" s="14">
        <f t="shared" si="5"/>
        <v>-15305.620000000003</v>
      </c>
      <c r="W48">
        <f t="shared" si="6"/>
        <v>0</v>
      </c>
      <c r="X48">
        <f t="shared" si="7"/>
        <v>1</v>
      </c>
      <c r="Y48" s="14">
        <f t="shared" si="8"/>
        <v>9.5</v>
      </c>
      <c r="AA48" t="str">
        <f t="shared" si="9"/>
        <v>&lt;Valeur name="no"&gt;40&lt;/Valeur&gt;</v>
      </c>
      <c r="AB48" t="str">
        <f t="shared" si="9"/>
        <v>&lt;Valeur name="banque"&gt;1&lt;/Valeur&gt;</v>
      </c>
      <c r="AC48" t="str">
        <f t="shared" si="11"/>
        <v>&lt;Valeur name="pointer"&gt;1&lt;/Valeur&gt;</v>
      </c>
      <c r="AD48" t="str">
        <f t="shared" si="12"/>
        <v>&lt;Valeur name="idbanque"&gt;300760283626261100200EUR201902181074950400&lt;/Valeur&gt;</v>
      </c>
      <c r="AE48" t="str">
        <f t="shared" si="13"/>
        <v>&lt;Valeur name="datevaleur"&gt;2019/02/18&lt;/Valeur&gt;</v>
      </c>
      <c r="AF48" t="str">
        <f t="shared" si="14"/>
        <v>&lt;Valeur name="intitule"&gt;CB 454106 SHELL 3298  62RUMAUCOU&lt;/Valeur&gt;</v>
      </c>
      <c r="AG48" t="str">
        <f t="shared" si="15"/>
        <v>&lt;Valeur name="description"&gt;&lt;/Valeur&gt;</v>
      </c>
      <c r="AH48" t="str">
        <f t="shared" si="16"/>
        <v>&lt;Valeur name="compte"&gt;27&lt;/Valeur&gt;</v>
      </c>
      <c r="AI48" t="str">
        <f t="shared" si="17"/>
        <v>&lt;Valeur name="solde"&gt;-15305.62&lt;/Valeur&gt;</v>
      </c>
      <c r="AJ48" t="str">
        <f t="shared" si="18"/>
        <v>&lt;Valeur name="ventiler"&gt;0&lt;/Valeur&gt;</v>
      </c>
      <c r="AK48" t="str">
        <f t="shared" si="19"/>
        <v>&lt;Valeur name="compta"&gt;1&lt;/Valeur&gt;</v>
      </c>
      <c r="AL48" t="str">
        <f t="shared" si="20"/>
        <v>&lt;Valeur name="valeur"&gt;9.5&lt;/Valeur&gt;</v>
      </c>
      <c r="AN48" t="str">
        <f t="shared" si="10"/>
        <v>&lt;Insert&gt;&lt;Valeur name="no"&gt;40&lt;/Valeur&gt;&lt;Valeur name="banque"&gt;1&lt;/Valeur&gt;&lt;Valeur name="pointer"&gt;1&lt;/Valeur&gt;&lt;Valeur name="idbanque"&gt;300760283626261100200EUR201902181074950400&lt;/Valeur&gt;&lt;Valeur name="datevaleur"&gt;2019/02/18&lt;/Valeur&gt;&lt;Valeur name="intitule"&gt;CB 454106 SHELL 3298  62RUMAUCOU&lt;/Valeur&gt;&lt;Valeur name="description"&gt;&lt;/Valeur&gt;&lt;Valeur name="compte"&gt;27&lt;/Valeur&gt;&lt;Valeur name="solde"&gt;-15305.62&lt;/Valeur&gt;&lt;Valeur name="ventiler"&gt;0&lt;/Valeur&gt;&lt;Valeur name="compta"&gt;1&lt;/Valeur&gt;&lt;Valeur name="valeur"&gt;9.5&lt;/Valeur&gt;&lt;/Insert&gt;</v>
      </c>
    </row>
    <row r="49" spans="1:40" x14ac:dyDescent="0.25">
      <c r="A49" t="s">
        <v>221</v>
      </c>
      <c r="B49">
        <v>41</v>
      </c>
      <c r="C49" s="1">
        <v>43514</v>
      </c>
      <c r="D49">
        <v>1</v>
      </c>
      <c r="E49" t="str">
        <f>IF(F49&lt;&gt;"",INDEX(Balance!A:A,MATCH(F49,Balance!B:B,0)),"")</f>
        <v>Depense</v>
      </c>
      <c r="F49" t="s">
        <v>254</v>
      </c>
      <c r="G49" t="s">
        <v>213</v>
      </c>
      <c r="I49" s="10">
        <v>19.7</v>
      </c>
      <c r="K49" s="11">
        <f t="shared" si="24"/>
        <v>3.2833333333333314</v>
      </c>
      <c r="L49" s="10">
        <f t="shared" si="25"/>
        <v>-15325.320000000003</v>
      </c>
      <c r="N49">
        <v>41</v>
      </c>
      <c r="O49">
        <v>1</v>
      </c>
      <c r="P49">
        <v>1</v>
      </c>
      <c r="Q49" t="str">
        <f t="shared" si="3"/>
        <v>300760283626261100200EUR201902181074950500</v>
      </c>
      <c r="R49" s="16" t="s">
        <v>878</v>
      </c>
      <c r="S49" t="str">
        <f t="shared" si="4"/>
        <v>CB 454106 BOULANGERIE 62ST LAURE</v>
      </c>
      <c r="U49">
        <f>IFERROR(VLOOKUP(F49,tab!A:B,2,FALSE),1)</f>
        <v>27</v>
      </c>
      <c r="V49" s="14">
        <f t="shared" si="5"/>
        <v>-15325.320000000003</v>
      </c>
      <c r="W49">
        <f t="shared" si="6"/>
        <v>0</v>
      </c>
      <c r="X49">
        <f t="shared" si="7"/>
        <v>1</v>
      </c>
      <c r="Y49" s="14">
        <f t="shared" si="8"/>
        <v>19.7</v>
      </c>
      <c r="AA49" t="str">
        <f t="shared" si="9"/>
        <v>&lt;Valeur name="no"&gt;41&lt;/Valeur&gt;</v>
      </c>
      <c r="AB49" t="str">
        <f t="shared" si="9"/>
        <v>&lt;Valeur name="banque"&gt;1&lt;/Valeur&gt;</v>
      </c>
      <c r="AC49" t="str">
        <f t="shared" si="11"/>
        <v>&lt;Valeur name="pointer"&gt;1&lt;/Valeur&gt;</v>
      </c>
      <c r="AD49" t="str">
        <f t="shared" si="12"/>
        <v>&lt;Valeur name="idbanque"&gt;300760283626261100200EUR201902181074950500&lt;/Valeur&gt;</v>
      </c>
      <c r="AE49" t="str">
        <f t="shared" si="13"/>
        <v>&lt;Valeur name="datevaleur"&gt;2019/02/18&lt;/Valeur&gt;</v>
      </c>
      <c r="AF49" t="str">
        <f t="shared" si="14"/>
        <v>&lt;Valeur name="intitule"&gt;CB 454106 BOULANGERIE 62ST LAURE&lt;/Valeur&gt;</v>
      </c>
      <c r="AG49" t="str">
        <f t="shared" si="15"/>
        <v>&lt;Valeur name="description"&gt;&lt;/Valeur&gt;</v>
      </c>
      <c r="AH49" t="str">
        <f t="shared" si="16"/>
        <v>&lt;Valeur name="compte"&gt;27&lt;/Valeur&gt;</v>
      </c>
      <c r="AI49" t="str">
        <f t="shared" si="17"/>
        <v>&lt;Valeur name="solde"&gt;-15325.32&lt;/Valeur&gt;</v>
      </c>
      <c r="AJ49" t="str">
        <f t="shared" si="18"/>
        <v>&lt;Valeur name="ventiler"&gt;0&lt;/Valeur&gt;</v>
      </c>
      <c r="AK49" t="str">
        <f t="shared" si="19"/>
        <v>&lt;Valeur name="compta"&gt;1&lt;/Valeur&gt;</v>
      </c>
      <c r="AL49" t="str">
        <f t="shared" si="20"/>
        <v>&lt;Valeur name="valeur"&gt;19.7&lt;/Valeur&gt;</v>
      </c>
      <c r="AN49" t="str">
        <f t="shared" si="10"/>
        <v>&lt;Insert&gt;&lt;Valeur name="no"&gt;41&lt;/Valeur&gt;&lt;Valeur name="banque"&gt;1&lt;/Valeur&gt;&lt;Valeur name="pointer"&gt;1&lt;/Valeur&gt;&lt;Valeur name="idbanque"&gt;300760283626261100200EUR201902181074950500&lt;/Valeur&gt;&lt;Valeur name="datevaleur"&gt;2019/02/18&lt;/Valeur&gt;&lt;Valeur name="intitule"&gt;CB 454106 BOULANGERIE 62ST LAURE&lt;/Valeur&gt;&lt;Valeur name="description"&gt;&lt;/Valeur&gt;&lt;Valeur name="compte"&gt;27&lt;/Valeur&gt;&lt;Valeur name="solde"&gt;-15325.32&lt;/Valeur&gt;&lt;Valeur name="ventiler"&gt;0&lt;/Valeur&gt;&lt;Valeur name="compta"&gt;1&lt;/Valeur&gt;&lt;Valeur name="valeur"&gt;19.7&lt;/Valeur&gt;&lt;/Insert&gt;</v>
      </c>
    </row>
    <row r="50" spans="1:40" x14ac:dyDescent="0.25">
      <c r="A50" t="s">
        <v>226</v>
      </c>
      <c r="B50">
        <v>42</v>
      </c>
      <c r="C50" s="1">
        <v>43514</v>
      </c>
      <c r="E50" t="str">
        <f>IF(F50&lt;&gt;"",INDEX(Balance!A:A,MATCH(F50,Balance!B:B,0)),"")</f>
        <v>Client</v>
      </c>
      <c r="F50" t="s">
        <v>378</v>
      </c>
      <c r="G50" t="s">
        <v>227</v>
      </c>
      <c r="H50" t="s">
        <v>228</v>
      </c>
      <c r="J50" s="10">
        <v>15785.51</v>
      </c>
      <c r="K50" s="11">
        <f t="shared" si="24"/>
        <v>-2630.9183333333331</v>
      </c>
      <c r="L50" s="10">
        <f t="shared" si="25"/>
        <v>460.18999999999687</v>
      </c>
      <c r="N50">
        <v>42</v>
      </c>
      <c r="O50">
        <v>1</v>
      </c>
      <c r="P50">
        <v>1</v>
      </c>
      <c r="Q50" t="str">
        <f t="shared" si="3"/>
        <v>300760283626261100200EUR201902186316855300</v>
      </c>
      <c r="R50" s="16" t="s">
        <v>878</v>
      </c>
      <c r="S50" t="str">
        <f t="shared" si="4"/>
        <v>VIR TRESORERIE HENIN BEAUMON / FAC. AF205-3 DU 30/11/2018SIT 3</v>
      </c>
      <c r="U50">
        <f>IFERROR(VLOOKUP(F50,tab!A:B,2,FALSE),1)</f>
        <v>6</v>
      </c>
      <c r="V50" s="14">
        <f t="shared" si="5"/>
        <v>460.18999999999687</v>
      </c>
      <c r="W50">
        <f t="shared" si="6"/>
        <v>0</v>
      </c>
      <c r="X50" t="str">
        <f t="shared" si="7"/>
        <v/>
      </c>
      <c r="Y50" s="14">
        <f t="shared" si="8"/>
        <v>15785.51</v>
      </c>
      <c r="AA50" t="str">
        <f t="shared" si="9"/>
        <v>&lt;Valeur name="no"&gt;42&lt;/Valeur&gt;</v>
      </c>
      <c r="AB50" t="str">
        <f t="shared" si="9"/>
        <v>&lt;Valeur name="banque"&gt;1&lt;/Valeur&gt;</v>
      </c>
      <c r="AC50" t="str">
        <f t="shared" si="11"/>
        <v>&lt;Valeur name="pointer"&gt;1&lt;/Valeur&gt;</v>
      </c>
      <c r="AD50" t="str">
        <f t="shared" si="12"/>
        <v>&lt;Valeur name="idbanque"&gt;300760283626261100200EUR201902186316855300&lt;/Valeur&gt;</v>
      </c>
      <c r="AE50" t="str">
        <f t="shared" si="13"/>
        <v>&lt;Valeur name="datevaleur"&gt;2019/02/18&lt;/Valeur&gt;</v>
      </c>
      <c r="AF50" t="str">
        <f t="shared" si="14"/>
        <v>&lt;Valeur name="intitule"&gt;VIR TRESORERIE HENIN BEAUMON / FAC. AF205-3 DU 30/11/2018SIT 3&lt;/Valeur&gt;</v>
      </c>
      <c r="AG50" t="str">
        <f t="shared" si="15"/>
        <v>&lt;Valeur name="description"&gt;&lt;/Valeur&gt;</v>
      </c>
      <c r="AH50" t="str">
        <f t="shared" si="16"/>
        <v>&lt;Valeur name="compte"&gt;6&lt;/Valeur&gt;</v>
      </c>
      <c r="AI50" t="str">
        <f t="shared" si="17"/>
        <v>&lt;Valeur name="solde"&gt;460.189999999997&lt;/Valeur&gt;</v>
      </c>
      <c r="AJ50" t="str">
        <f t="shared" si="18"/>
        <v>&lt;Valeur name="ventiler"&gt;0&lt;/Valeur&gt;</v>
      </c>
      <c r="AK50" t="str">
        <f t="shared" si="19"/>
        <v>&lt;Valeur name="compta"&gt;&lt;/Valeur&gt;</v>
      </c>
      <c r="AL50" t="str">
        <f t="shared" si="20"/>
        <v>&lt;Valeur name="valeur"&gt;15785.51&lt;/Valeur&gt;</v>
      </c>
      <c r="AN50" t="str">
        <f t="shared" si="10"/>
        <v>&lt;Insert&gt;&lt;Valeur name="no"&gt;42&lt;/Valeur&gt;&lt;Valeur name="banque"&gt;1&lt;/Valeur&gt;&lt;Valeur name="pointer"&gt;1&lt;/Valeur&gt;&lt;Valeur name="idbanque"&gt;300760283626261100200EUR201902186316855300&lt;/Valeur&gt;&lt;Valeur name="datevaleur"&gt;2019/02/18&lt;/Valeur&gt;&lt;Valeur name="intitule"&gt;VIR TRESORERIE HENIN BEAUMON / FAC. AF205-3 DU 30/11/2018SIT 3&lt;/Valeur&gt;&lt;Valeur name="description"&gt;&lt;/Valeur&gt;&lt;Valeur name="compte"&gt;6&lt;/Valeur&gt;&lt;Valeur name="solde"&gt;460.189999999997&lt;/Valeur&gt;&lt;Valeur name="ventiler"&gt;0&lt;/Valeur&gt;&lt;Valeur name="compta"&gt;&lt;/Valeur&gt;&lt;Valeur name="valeur"&gt;15785.51&lt;/Valeur&gt;&lt;/Insert&gt;</v>
      </c>
    </row>
    <row r="51" spans="1:40" x14ac:dyDescent="0.25">
      <c r="A51" t="s">
        <v>222</v>
      </c>
      <c r="B51">
        <v>43</v>
      </c>
      <c r="C51" s="1">
        <v>43514</v>
      </c>
      <c r="D51">
        <v>1</v>
      </c>
      <c r="E51" t="str">
        <f>IF(F51&lt;&gt;"",INDEX(Balance!A:A,MATCH(F51,Balance!B:B,0)),"")</f>
        <v>Depense</v>
      </c>
      <c r="F51" t="s">
        <v>269</v>
      </c>
      <c r="G51" t="s">
        <v>47</v>
      </c>
      <c r="H51" t="s">
        <v>223</v>
      </c>
      <c r="I51" s="10">
        <v>2671</v>
      </c>
      <c r="K51" s="11">
        <f t="shared" si="24"/>
        <v>445.16666666666652</v>
      </c>
      <c r="L51" s="10">
        <f t="shared" si="25"/>
        <v>-2210.8100000000031</v>
      </c>
      <c r="N51">
        <v>43</v>
      </c>
      <c r="O51">
        <v>1</v>
      </c>
      <c r="P51">
        <v>1</v>
      </c>
      <c r="Q51" t="str">
        <f t="shared" si="3"/>
        <v>300760283626261100200EUR201902186333935400</v>
      </c>
      <c r="R51" s="16" t="s">
        <v>878</v>
      </c>
      <c r="S51" t="str">
        <f t="shared" si="4"/>
        <v>PRLV SEPA URSSAF Nord-Pas-de-Cal / UR 317000001020473292    JANV197</v>
      </c>
      <c r="U51">
        <f>IFERROR(VLOOKUP(F51,tab!A:B,2,FALSE),1)</f>
        <v>14</v>
      </c>
      <c r="V51" s="14">
        <f t="shared" si="5"/>
        <v>-2210.8100000000031</v>
      </c>
      <c r="W51">
        <f t="shared" si="6"/>
        <v>0</v>
      </c>
      <c r="X51">
        <f t="shared" si="7"/>
        <v>1</v>
      </c>
      <c r="Y51" s="14">
        <f t="shared" si="8"/>
        <v>2671</v>
      </c>
      <c r="AA51" t="str">
        <f t="shared" si="9"/>
        <v>&lt;Valeur name="no"&gt;43&lt;/Valeur&gt;</v>
      </c>
      <c r="AB51" t="str">
        <f t="shared" si="9"/>
        <v>&lt;Valeur name="banque"&gt;1&lt;/Valeur&gt;</v>
      </c>
      <c r="AC51" t="str">
        <f t="shared" si="11"/>
        <v>&lt;Valeur name="pointer"&gt;1&lt;/Valeur&gt;</v>
      </c>
      <c r="AD51" t="str">
        <f t="shared" si="12"/>
        <v>&lt;Valeur name="idbanque"&gt;300760283626261100200EUR201902186333935400&lt;/Valeur&gt;</v>
      </c>
      <c r="AE51" t="str">
        <f t="shared" si="13"/>
        <v>&lt;Valeur name="datevaleur"&gt;2019/02/18&lt;/Valeur&gt;</v>
      </c>
      <c r="AF51" t="str">
        <f t="shared" si="14"/>
        <v>&lt;Valeur name="intitule"&gt;PRLV SEPA URSSAF Nord-Pas-de-Cal / UR 317000001020473292    JANV197&lt;/Valeur&gt;</v>
      </c>
      <c r="AG51" t="str">
        <f t="shared" si="15"/>
        <v>&lt;Valeur name="description"&gt;&lt;/Valeur&gt;</v>
      </c>
      <c r="AH51" t="str">
        <f t="shared" si="16"/>
        <v>&lt;Valeur name="compte"&gt;14&lt;/Valeur&gt;</v>
      </c>
      <c r="AI51" t="str">
        <f t="shared" si="17"/>
        <v>&lt;Valeur name="solde"&gt;-2210.81&lt;/Valeur&gt;</v>
      </c>
      <c r="AJ51" t="str">
        <f t="shared" si="18"/>
        <v>&lt;Valeur name="ventiler"&gt;0&lt;/Valeur&gt;</v>
      </c>
      <c r="AK51" t="str">
        <f t="shared" si="19"/>
        <v>&lt;Valeur name="compta"&gt;1&lt;/Valeur&gt;</v>
      </c>
      <c r="AL51" t="str">
        <f t="shared" si="20"/>
        <v>&lt;Valeur name="valeur"&gt;2671&lt;/Valeur&gt;</v>
      </c>
      <c r="AN51" t="str">
        <f t="shared" si="10"/>
        <v>&lt;Insert&gt;&lt;Valeur name="no"&gt;43&lt;/Valeur&gt;&lt;Valeur name="banque"&gt;1&lt;/Valeur&gt;&lt;Valeur name="pointer"&gt;1&lt;/Valeur&gt;&lt;Valeur name="idbanque"&gt;300760283626261100200EUR201902186333935400&lt;/Valeur&gt;&lt;Valeur name="datevaleur"&gt;2019/02/18&lt;/Valeur&gt;&lt;Valeur name="intitule"&gt;PRLV SEPA URSSAF Nord-Pas-de-Cal / UR 317000001020473292    JANV197&lt;/Valeur&gt;&lt;Valeur name="description"&gt;&lt;/Valeur&gt;&lt;Valeur name="compte"&gt;14&lt;/Valeur&gt;&lt;Valeur name="solde"&gt;-2210.81&lt;/Valeur&gt;&lt;Valeur name="ventiler"&gt;0&lt;/Valeur&gt;&lt;Valeur name="compta"&gt;1&lt;/Valeur&gt;&lt;Valeur name="valeur"&gt;2671&lt;/Valeur&gt;&lt;/Insert&gt;</v>
      </c>
    </row>
    <row r="52" spans="1:40" x14ac:dyDescent="0.25">
      <c r="A52" t="s">
        <v>215</v>
      </c>
      <c r="B52">
        <v>44</v>
      </c>
      <c r="C52" s="1">
        <v>43515</v>
      </c>
      <c r="D52">
        <v>1</v>
      </c>
      <c r="E52" t="str">
        <f>IF(F52&lt;&gt;"",INDEX(Balance!A:A,MATCH(F52,Balance!B:B,0)),"")</f>
        <v>Depense</v>
      </c>
      <c r="F52" t="s">
        <v>253</v>
      </c>
      <c r="G52" t="s">
        <v>142</v>
      </c>
      <c r="I52" s="10">
        <v>79.319999999999993</v>
      </c>
      <c r="K52" s="11">
        <f t="shared" si="24"/>
        <v>13.219999999999999</v>
      </c>
      <c r="L52" s="10">
        <f t="shared" si="25"/>
        <v>-2290.1300000000033</v>
      </c>
      <c r="N52">
        <v>44</v>
      </c>
      <c r="O52">
        <v>1</v>
      </c>
      <c r="P52">
        <v>1</v>
      </c>
      <c r="Q52" t="str">
        <f t="shared" si="3"/>
        <v>300760283626261100200EUR201902191078588800</v>
      </c>
      <c r="R52" s="16" t="s">
        <v>953</v>
      </c>
      <c r="S52" t="str">
        <f t="shared" si="4"/>
        <v>CB 454106 DAC SM MATC 59BAVAY</v>
      </c>
      <c r="U52">
        <f>IFERROR(VLOOKUP(F52,tab!A:B,2,FALSE),1)</f>
        <v>13</v>
      </c>
      <c r="V52" s="14">
        <f t="shared" si="5"/>
        <v>-2290.1300000000033</v>
      </c>
      <c r="W52">
        <f t="shared" si="6"/>
        <v>0</v>
      </c>
      <c r="X52">
        <f t="shared" si="7"/>
        <v>1</v>
      </c>
      <c r="Y52" s="14">
        <f t="shared" si="8"/>
        <v>79.319999999999993</v>
      </c>
      <c r="AA52" t="str">
        <f t="shared" si="9"/>
        <v>&lt;Valeur name="no"&gt;44&lt;/Valeur&gt;</v>
      </c>
      <c r="AB52" t="str">
        <f t="shared" si="9"/>
        <v>&lt;Valeur name="banque"&gt;1&lt;/Valeur&gt;</v>
      </c>
      <c r="AC52" t="str">
        <f t="shared" si="11"/>
        <v>&lt;Valeur name="pointer"&gt;1&lt;/Valeur&gt;</v>
      </c>
      <c r="AD52" t="str">
        <f t="shared" si="12"/>
        <v>&lt;Valeur name="idbanque"&gt;300760283626261100200EUR201902191078588800&lt;/Valeur&gt;</v>
      </c>
      <c r="AE52" t="str">
        <f t="shared" si="13"/>
        <v>&lt;Valeur name="datevaleur"&gt;2019/02/19&lt;/Valeur&gt;</v>
      </c>
      <c r="AF52" t="str">
        <f t="shared" si="14"/>
        <v>&lt;Valeur name="intitule"&gt;CB 454106 DAC SM MATC 59BAVAY&lt;/Valeur&gt;</v>
      </c>
      <c r="AG52" t="str">
        <f t="shared" si="15"/>
        <v>&lt;Valeur name="description"&gt;&lt;/Valeur&gt;</v>
      </c>
      <c r="AH52" t="str">
        <f t="shared" si="16"/>
        <v>&lt;Valeur name="compte"&gt;13&lt;/Valeur&gt;</v>
      </c>
      <c r="AI52" t="str">
        <f t="shared" si="17"/>
        <v>&lt;Valeur name="solde"&gt;-2290.13&lt;/Valeur&gt;</v>
      </c>
      <c r="AJ52" t="str">
        <f t="shared" si="18"/>
        <v>&lt;Valeur name="ventiler"&gt;0&lt;/Valeur&gt;</v>
      </c>
      <c r="AK52" t="str">
        <f t="shared" si="19"/>
        <v>&lt;Valeur name="compta"&gt;1&lt;/Valeur&gt;</v>
      </c>
      <c r="AL52" t="str">
        <f t="shared" si="20"/>
        <v>&lt;Valeur name="valeur"&gt;79.32&lt;/Valeur&gt;</v>
      </c>
      <c r="AN52" t="str">
        <f t="shared" si="10"/>
        <v>&lt;Insert&gt;&lt;Valeur name="no"&gt;44&lt;/Valeur&gt;&lt;Valeur name="banque"&gt;1&lt;/Valeur&gt;&lt;Valeur name="pointer"&gt;1&lt;/Valeur&gt;&lt;Valeur name="idbanque"&gt;300760283626261100200EUR201902191078588800&lt;/Valeur&gt;&lt;Valeur name="datevaleur"&gt;2019/02/19&lt;/Valeur&gt;&lt;Valeur name="intitule"&gt;CB 454106 DAC SM MATC 59BAVAY&lt;/Valeur&gt;&lt;Valeur name="description"&gt;&lt;/Valeur&gt;&lt;Valeur name="compte"&gt;13&lt;/Valeur&gt;&lt;Valeur name="solde"&gt;-2290.13&lt;/Valeur&gt;&lt;Valeur name="ventiler"&gt;0&lt;/Valeur&gt;&lt;Valeur name="compta"&gt;1&lt;/Valeur&gt;&lt;Valeur name="valeur"&gt;79.32&lt;/Valeur&gt;&lt;/Insert&gt;</v>
      </c>
    </row>
    <row r="53" spans="1:40" x14ac:dyDescent="0.25">
      <c r="A53" t="s">
        <v>214</v>
      </c>
      <c r="B53">
        <v>45</v>
      </c>
      <c r="C53" s="1">
        <v>43515</v>
      </c>
      <c r="D53">
        <v>1</v>
      </c>
      <c r="E53" t="str">
        <f>IF(F53&lt;&gt;"",INDEX(Balance!A:A,MATCH(F53,Balance!B:B,0)),"")</f>
        <v>Depense</v>
      </c>
      <c r="F53" t="s">
        <v>257</v>
      </c>
      <c r="G53" t="s">
        <v>31</v>
      </c>
      <c r="I53" s="10">
        <v>0.21</v>
      </c>
      <c r="K53" s="11">
        <f t="shared" si="24"/>
        <v>3.5000000000000003E-2</v>
      </c>
      <c r="L53" s="10">
        <f t="shared" si="25"/>
        <v>-2290.3400000000033</v>
      </c>
      <c r="N53">
        <v>45</v>
      </c>
      <c r="O53">
        <v>1</v>
      </c>
      <c r="P53">
        <v>1</v>
      </c>
      <c r="Q53" t="str">
        <f t="shared" si="3"/>
        <v>300760283626261100200EUR201902199224398500</v>
      </c>
      <c r="R53" s="16" t="s">
        <v>953</v>
      </c>
      <c r="S53" t="str">
        <f t="shared" si="4"/>
        <v>FRAIS E-VIR SEPA VERS EEE</v>
      </c>
      <c r="U53">
        <f>IFERROR(VLOOKUP(F53,tab!A:B,2,FALSE),1)</f>
        <v>18</v>
      </c>
      <c r="V53" s="14">
        <f t="shared" si="5"/>
        <v>-2290.3400000000033</v>
      </c>
      <c r="W53">
        <f t="shared" si="6"/>
        <v>0</v>
      </c>
      <c r="X53">
        <f t="shared" si="7"/>
        <v>1</v>
      </c>
      <c r="Y53" s="14">
        <f t="shared" si="8"/>
        <v>0.21</v>
      </c>
      <c r="AA53" t="str">
        <f t="shared" si="9"/>
        <v>&lt;Valeur name="no"&gt;45&lt;/Valeur&gt;</v>
      </c>
      <c r="AB53" t="str">
        <f t="shared" si="9"/>
        <v>&lt;Valeur name="banque"&gt;1&lt;/Valeur&gt;</v>
      </c>
      <c r="AC53" t="str">
        <f t="shared" si="11"/>
        <v>&lt;Valeur name="pointer"&gt;1&lt;/Valeur&gt;</v>
      </c>
      <c r="AD53" t="str">
        <f t="shared" si="12"/>
        <v>&lt;Valeur name="idbanque"&gt;300760283626261100200EUR201902199224398500&lt;/Valeur&gt;</v>
      </c>
      <c r="AE53" t="str">
        <f t="shared" si="13"/>
        <v>&lt;Valeur name="datevaleur"&gt;2019/02/19&lt;/Valeur&gt;</v>
      </c>
      <c r="AF53" t="str">
        <f t="shared" si="14"/>
        <v>&lt;Valeur name="intitule"&gt;FRAIS E-VIR SEPA VERS EEE&lt;/Valeur&gt;</v>
      </c>
      <c r="AG53" t="str">
        <f t="shared" si="15"/>
        <v>&lt;Valeur name="description"&gt;&lt;/Valeur&gt;</v>
      </c>
      <c r="AH53" t="str">
        <f t="shared" si="16"/>
        <v>&lt;Valeur name="compte"&gt;18&lt;/Valeur&gt;</v>
      </c>
      <c r="AI53" t="str">
        <f t="shared" si="17"/>
        <v>&lt;Valeur name="solde"&gt;-2290.34&lt;/Valeur&gt;</v>
      </c>
      <c r="AJ53" t="str">
        <f t="shared" si="18"/>
        <v>&lt;Valeur name="ventiler"&gt;0&lt;/Valeur&gt;</v>
      </c>
      <c r="AK53" t="str">
        <f t="shared" si="19"/>
        <v>&lt;Valeur name="compta"&gt;1&lt;/Valeur&gt;</v>
      </c>
      <c r="AL53" t="str">
        <f t="shared" si="20"/>
        <v>&lt;Valeur name="valeur"&gt;0.21&lt;/Valeur&gt;</v>
      </c>
      <c r="AN53" t="str">
        <f t="shared" si="10"/>
        <v>&lt;Insert&gt;&lt;Valeur name="no"&gt;45&lt;/Valeur&gt;&lt;Valeur name="banque"&gt;1&lt;/Valeur&gt;&lt;Valeur name="pointer"&gt;1&lt;/Valeur&gt;&lt;Valeur name="idbanque"&gt;300760283626261100200EUR201902199224398500&lt;/Valeur&gt;&lt;Valeur name="datevaleur"&gt;2019/02/19&lt;/Valeur&gt;&lt;Valeur name="intitule"&gt;FRAIS E-VIR SEPA VERS EEE&lt;/Valeur&gt;&lt;Valeur name="description"&gt;&lt;/Valeur&gt;&lt;Valeur name="compte"&gt;18&lt;/Valeur&gt;&lt;Valeur name="solde"&gt;-2290.34&lt;/Valeur&gt;&lt;Valeur name="ventiler"&gt;0&lt;/Valeur&gt;&lt;Valeur name="compta"&gt;1&lt;/Valeur&gt;&lt;Valeur name="valeur"&gt;0.21&lt;/Valeur&gt;&lt;/Insert&gt;</v>
      </c>
    </row>
    <row r="54" spans="1:40" x14ac:dyDescent="0.25">
      <c r="A54" t="s">
        <v>199</v>
      </c>
      <c r="B54">
        <v>46</v>
      </c>
      <c r="C54" s="1">
        <v>43516</v>
      </c>
      <c r="E54" t="str">
        <f>IF(F54&lt;&gt;"",INDEX(Balance!A:A,MATCH(F54,Balance!B:B,0)),"")</f>
        <v>Fournisseurs</v>
      </c>
      <c r="F54" t="s">
        <v>282</v>
      </c>
      <c r="G54" t="s">
        <v>200</v>
      </c>
      <c r="I54" s="10">
        <v>19.78</v>
      </c>
      <c r="K54" s="11">
        <f t="shared" si="24"/>
        <v>3.2966666666666669</v>
      </c>
      <c r="L54" s="10">
        <f t="shared" si="25"/>
        <v>-2310.1200000000035</v>
      </c>
      <c r="N54">
        <v>46</v>
      </c>
      <c r="O54">
        <v>1</v>
      </c>
      <c r="P54">
        <v>1</v>
      </c>
      <c r="Q54" t="str">
        <f t="shared" si="3"/>
        <v>300760283626261100200EUR201902200292338400</v>
      </c>
      <c r="R54" s="16" t="s">
        <v>900</v>
      </c>
      <c r="S54" t="str">
        <f t="shared" si="4"/>
        <v>E-VIR SEPA LeLorrain buse chalum</v>
      </c>
      <c r="U54">
        <f>IFERROR(VLOOKUP(F54,tab!A:B,2,FALSE),1)</f>
        <v>82</v>
      </c>
      <c r="V54" s="14">
        <f t="shared" si="5"/>
        <v>-2310.1200000000035</v>
      </c>
      <c r="W54">
        <f t="shared" si="6"/>
        <v>0</v>
      </c>
      <c r="X54" t="str">
        <f t="shared" si="7"/>
        <v/>
      </c>
      <c r="Y54" s="14">
        <f t="shared" si="8"/>
        <v>19.78</v>
      </c>
      <c r="AA54" t="str">
        <f t="shared" si="9"/>
        <v>&lt;Valeur name="no"&gt;46&lt;/Valeur&gt;</v>
      </c>
      <c r="AB54" t="str">
        <f t="shared" si="9"/>
        <v>&lt;Valeur name="banque"&gt;1&lt;/Valeur&gt;</v>
      </c>
      <c r="AC54" t="str">
        <f t="shared" si="11"/>
        <v>&lt;Valeur name="pointer"&gt;1&lt;/Valeur&gt;</v>
      </c>
      <c r="AD54" t="str">
        <f t="shared" si="12"/>
        <v>&lt;Valeur name="idbanque"&gt;300760283626261100200EUR201902200292338400&lt;/Valeur&gt;</v>
      </c>
      <c r="AE54" t="str">
        <f t="shared" si="13"/>
        <v>&lt;Valeur name="datevaleur"&gt;2019/02/20&lt;/Valeur&gt;</v>
      </c>
      <c r="AF54" t="str">
        <f t="shared" si="14"/>
        <v>&lt;Valeur name="intitule"&gt;E-VIR SEPA LeLorrain buse chalum&lt;/Valeur&gt;</v>
      </c>
      <c r="AG54" t="str">
        <f t="shared" si="15"/>
        <v>&lt;Valeur name="description"&gt;&lt;/Valeur&gt;</v>
      </c>
      <c r="AH54" t="str">
        <f t="shared" si="16"/>
        <v>&lt;Valeur name="compte"&gt;82&lt;/Valeur&gt;</v>
      </c>
      <c r="AI54" t="str">
        <f t="shared" si="17"/>
        <v>&lt;Valeur name="solde"&gt;-2310.12&lt;/Valeur&gt;</v>
      </c>
      <c r="AJ54" t="str">
        <f t="shared" si="18"/>
        <v>&lt;Valeur name="ventiler"&gt;0&lt;/Valeur&gt;</v>
      </c>
      <c r="AK54" t="str">
        <f t="shared" si="19"/>
        <v>&lt;Valeur name="compta"&gt;&lt;/Valeur&gt;</v>
      </c>
      <c r="AL54" t="str">
        <f t="shared" si="20"/>
        <v>&lt;Valeur name="valeur"&gt;19.78&lt;/Valeur&gt;</v>
      </c>
      <c r="AN54" t="str">
        <f t="shared" si="10"/>
        <v>&lt;Insert&gt;&lt;Valeur name="no"&gt;46&lt;/Valeur&gt;&lt;Valeur name="banque"&gt;1&lt;/Valeur&gt;&lt;Valeur name="pointer"&gt;1&lt;/Valeur&gt;&lt;Valeur name="idbanque"&gt;300760283626261100200EUR201902200292338400&lt;/Valeur&gt;&lt;Valeur name="datevaleur"&gt;2019/02/20&lt;/Valeur&gt;&lt;Valeur name="intitule"&gt;E-VIR SEPA LeLorrain buse chalum&lt;/Valeur&gt;&lt;Valeur name="description"&gt;&lt;/Valeur&gt;&lt;Valeur name="compte"&gt;82&lt;/Valeur&gt;&lt;Valeur name="solde"&gt;-2310.12&lt;/Valeur&gt;&lt;Valeur name="ventiler"&gt;0&lt;/Valeur&gt;&lt;Valeur name="compta"&gt;&lt;/Valeur&gt;&lt;Valeur name="valeur"&gt;19.78&lt;/Valeur&gt;&lt;/Insert&gt;</v>
      </c>
    </row>
    <row r="55" spans="1:40" x14ac:dyDescent="0.25">
      <c r="A55" t="s">
        <v>207</v>
      </c>
      <c r="B55">
        <v>47</v>
      </c>
      <c r="C55" s="1">
        <v>43516</v>
      </c>
      <c r="E55" t="str">
        <f>IF(F55&lt;&gt;"",INDEX(Balance!A:A,MATCH(F55,Balance!B:B,0)),"")</f>
        <v>Fournisseurs</v>
      </c>
      <c r="F55" t="s">
        <v>371</v>
      </c>
      <c r="G55" t="s">
        <v>204</v>
      </c>
      <c r="I55" s="10">
        <v>468</v>
      </c>
      <c r="K55" s="11">
        <f t="shared" si="24"/>
        <v>78</v>
      </c>
      <c r="L55" s="10">
        <f t="shared" si="25"/>
        <v>-2778.1200000000035</v>
      </c>
      <c r="N55">
        <v>47</v>
      </c>
      <c r="O55">
        <v>1</v>
      </c>
      <c r="P55">
        <v>1</v>
      </c>
      <c r="Q55" t="str">
        <f t="shared" si="3"/>
        <v>300760283626261100200EUR201902200292338500</v>
      </c>
      <c r="R55" s="16" t="s">
        <v>900</v>
      </c>
      <c r="S55" t="str">
        <f t="shared" si="4"/>
        <v>E-VIR SEPA TSR Loc poste</v>
      </c>
      <c r="U55">
        <f>IFERROR(VLOOKUP(F55,tab!A:B,2,FALSE),1)</f>
        <v>116</v>
      </c>
      <c r="V55" s="14">
        <f t="shared" si="5"/>
        <v>-2778.1200000000035</v>
      </c>
      <c r="W55">
        <f t="shared" si="6"/>
        <v>0</v>
      </c>
      <c r="X55" t="str">
        <f t="shared" si="7"/>
        <v/>
      </c>
      <c r="Y55" s="14">
        <f t="shared" si="8"/>
        <v>468</v>
      </c>
      <c r="AA55" t="str">
        <f t="shared" si="9"/>
        <v>&lt;Valeur name="no"&gt;47&lt;/Valeur&gt;</v>
      </c>
      <c r="AB55" t="str">
        <f t="shared" si="9"/>
        <v>&lt;Valeur name="banque"&gt;1&lt;/Valeur&gt;</v>
      </c>
      <c r="AC55" t="str">
        <f t="shared" si="11"/>
        <v>&lt;Valeur name="pointer"&gt;1&lt;/Valeur&gt;</v>
      </c>
      <c r="AD55" t="str">
        <f t="shared" si="12"/>
        <v>&lt;Valeur name="idbanque"&gt;300760283626261100200EUR201902200292338500&lt;/Valeur&gt;</v>
      </c>
      <c r="AE55" t="str">
        <f t="shared" si="13"/>
        <v>&lt;Valeur name="datevaleur"&gt;2019/02/20&lt;/Valeur&gt;</v>
      </c>
      <c r="AF55" t="str">
        <f t="shared" si="14"/>
        <v>&lt;Valeur name="intitule"&gt;E-VIR SEPA TSR Loc poste&lt;/Valeur&gt;</v>
      </c>
      <c r="AG55" t="str">
        <f t="shared" si="15"/>
        <v>&lt;Valeur name="description"&gt;&lt;/Valeur&gt;</v>
      </c>
      <c r="AH55" t="str">
        <f t="shared" si="16"/>
        <v>&lt;Valeur name="compte"&gt;116&lt;/Valeur&gt;</v>
      </c>
      <c r="AI55" t="str">
        <f t="shared" si="17"/>
        <v>&lt;Valeur name="solde"&gt;-2778.12&lt;/Valeur&gt;</v>
      </c>
      <c r="AJ55" t="str">
        <f t="shared" si="18"/>
        <v>&lt;Valeur name="ventiler"&gt;0&lt;/Valeur&gt;</v>
      </c>
      <c r="AK55" t="str">
        <f t="shared" si="19"/>
        <v>&lt;Valeur name="compta"&gt;&lt;/Valeur&gt;</v>
      </c>
      <c r="AL55" t="str">
        <f t="shared" si="20"/>
        <v>&lt;Valeur name="valeur"&gt;468&lt;/Valeur&gt;</v>
      </c>
      <c r="AN55" t="str">
        <f t="shared" si="10"/>
        <v>&lt;Insert&gt;&lt;Valeur name="no"&gt;47&lt;/Valeur&gt;&lt;Valeur name="banque"&gt;1&lt;/Valeur&gt;&lt;Valeur name="pointer"&gt;1&lt;/Valeur&gt;&lt;Valeur name="idbanque"&gt;300760283626261100200EUR201902200292338500&lt;/Valeur&gt;&lt;Valeur name="datevaleur"&gt;2019/02/20&lt;/Valeur&gt;&lt;Valeur name="intitule"&gt;E-VIR SEPA TSR Loc poste&lt;/Valeur&gt;&lt;Valeur name="description"&gt;&lt;/Valeur&gt;&lt;Valeur name="compte"&gt;116&lt;/Valeur&gt;&lt;Valeur name="solde"&gt;-2778.12&lt;/Valeur&gt;&lt;Valeur name="ventiler"&gt;0&lt;/Valeur&gt;&lt;Valeur name="compta"&gt;&lt;/Valeur&gt;&lt;Valeur name="valeur"&gt;468&lt;/Valeur&gt;&lt;/Insert&gt;</v>
      </c>
    </row>
    <row r="56" spans="1:40" x14ac:dyDescent="0.25">
      <c r="A56" t="s">
        <v>203</v>
      </c>
      <c r="B56">
        <v>48</v>
      </c>
      <c r="C56" s="1">
        <v>43516</v>
      </c>
      <c r="E56" t="str">
        <f>IF(F56&lt;&gt;"",INDEX(Balance!A:A,MATCH(F56,Balance!B:B,0)),"")</f>
        <v>Fournisseurs</v>
      </c>
      <c r="F56" t="s">
        <v>371</v>
      </c>
      <c r="G56" t="s">
        <v>204</v>
      </c>
      <c r="I56" s="10">
        <v>202.8</v>
      </c>
      <c r="K56" s="11">
        <f t="shared" si="24"/>
        <v>33.799999999999983</v>
      </c>
      <c r="L56" s="10">
        <f t="shared" si="25"/>
        <v>-2980.9200000000037</v>
      </c>
      <c r="N56">
        <v>48</v>
      </c>
      <c r="O56">
        <v>1</v>
      </c>
      <c r="P56">
        <v>1</v>
      </c>
      <c r="Q56" t="str">
        <f t="shared" si="3"/>
        <v>300760283626261100200EUR201902200292338600</v>
      </c>
      <c r="R56" s="16" t="s">
        <v>900</v>
      </c>
      <c r="S56" t="str">
        <f t="shared" si="4"/>
        <v>E-VIR SEPA TSR Loc poste</v>
      </c>
      <c r="U56">
        <f>IFERROR(VLOOKUP(F56,tab!A:B,2,FALSE),1)</f>
        <v>116</v>
      </c>
      <c r="V56" s="14">
        <f t="shared" si="5"/>
        <v>-2980.9200000000037</v>
      </c>
      <c r="W56">
        <f t="shared" si="6"/>
        <v>0</v>
      </c>
      <c r="X56" t="str">
        <f t="shared" si="7"/>
        <v/>
      </c>
      <c r="Y56" s="14">
        <f t="shared" si="8"/>
        <v>202.8</v>
      </c>
      <c r="AA56" t="str">
        <f t="shared" si="9"/>
        <v>&lt;Valeur name="no"&gt;48&lt;/Valeur&gt;</v>
      </c>
      <c r="AB56" t="str">
        <f t="shared" si="9"/>
        <v>&lt;Valeur name="banque"&gt;1&lt;/Valeur&gt;</v>
      </c>
      <c r="AC56" t="str">
        <f t="shared" si="11"/>
        <v>&lt;Valeur name="pointer"&gt;1&lt;/Valeur&gt;</v>
      </c>
      <c r="AD56" t="str">
        <f t="shared" si="12"/>
        <v>&lt;Valeur name="idbanque"&gt;300760283626261100200EUR201902200292338600&lt;/Valeur&gt;</v>
      </c>
      <c r="AE56" t="str">
        <f t="shared" si="13"/>
        <v>&lt;Valeur name="datevaleur"&gt;2019/02/20&lt;/Valeur&gt;</v>
      </c>
      <c r="AF56" t="str">
        <f t="shared" si="14"/>
        <v>&lt;Valeur name="intitule"&gt;E-VIR SEPA TSR Loc poste&lt;/Valeur&gt;</v>
      </c>
      <c r="AG56" t="str">
        <f t="shared" si="15"/>
        <v>&lt;Valeur name="description"&gt;&lt;/Valeur&gt;</v>
      </c>
      <c r="AH56" t="str">
        <f t="shared" si="16"/>
        <v>&lt;Valeur name="compte"&gt;116&lt;/Valeur&gt;</v>
      </c>
      <c r="AI56" t="str">
        <f t="shared" si="17"/>
        <v>&lt;Valeur name="solde"&gt;-2980.92&lt;/Valeur&gt;</v>
      </c>
      <c r="AJ56" t="str">
        <f t="shared" si="18"/>
        <v>&lt;Valeur name="ventiler"&gt;0&lt;/Valeur&gt;</v>
      </c>
      <c r="AK56" t="str">
        <f t="shared" si="19"/>
        <v>&lt;Valeur name="compta"&gt;&lt;/Valeur&gt;</v>
      </c>
      <c r="AL56" t="str">
        <f t="shared" si="20"/>
        <v>&lt;Valeur name="valeur"&gt;202.8&lt;/Valeur&gt;</v>
      </c>
      <c r="AN56" t="str">
        <f t="shared" si="10"/>
        <v>&lt;Insert&gt;&lt;Valeur name="no"&gt;48&lt;/Valeur&gt;&lt;Valeur name="banque"&gt;1&lt;/Valeur&gt;&lt;Valeur name="pointer"&gt;1&lt;/Valeur&gt;&lt;Valeur name="idbanque"&gt;300760283626261100200EUR201902200292338600&lt;/Valeur&gt;&lt;Valeur name="datevaleur"&gt;2019/02/20&lt;/Valeur&gt;&lt;Valeur name="intitule"&gt;E-VIR SEPA TSR Loc poste&lt;/Valeur&gt;&lt;Valeur name="description"&gt;&lt;/Valeur&gt;&lt;Valeur name="compte"&gt;116&lt;/Valeur&gt;&lt;Valeur name="solde"&gt;-2980.92&lt;/Valeur&gt;&lt;Valeur name="ventiler"&gt;0&lt;/Valeur&gt;&lt;Valeur name="compta"&gt;&lt;/Valeur&gt;&lt;Valeur name="valeur"&gt;202.8&lt;/Valeur&gt;&lt;/Insert&gt;</v>
      </c>
    </row>
    <row r="57" spans="1:40" x14ac:dyDescent="0.25">
      <c r="A57" t="s">
        <v>201</v>
      </c>
      <c r="B57">
        <v>49</v>
      </c>
      <c r="C57" s="1">
        <v>43516</v>
      </c>
      <c r="D57">
        <v>1</v>
      </c>
      <c r="E57" t="str">
        <f>IF(F57&lt;&gt;"",INDEX(Balance!A:A,MATCH(F57,Balance!B:B,0)),"")</f>
        <v>Fournisseurs</v>
      </c>
      <c r="F57" t="s">
        <v>357</v>
      </c>
      <c r="G57" t="s">
        <v>202</v>
      </c>
      <c r="I57" s="10">
        <v>142.9</v>
      </c>
      <c r="K57" s="11">
        <f t="shared" si="24"/>
        <v>23.816666666666663</v>
      </c>
      <c r="L57" s="10">
        <f t="shared" si="25"/>
        <v>-3123.8200000000038</v>
      </c>
      <c r="N57">
        <v>49</v>
      </c>
      <c r="O57">
        <v>1</v>
      </c>
      <c r="P57">
        <v>1</v>
      </c>
      <c r="Q57" t="str">
        <f t="shared" si="3"/>
        <v>300760283626261100200EUR201902200292338700</v>
      </c>
      <c r="R57" s="16" t="s">
        <v>900</v>
      </c>
      <c r="S57" t="str">
        <f t="shared" si="4"/>
        <v>E-VIR SEPA PRORATA 5 VdS</v>
      </c>
      <c r="U57">
        <f>IFERROR(VLOOKUP(F57,tab!A:B,2,FALSE),1)</f>
        <v>50</v>
      </c>
      <c r="V57" s="14">
        <f t="shared" si="5"/>
        <v>-3123.8200000000038</v>
      </c>
      <c r="W57">
        <f t="shared" si="6"/>
        <v>0</v>
      </c>
      <c r="X57">
        <f t="shared" si="7"/>
        <v>1</v>
      </c>
      <c r="Y57" s="14">
        <f t="shared" si="8"/>
        <v>142.9</v>
      </c>
      <c r="AA57" t="str">
        <f t="shared" si="9"/>
        <v>&lt;Valeur name="no"&gt;49&lt;/Valeur&gt;</v>
      </c>
      <c r="AB57" t="str">
        <f t="shared" si="9"/>
        <v>&lt;Valeur name="banque"&gt;1&lt;/Valeur&gt;</v>
      </c>
      <c r="AC57" t="str">
        <f t="shared" si="11"/>
        <v>&lt;Valeur name="pointer"&gt;1&lt;/Valeur&gt;</v>
      </c>
      <c r="AD57" t="str">
        <f t="shared" si="12"/>
        <v>&lt;Valeur name="idbanque"&gt;300760283626261100200EUR201902200292338700&lt;/Valeur&gt;</v>
      </c>
      <c r="AE57" t="str">
        <f t="shared" si="13"/>
        <v>&lt;Valeur name="datevaleur"&gt;2019/02/20&lt;/Valeur&gt;</v>
      </c>
      <c r="AF57" t="str">
        <f t="shared" si="14"/>
        <v>&lt;Valeur name="intitule"&gt;E-VIR SEPA PRORATA 5 VdS&lt;/Valeur&gt;</v>
      </c>
      <c r="AG57" t="str">
        <f t="shared" si="15"/>
        <v>&lt;Valeur name="description"&gt;&lt;/Valeur&gt;</v>
      </c>
      <c r="AH57" t="str">
        <f t="shared" si="16"/>
        <v>&lt;Valeur name="compte"&gt;50&lt;/Valeur&gt;</v>
      </c>
      <c r="AI57" t="str">
        <f t="shared" si="17"/>
        <v>&lt;Valeur name="solde"&gt;-3123.82&lt;/Valeur&gt;</v>
      </c>
      <c r="AJ57" t="str">
        <f t="shared" si="18"/>
        <v>&lt;Valeur name="ventiler"&gt;0&lt;/Valeur&gt;</v>
      </c>
      <c r="AK57" t="str">
        <f t="shared" si="19"/>
        <v>&lt;Valeur name="compta"&gt;1&lt;/Valeur&gt;</v>
      </c>
      <c r="AL57" t="str">
        <f t="shared" si="20"/>
        <v>&lt;Valeur name="valeur"&gt;142.9&lt;/Valeur&gt;</v>
      </c>
      <c r="AN57" t="str">
        <f t="shared" si="10"/>
        <v>&lt;Insert&gt;&lt;Valeur name="no"&gt;49&lt;/Valeur&gt;&lt;Valeur name="banque"&gt;1&lt;/Valeur&gt;&lt;Valeur name="pointer"&gt;1&lt;/Valeur&gt;&lt;Valeur name="idbanque"&gt;300760283626261100200EUR201902200292338700&lt;/Valeur&gt;&lt;Valeur name="datevaleur"&gt;2019/02/20&lt;/Valeur&gt;&lt;Valeur name="intitule"&gt;E-VIR SEPA PRORATA 5 VdS&lt;/Valeur&gt;&lt;Valeur name="description"&gt;&lt;/Valeur&gt;&lt;Valeur name="compte"&gt;50&lt;/Valeur&gt;&lt;Valeur name="solde"&gt;-3123.82&lt;/Valeur&gt;&lt;Valeur name="ventiler"&gt;0&lt;/Valeur&gt;&lt;Valeur name="compta"&gt;1&lt;/Valeur&gt;&lt;Valeur name="valeur"&gt;142.9&lt;/Valeur&gt;&lt;/Insert&gt;</v>
      </c>
    </row>
    <row r="58" spans="1:40" x14ac:dyDescent="0.25">
      <c r="A58" t="s">
        <v>205</v>
      </c>
      <c r="B58">
        <v>50</v>
      </c>
      <c r="C58" s="1">
        <v>43516</v>
      </c>
      <c r="D58">
        <v>1</v>
      </c>
      <c r="E58" t="str">
        <f>IF(F58&lt;&gt;"",INDEX(Balance!A:A,MATCH(F58,Balance!B:B,0)),"")</f>
        <v>Fournisseurs</v>
      </c>
      <c r="F58" t="s">
        <v>357</v>
      </c>
      <c r="G58" t="s">
        <v>206</v>
      </c>
      <c r="I58" s="10">
        <v>266.95</v>
      </c>
      <c r="K58" s="11">
        <f t="shared" si="24"/>
        <v>44.491666666666646</v>
      </c>
      <c r="L58" s="10">
        <f t="shared" si="25"/>
        <v>-3390.7700000000036</v>
      </c>
      <c r="N58">
        <v>50</v>
      </c>
      <c r="O58">
        <v>1</v>
      </c>
      <c r="P58">
        <v>1</v>
      </c>
      <c r="Q58" t="str">
        <f t="shared" si="3"/>
        <v>300760283626261100200EUR201902200292338800</v>
      </c>
      <c r="R58" s="16" t="s">
        <v>900</v>
      </c>
      <c r="S58" t="str">
        <f t="shared" si="4"/>
        <v>E-VIR SEPA PRORATA Solde VdS</v>
      </c>
      <c r="U58">
        <f>IFERROR(VLOOKUP(F58,tab!A:B,2,FALSE),1)</f>
        <v>50</v>
      </c>
      <c r="V58" s="14">
        <f t="shared" si="5"/>
        <v>-3390.7700000000036</v>
      </c>
      <c r="W58">
        <f t="shared" si="6"/>
        <v>0</v>
      </c>
      <c r="X58">
        <f t="shared" si="7"/>
        <v>1</v>
      </c>
      <c r="Y58" s="14">
        <f t="shared" si="8"/>
        <v>266.95</v>
      </c>
      <c r="AA58" t="str">
        <f t="shared" si="9"/>
        <v>&lt;Valeur name="no"&gt;50&lt;/Valeur&gt;</v>
      </c>
      <c r="AB58" t="str">
        <f t="shared" si="9"/>
        <v>&lt;Valeur name="banque"&gt;1&lt;/Valeur&gt;</v>
      </c>
      <c r="AC58" t="str">
        <f t="shared" si="11"/>
        <v>&lt;Valeur name="pointer"&gt;1&lt;/Valeur&gt;</v>
      </c>
      <c r="AD58" t="str">
        <f t="shared" si="12"/>
        <v>&lt;Valeur name="idbanque"&gt;300760283626261100200EUR201902200292338800&lt;/Valeur&gt;</v>
      </c>
      <c r="AE58" t="str">
        <f t="shared" si="13"/>
        <v>&lt;Valeur name="datevaleur"&gt;2019/02/20&lt;/Valeur&gt;</v>
      </c>
      <c r="AF58" t="str">
        <f t="shared" si="14"/>
        <v>&lt;Valeur name="intitule"&gt;E-VIR SEPA PRORATA Solde VdS&lt;/Valeur&gt;</v>
      </c>
      <c r="AG58" t="str">
        <f t="shared" si="15"/>
        <v>&lt;Valeur name="description"&gt;&lt;/Valeur&gt;</v>
      </c>
      <c r="AH58" t="str">
        <f t="shared" si="16"/>
        <v>&lt;Valeur name="compte"&gt;50&lt;/Valeur&gt;</v>
      </c>
      <c r="AI58" t="str">
        <f t="shared" si="17"/>
        <v>&lt;Valeur name="solde"&gt;-3390.77&lt;/Valeur&gt;</v>
      </c>
      <c r="AJ58" t="str">
        <f t="shared" si="18"/>
        <v>&lt;Valeur name="ventiler"&gt;0&lt;/Valeur&gt;</v>
      </c>
      <c r="AK58" t="str">
        <f t="shared" si="19"/>
        <v>&lt;Valeur name="compta"&gt;1&lt;/Valeur&gt;</v>
      </c>
      <c r="AL58" t="str">
        <f t="shared" si="20"/>
        <v>&lt;Valeur name="valeur"&gt;266.95&lt;/Valeur&gt;</v>
      </c>
      <c r="AN58" t="str">
        <f t="shared" si="10"/>
        <v>&lt;Insert&gt;&lt;Valeur name="no"&gt;50&lt;/Valeur&gt;&lt;Valeur name="banque"&gt;1&lt;/Valeur&gt;&lt;Valeur name="pointer"&gt;1&lt;/Valeur&gt;&lt;Valeur name="idbanque"&gt;300760283626261100200EUR201902200292338800&lt;/Valeur&gt;&lt;Valeur name="datevaleur"&gt;2019/02/20&lt;/Valeur&gt;&lt;Valeur name="intitule"&gt;E-VIR SEPA PRORATA Solde VdS&lt;/Valeur&gt;&lt;Valeur name="description"&gt;&lt;/Valeur&gt;&lt;Valeur name="compte"&gt;50&lt;/Valeur&gt;&lt;Valeur name="solde"&gt;-3390.77&lt;/Valeur&gt;&lt;Valeur name="ventiler"&gt;0&lt;/Valeur&gt;&lt;Valeur name="compta"&gt;1&lt;/Valeur&gt;&lt;Valeur name="valeur"&gt;266.95&lt;/Valeur&gt;&lt;/Insert&gt;</v>
      </c>
    </row>
    <row r="59" spans="1:40" x14ac:dyDescent="0.25">
      <c r="A59" t="s">
        <v>212</v>
      </c>
      <c r="B59">
        <v>51</v>
      </c>
      <c r="C59" s="1">
        <v>43516</v>
      </c>
      <c r="D59">
        <v>1</v>
      </c>
      <c r="E59" t="str">
        <f>IF(F59&lt;&gt;"",INDEX(Balance!A:A,MATCH(F59,Balance!B:B,0)),"")</f>
        <v>Depense</v>
      </c>
      <c r="F59" t="s">
        <v>254</v>
      </c>
      <c r="G59" t="s">
        <v>213</v>
      </c>
      <c r="I59" s="10">
        <v>26.9</v>
      </c>
      <c r="K59" s="11">
        <f t="shared" si="24"/>
        <v>4.4833333333333307</v>
      </c>
      <c r="L59" s="10">
        <f t="shared" si="25"/>
        <v>-3417.6700000000037</v>
      </c>
      <c r="N59">
        <v>51</v>
      </c>
      <c r="O59">
        <v>1</v>
      </c>
      <c r="P59">
        <v>1</v>
      </c>
      <c r="Q59" t="str">
        <f t="shared" si="3"/>
        <v>300760283626261100200EUR201902201077919700</v>
      </c>
      <c r="R59" s="16" t="s">
        <v>900</v>
      </c>
      <c r="S59" t="str">
        <f t="shared" si="4"/>
        <v>CB 454106 BOULANGERIE 62ST LAURE</v>
      </c>
      <c r="U59">
        <f>IFERROR(VLOOKUP(F59,tab!A:B,2,FALSE),1)</f>
        <v>27</v>
      </c>
      <c r="V59" s="14">
        <f t="shared" si="5"/>
        <v>-3417.6700000000037</v>
      </c>
      <c r="W59">
        <f t="shared" si="6"/>
        <v>0</v>
      </c>
      <c r="X59">
        <f t="shared" si="7"/>
        <v>1</v>
      </c>
      <c r="Y59" s="14">
        <f t="shared" si="8"/>
        <v>26.9</v>
      </c>
      <c r="AA59" t="str">
        <f t="shared" si="9"/>
        <v>&lt;Valeur name="no"&gt;51&lt;/Valeur&gt;</v>
      </c>
      <c r="AB59" t="str">
        <f t="shared" si="9"/>
        <v>&lt;Valeur name="banque"&gt;1&lt;/Valeur&gt;</v>
      </c>
      <c r="AC59" t="str">
        <f t="shared" si="11"/>
        <v>&lt;Valeur name="pointer"&gt;1&lt;/Valeur&gt;</v>
      </c>
      <c r="AD59" t="str">
        <f t="shared" si="12"/>
        <v>&lt;Valeur name="idbanque"&gt;300760283626261100200EUR201902201077919700&lt;/Valeur&gt;</v>
      </c>
      <c r="AE59" t="str">
        <f t="shared" si="13"/>
        <v>&lt;Valeur name="datevaleur"&gt;2019/02/20&lt;/Valeur&gt;</v>
      </c>
      <c r="AF59" t="str">
        <f t="shared" si="14"/>
        <v>&lt;Valeur name="intitule"&gt;CB 454106 BOULANGERIE 62ST LAURE&lt;/Valeur&gt;</v>
      </c>
      <c r="AG59" t="str">
        <f t="shared" si="15"/>
        <v>&lt;Valeur name="description"&gt;&lt;/Valeur&gt;</v>
      </c>
      <c r="AH59" t="str">
        <f t="shared" si="16"/>
        <v>&lt;Valeur name="compte"&gt;27&lt;/Valeur&gt;</v>
      </c>
      <c r="AI59" t="str">
        <f t="shared" si="17"/>
        <v>&lt;Valeur name="solde"&gt;-3417.67&lt;/Valeur&gt;</v>
      </c>
      <c r="AJ59" t="str">
        <f t="shared" si="18"/>
        <v>&lt;Valeur name="ventiler"&gt;0&lt;/Valeur&gt;</v>
      </c>
      <c r="AK59" t="str">
        <f t="shared" si="19"/>
        <v>&lt;Valeur name="compta"&gt;1&lt;/Valeur&gt;</v>
      </c>
      <c r="AL59" t="str">
        <f t="shared" si="20"/>
        <v>&lt;Valeur name="valeur"&gt;26.9&lt;/Valeur&gt;</v>
      </c>
      <c r="AN59" t="str">
        <f t="shared" si="10"/>
        <v>&lt;Insert&gt;&lt;Valeur name="no"&gt;51&lt;/Valeur&gt;&lt;Valeur name="banque"&gt;1&lt;/Valeur&gt;&lt;Valeur name="pointer"&gt;1&lt;/Valeur&gt;&lt;Valeur name="idbanque"&gt;300760283626261100200EUR201902201077919700&lt;/Valeur&gt;&lt;Valeur name="datevaleur"&gt;2019/02/20&lt;/Valeur&gt;&lt;Valeur name="intitule"&gt;CB 454106 BOULANGERIE 62ST LAURE&lt;/Valeur&gt;&lt;Valeur name="description"&gt;&lt;/Valeur&gt;&lt;Valeur name="compte"&gt;27&lt;/Valeur&gt;&lt;Valeur name="solde"&gt;-3417.67&lt;/Valeur&gt;&lt;Valeur name="ventiler"&gt;0&lt;/Valeur&gt;&lt;Valeur name="compta"&gt;1&lt;/Valeur&gt;&lt;Valeur name="valeur"&gt;26.9&lt;/Valeur&gt;&lt;/Insert&gt;</v>
      </c>
    </row>
    <row r="60" spans="1:40" x14ac:dyDescent="0.25">
      <c r="A60" t="s">
        <v>210</v>
      </c>
      <c r="B60">
        <v>52</v>
      </c>
      <c r="C60" s="1">
        <v>43516</v>
      </c>
      <c r="D60">
        <v>1</v>
      </c>
      <c r="E60" t="str">
        <f>IF(F60&lt;&gt;"",INDEX(Balance!A:A,MATCH(F60,Balance!B:B,0)),"")</f>
        <v>Depense</v>
      </c>
      <c r="F60" t="s">
        <v>372</v>
      </c>
      <c r="G60" t="s">
        <v>211</v>
      </c>
      <c r="I60" s="10">
        <v>6.2</v>
      </c>
      <c r="K60" s="11">
        <f t="shared" si="24"/>
        <v>1.0333333333333332</v>
      </c>
      <c r="L60" s="10">
        <f t="shared" si="25"/>
        <v>-3423.8700000000035</v>
      </c>
      <c r="N60">
        <v>52</v>
      </c>
      <c r="O60">
        <v>1</v>
      </c>
      <c r="P60">
        <v>1</v>
      </c>
      <c r="Q60" t="str">
        <f t="shared" si="3"/>
        <v>300760283626261100200EUR201902201077919800</v>
      </c>
      <c r="R60" s="16" t="s">
        <v>900</v>
      </c>
      <c r="S60" t="str">
        <f t="shared" si="4"/>
        <v>CB 454106 SANEF 1202- 60SENLIS</v>
      </c>
      <c r="U60">
        <f>IFERROR(VLOOKUP(F60,tab!A:B,2,FALSE),1)</f>
        <v>21</v>
      </c>
      <c r="V60" s="14">
        <f t="shared" si="5"/>
        <v>-3423.8700000000035</v>
      </c>
      <c r="W60">
        <f t="shared" si="6"/>
        <v>0</v>
      </c>
      <c r="X60">
        <f t="shared" si="7"/>
        <v>1</v>
      </c>
      <c r="Y60" s="14">
        <f t="shared" si="8"/>
        <v>6.2</v>
      </c>
      <c r="AA60" t="str">
        <f t="shared" si="9"/>
        <v>&lt;Valeur name="no"&gt;52&lt;/Valeur&gt;</v>
      </c>
      <c r="AB60" t="str">
        <f t="shared" si="9"/>
        <v>&lt;Valeur name="banque"&gt;1&lt;/Valeur&gt;</v>
      </c>
      <c r="AC60" t="str">
        <f t="shared" si="11"/>
        <v>&lt;Valeur name="pointer"&gt;1&lt;/Valeur&gt;</v>
      </c>
      <c r="AD60" t="str">
        <f t="shared" si="12"/>
        <v>&lt;Valeur name="idbanque"&gt;300760283626261100200EUR201902201077919800&lt;/Valeur&gt;</v>
      </c>
      <c r="AE60" t="str">
        <f t="shared" si="13"/>
        <v>&lt;Valeur name="datevaleur"&gt;2019/02/20&lt;/Valeur&gt;</v>
      </c>
      <c r="AF60" t="str">
        <f t="shared" si="14"/>
        <v>&lt;Valeur name="intitule"&gt;CB 454106 SANEF 1202- 60SENLIS&lt;/Valeur&gt;</v>
      </c>
      <c r="AG60" t="str">
        <f t="shared" si="15"/>
        <v>&lt;Valeur name="description"&gt;&lt;/Valeur&gt;</v>
      </c>
      <c r="AH60" t="str">
        <f t="shared" si="16"/>
        <v>&lt;Valeur name="compte"&gt;21&lt;/Valeur&gt;</v>
      </c>
      <c r="AI60" t="str">
        <f t="shared" si="17"/>
        <v>&lt;Valeur name="solde"&gt;-3423.87&lt;/Valeur&gt;</v>
      </c>
      <c r="AJ60" t="str">
        <f t="shared" si="18"/>
        <v>&lt;Valeur name="ventiler"&gt;0&lt;/Valeur&gt;</v>
      </c>
      <c r="AK60" t="str">
        <f t="shared" si="19"/>
        <v>&lt;Valeur name="compta"&gt;1&lt;/Valeur&gt;</v>
      </c>
      <c r="AL60" t="str">
        <f t="shared" si="20"/>
        <v>&lt;Valeur name="valeur"&gt;6.2&lt;/Valeur&gt;</v>
      </c>
      <c r="AN60" t="str">
        <f t="shared" si="10"/>
        <v>&lt;Insert&gt;&lt;Valeur name="no"&gt;52&lt;/Valeur&gt;&lt;Valeur name="banque"&gt;1&lt;/Valeur&gt;&lt;Valeur name="pointer"&gt;1&lt;/Valeur&gt;&lt;Valeur name="idbanque"&gt;300760283626261100200EUR201902201077919800&lt;/Valeur&gt;&lt;Valeur name="datevaleur"&gt;2019/02/20&lt;/Valeur&gt;&lt;Valeur name="intitule"&gt;CB 454106 SANEF 1202- 60SENLIS&lt;/Valeur&gt;&lt;Valeur name="description"&gt;&lt;/Valeur&gt;&lt;Valeur name="compte"&gt;21&lt;/Valeur&gt;&lt;Valeur name="solde"&gt;-3423.87&lt;/Valeur&gt;&lt;Valeur name="ventiler"&gt;0&lt;/Valeur&gt;&lt;Valeur name="compta"&gt;1&lt;/Valeur&gt;&lt;Valeur name="valeur"&gt;6.2&lt;/Valeur&gt;&lt;/Insert&gt;</v>
      </c>
    </row>
    <row r="61" spans="1:40" x14ac:dyDescent="0.25">
      <c r="A61" t="s">
        <v>208</v>
      </c>
      <c r="B61">
        <v>53</v>
      </c>
      <c r="C61" s="1">
        <v>43516</v>
      </c>
      <c r="D61">
        <v>1</v>
      </c>
      <c r="E61" t="str">
        <f>IF(F61&lt;&gt;"",INDEX(Balance!A:A,MATCH(F61,Balance!B:B,0)),"")</f>
        <v>Depense</v>
      </c>
      <c r="F61" t="s">
        <v>372</v>
      </c>
      <c r="G61" t="s">
        <v>209</v>
      </c>
      <c r="I61" s="10">
        <v>4.9000000000000004</v>
      </c>
      <c r="K61" s="11">
        <f t="shared" si="24"/>
        <v>0.81666666666666643</v>
      </c>
      <c r="L61" s="10">
        <f t="shared" si="25"/>
        <v>-3428.7700000000036</v>
      </c>
      <c r="N61">
        <v>53</v>
      </c>
      <c r="O61">
        <v>1</v>
      </c>
      <c r="P61">
        <v>1</v>
      </c>
      <c r="Q61" t="str">
        <f t="shared" si="3"/>
        <v>300760283626261100200EUR201902201077919900</v>
      </c>
      <c r="R61" s="16" t="s">
        <v>900</v>
      </c>
      <c r="S61" t="str">
        <f t="shared" si="4"/>
        <v>CB 548222 SANEF 1202- 60SENLIS</v>
      </c>
      <c r="U61">
        <f>IFERROR(VLOOKUP(F61,tab!A:B,2,FALSE),1)</f>
        <v>21</v>
      </c>
      <c r="V61" s="14">
        <f t="shared" si="5"/>
        <v>-3428.7700000000036</v>
      </c>
      <c r="W61">
        <f t="shared" si="6"/>
        <v>0</v>
      </c>
      <c r="X61">
        <f t="shared" si="7"/>
        <v>1</v>
      </c>
      <c r="Y61" s="14">
        <f t="shared" si="8"/>
        <v>4.9000000000000004</v>
      </c>
      <c r="AA61" t="str">
        <f t="shared" si="9"/>
        <v>&lt;Valeur name="no"&gt;53&lt;/Valeur&gt;</v>
      </c>
      <c r="AB61" t="str">
        <f t="shared" si="9"/>
        <v>&lt;Valeur name="banque"&gt;1&lt;/Valeur&gt;</v>
      </c>
      <c r="AC61" t="str">
        <f t="shared" si="11"/>
        <v>&lt;Valeur name="pointer"&gt;1&lt;/Valeur&gt;</v>
      </c>
      <c r="AD61" t="str">
        <f t="shared" si="12"/>
        <v>&lt;Valeur name="idbanque"&gt;300760283626261100200EUR201902201077919900&lt;/Valeur&gt;</v>
      </c>
      <c r="AE61" t="str">
        <f t="shared" si="13"/>
        <v>&lt;Valeur name="datevaleur"&gt;2019/02/20&lt;/Valeur&gt;</v>
      </c>
      <c r="AF61" t="str">
        <f t="shared" si="14"/>
        <v>&lt;Valeur name="intitule"&gt;CB 548222 SANEF 1202- 60SENLIS&lt;/Valeur&gt;</v>
      </c>
      <c r="AG61" t="str">
        <f t="shared" si="15"/>
        <v>&lt;Valeur name="description"&gt;&lt;/Valeur&gt;</v>
      </c>
      <c r="AH61" t="str">
        <f t="shared" si="16"/>
        <v>&lt;Valeur name="compte"&gt;21&lt;/Valeur&gt;</v>
      </c>
      <c r="AI61" t="str">
        <f t="shared" si="17"/>
        <v>&lt;Valeur name="solde"&gt;-3428.77&lt;/Valeur&gt;</v>
      </c>
      <c r="AJ61" t="str">
        <f t="shared" si="18"/>
        <v>&lt;Valeur name="ventiler"&gt;0&lt;/Valeur&gt;</v>
      </c>
      <c r="AK61" t="str">
        <f t="shared" si="19"/>
        <v>&lt;Valeur name="compta"&gt;1&lt;/Valeur&gt;</v>
      </c>
      <c r="AL61" t="str">
        <f t="shared" si="20"/>
        <v>&lt;Valeur name="valeur"&gt;4.9&lt;/Valeur&gt;</v>
      </c>
      <c r="AN61" t="str">
        <f t="shared" si="10"/>
        <v>&lt;Insert&gt;&lt;Valeur name="no"&gt;53&lt;/Valeur&gt;&lt;Valeur name="banque"&gt;1&lt;/Valeur&gt;&lt;Valeur name="pointer"&gt;1&lt;/Valeur&gt;&lt;Valeur name="idbanque"&gt;300760283626261100200EUR201902201077919900&lt;/Valeur&gt;&lt;Valeur name="datevaleur"&gt;2019/02/20&lt;/Valeur&gt;&lt;Valeur name="intitule"&gt;CB 548222 SANEF 1202- 60SENLIS&lt;/Valeur&gt;&lt;Valeur name="description"&gt;&lt;/Valeur&gt;&lt;Valeur name="compte"&gt;21&lt;/Valeur&gt;&lt;Valeur name="solde"&gt;-3428.77&lt;/Valeur&gt;&lt;Valeur name="ventiler"&gt;0&lt;/Valeur&gt;&lt;Valeur name="compta"&gt;1&lt;/Valeur&gt;&lt;Valeur name="valeur"&gt;4.9&lt;/Valeur&gt;&lt;/Insert&gt;</v>
      </c>
    </row>
    <row r="62" spans="1:40" x14ac:dyDescent="0.25">
      <c r="A62" t="s">
        <v>198</v>
      </c>
      <c r="B62">
        <v>54</v>
      </c>
      <c r="C62" s="1">
        <v>43517</v>
      </c>
      <c r="D62">
        <v>1</v>
      </c>
      <c r="E62" t="str">
        <f>IF(F62&lt;&gt;"",INDEX(Balance!A:A,MATCH(F62,Balance!B:B,0)),"")</f>
        <v>Depense</v>
      </c>
      <c r="F62" t="s">
        <v>253</v>
      </c>
      <c r="G62" t="s">
        <v>122</v>
      </c>
      <c r="I62" s="10">
        <v>77.06</v>
      </c>
      <c r="K62" s="11">
        <f t="shared" si="24"/>
        <v>12.843333333333334</v>
      </c>
      <c r="L62" s="10">
        <f t="shared" si="25"/>
        <v>-3505.8300000000036</v>
      </c>
      <c r="N62">
        <v>54</v>
      </c>
      <c r="O62">
        <v>1</v>
      </c>
      <c r="P62">
        <v>1</v>
      </c>
      <c r="Q62" t="str">
        <f t="shared" si="3"/>
        <v>300760283626261100200EUR201902211077735500</v>
      </c>
      <c r="R62" s="16" t="s">
        <v>954</v>
      </c>
      <c r="S62" t="str">
        <f t="shared" si="4"/>
        <v>CB 548222 DAC SM MATC 59BAVAY</v>
      </c>
      <c r="U62">
        <f>IFERROR(VLOOKUP(F62,tab!A:B,2,FALSE),1)</f>
        <v>13</v>
      </c>
      <c r="V62" s="14">
        <f t="shared" si="5"/>
        <v>-3505.8300000000036</v>
      </c>
      <c r="W62">
        <f t="shared" si="6"/>
        <v>0</v>
      </c>
      <c r="X62">
        <f t="shared" si="7"/>
        <v>1</v>
      </c>
      <c r="Y62" s="14">
        <f t="shared" si="8"/>
        <v>77.06</v>
      </c>
      <c r="AA62" t="str">
        <f t="shared" si="9"/>
        <v>&lt;Valeur name="no"&gt;54&lt;/Valeur&gt;</v>
      </c>
      <c r="AB62" t="str">
        <f t="shared" si="9"/>
        <v>&lt;Valeur name="banque"&gt;1&lt;/Valeur&gt;</v>
      </c>
      <c r="AC62" t="str">
        <f t="shared" si="11"/>
        <v>&lt;Valeur name="pointer"&gt;1&lt;/Valeur&gt;</v>
      </c>
      <c r="AD62" t="str">
        <f t="shared" si="12"/>
        <v>&lt;Valeur name="idbanque"&gt;300760283626261100200EUR201902211077735500&lt;/Valeur&gt;</v>
      </c>
      <c r="AE62" t="str">
        <f t="shared" si="13"/>
        <v>&lt;Valeur name="datevaleur"&gt;2019/02/21&lt;/Valeur&gt;</v>
      </c>
      <c r="AF62" t="str">
        <f t="shared" si="14"/>
        <v>&lt;Valeur name="intitule"&gt;CB 548222 DAC SM MATC 59BAVAY&lt;/Valeur&gt;</v>
      </c>
      <c r="AG62" t="str">
        <f t="shared" si="15"/>
        <v>&lt;Valeur name="description"&gt;&lt;/Valeur&gt;</v>
      </c>
      <c r="AH62" t="str">
        <f t="shared" si="16"/>
        <v>&lt;Valeur name="compte"&gt;13&lt;/Valeur&gt;</v>
      </c>
      <c r="AI62" t="str">
        <f t="shared" si="17"/>
        <v>&lt;Valeur name="solde"&gt;-3505.83&lt;/Valeur&gt;</v>
      </c>
      <c r="AJ62" t="str">
        <f t="shared" si="18"/>
        <v>&lt;Valeur name="ventiler"&gt;0&lt;/Valeur&gt;</v>
      </c>
      <c r="AK62" t="str">
        <f t="shared" si="19"/>
        <v>&lt;Valeur name="compta"&gt;1&lt;/Valeur&gt;</v>
      </c>
      <c r="AL62" t="str">
        <f t="shared" si="20"/>
        <v>&lt;Valeur name="valeur"&gt;77.06&lt;/Valeur&gt;</v>
      </c>
      <c r="AN62" t="str">
        <f t="shared" si="10"/>
        <v>&lt;Insert&gt;&lt;Valeur name="no"&gt;54&lt;/Valeur&gt;&lt;Valeur name="banque"&gt;1&lt;/Valeur&gt;&lt;Valeur name="pointer"&gt;1&lt;/Valeur&gt;&lt;Valeur name="idbanque"&gt;300760283626261100200EUR201902211077735500&lt;/Valeur&gt;&lt;Valeur name="datevaleur"&gt;2019/02/21&lt;/Valeur&gt;&lt;Valeur name="intitule"&gt;CB 548222 DAC SM MATC 59BAVAY&lt;/Valeur&gt;&lt;Valeur name="description"&gt;&lt;/Valeur&gt;&lt;Valeur name="compte"&gt;13&lt;/Valeur&gt;&lt;Valeur name="solde"&gt;-3505.83&lt;/Valeur&gt;&lt;Valeur name="ventiler"&gt;0&lt;/Valeur&gt;&lt;Valeur name="compta"&gt;1&lt;/Valeur&gt;&lt;Valeur name="valeur"&gt;77.06&lt;/Valeur&gt;&lt;/Insert&gt;</v>
      </c>
    </row>
    <row r="63" spans="1:40" x14ac:dyDescent="0.25">
      <c r="A63" t="s">
        <v>197</v>
      </c>
      <c r="B63">
        <v>55</v>
      </c>
      <c r="C63" s="1">
        <v>43517</v>
      </c>
      <c r="D63">
        <v>1</v>
      </c>
      <c r="E63" t="str">
        <f>IF(F63&lt;&gt;"",INDEX(Balance!A:A,MATCH(F63,Balance!B:B,0)),"")</f>
        <v>Depense</v>
      </c>
      <c r="F63" t="s">
        <v>254</v>
      </c>
      <c r="G63" t="s">
        <v>109</v>
      </c>
      <c r="I63" s="10">
        <v>16.3</v>
      </c>
      <c r="K63" s="11">
        <f t="shared" si="24"/>
        <v>2.7166666666666668</v>
      </c>
      <c r="L63" s="10">
        <f t="shared" si="25"/>
        <v>-3522.1300000000037</v>
      </c>
      <c r="N63">
        <v>55</v>
      </c>
      <c r="O63">
        <v>1</v>
      </c>
      <c r="P63">
        <v>1</v>
      </c>
      <c r="Q63" t="str">
        <f t="shared" si="3"/>
        <v>300760283626261100200EUR201902211077735600</v>
      </c>
      <c r="R63" s="16" t="s">
        <v>954</v>
      </c>
      <c r="S63" t="str">
        <f t="shared" si="4"/>
        <v>CB 454106 LE PEPLUM   59BAVAY</v>
      </c>
      <c r="U63">
        <f>IFERROR(VLOOKUP(F63,tab!A:B,2,FALSE),1)</f>
        <v>27</v>
      </c>
      <c r="V63" s="14">
        <f t="shared" si="5"/>
        <v>-3522.1300000000037</v>
      </c>
      <c r="W63">
        <f t="shared" si="6"/>
        <v>0</v>
      </c>
      <c r="X63">
        <f t="shared" si="7"/>
        <v>1</v>
      </c>
      <c r="Y63" s="14">
        <f t="shared" si="8"/>
        <v>16.3</v>
      </c>
      <c r="AA63" t="str">
        <f t="shared" si="9"/>
        <v>&lt;Valeur name="no"&gt;55&lt;/Valeur&gt;</v>
      </c>
      <c r="AB63" t="str">
        <f t="shared" si="9"/>
        <v>&lt;Valeur name="banque"&gt;1&lt;/Valeur&gt;</v>
      </c>
      <c r="AC63" t="str">
        <f t="shared" si="11"/>
        <v>&lt;Valeur name="pointer"&gt;1&lt;/Valeur&gt;</v>
      </c>
      <c r="AD63" t="str">
        <f t="shared" si="12"/>
        <v>&lt;Valeur name="idbanque"&gt;300760283626261100200EUR201902211077735600&lt;/Valeur&gt;</v>
      </c>
      <c r="AE63" t="str">
        <f t="shared" si="13"/>
        <v>&lt;Valeur name="datevaleur"&gt;2019/02/21&lt;/Valeur&gt;</v>
      </c>
      <c r="AF63" t="str">
        <f t="shared" si="14"/>
        <v>&lt;Valeur name="intitule"&gt;CB 454106 LE PEPLUM   59BAVAY&lt;/Valeur&gt;</v>
      </c>
      <c r="AG63" t="str">
        <f t="shared" si="15"/>
        <v>&lt;Valeur name="description"&gt;&lt;/Valeur&gt;</v>
      </c>
      <c r="AH63" t="str">
        <f t="shared" si="16"/>
        <v>&lt;Valeur name="compte"&gt;27&lt;/Valeur&gt;</v>
      </c>
      <c r="AI63" t="str">
        <f t="shared" si="17"/>
        <v>&lt;Valeur name="solde"&gt;-3522.13&lt;/Valeur&gt;</v>
      </c>
      <c r="AJ63" t="str">
        <f t="shared" si="18"/>
        <v>&lt;Valeur name="ventiler"&gt;0&lt;/Valeur&gt;</v>
      </c>
      <c r="AK63" t="str">
        <f t="shared" si="19"/>
        <v>&lt;Valeur name="compta"&gt;1&lt;/Valeur&gt;</v>
      </c>
      <c r="AL63" t="str">
        <f t="shared" si="20"/>
        <v>&lt;Valeur name="valeur"&gt;16.3&lt;/Valeur&gt;</v>
      </c>
      <c r="AN63" t="str">
        <f t="shared" si="10"/>
        <v>&lt;Insert&gt;&lt;Valeur name="no"&gt;55&lt;/Valeur&gt;&lt;Valeur name="banque"&gt;1&lt;/Valeur&gt;&lt;Valeur name="pointer"&gt;1&lt;/Valeur&gt;&lt;Valeur name="idbanque"&gt;300760283626261100200EUR201902211077735600&lt;/Valeur&gt;&lt;Valeur name="datevaleur"&gt;2019/02/21&lt;/Valeur&gt;&lt;Valeur name="intitule"&gt;CB 454106 LE PEPLUM   59BAVAY&lt;/Valeur&gt;&lt;Valeur name="description"&gt;&lt;/Valeur&gt;&lt;Valeur name="compte"&gt;27&lt;/Valeur&gt;&lt;Valeur name="solde"&gt;-3522.13&lt;/Valeur&gt;&lt;Valeur name="ventiler"&gt;0&lt;/Valeur&gt;&lt;Valeur name="compta"&gt;1&lt;/Valeur&gt;&lt;Valeur name="valeur"&gt;16.3&lt;/Valeur&gt;&lt;/Insert&gt;</v>
      </c>
    </row>
    <row r="64" spans="1:40" x14ac:dyDescent="0.25">
      <c r="A64" t="s">
        <v>190</v>
      </c>
      <c r="B64">
        <v>56</v>
      </c>
      <c r="C64" s="1">
        <v>43517</v>
      </c>
      <c r="D64">
        <v>1</v>
      </c>
      <c r="E64" t="str">
        <f>IF(F64&lt;&gt;"",INDEX(Balance!A:A,MATCH(F64,Balance!B:B,0)),"")</f>
        <v>Depense</v>
      </c>
      <c r="F64" t="s">
        <v>269</v>
      </c>
      <c r="G64" t="s">
        <v>15</v>
      </c>
      <c r="H64" t="s">
        <v>191</v>
      </c>
      <c r="I64" s="10">
        <v>151</v>
      </c>
      <c r="K64" s="11">
        <f t="shared" si="24"/>
        <v>25.166666666666657</v>
      </c>
      <c r="L64" s="10">
        <f t="shared" si="25"/>
        <v>-3673.1300000000037</v>
      </c>
      <c r="N64">
        <v>56</v>
      </c>
      <c r="O64">
        <v>1</v>
      </c>
      <c r="P64">
        <v>1</v>
      </c>
      <c r="Q64" t="str">
        <f t="shared" si="3"/>
        <v>300760283626261100200EUR201902216333532200</v>
      </c>
      <c r="R64" s="16" t="s">
        <v>954</v>
      </c>
      <c r="S64" t="str">
        <f t="shared" si="4"/>
        <v>PRLV B2B DGFIP / PASDSN15022019-012019-7945135310</v>
      </c>
      <c r="U64">
        <f>IFERROR(VLOOKUP(F64,tab!A:B,2,FALSE),1)</f>
        <v>14</v>
      </c>
      <c r="V64" s="14">
        <f t="shared" si="5"/>
        <v>-3673.1300000000037</v>
      </c>
      <c r="W64">
        <f t="shared" si="6"/>
        <v>0</v>
      </c>
      <c r="X64">
        <f t="shared" si="7"/>
        <v>1</v>
      </c>
      <c r="Y64" s="14">
        <f t="shared" si="8"/>
        <v>151</v>
      </c>
      <c r="AA64" t="str">
        <f t="shared" si="9"/>
        <v>&lt;Valeur name="no"&gt;56&lt;/Valeur&gt;</v>
      </c>
      <c r="AB64" t="str">
        <f t="shared" si="9"/>
        <v>&lt;Valeur name="banque"&gt;1&lt;/Valeur&gt;</v>
      </c>
      <c r="AC64" t="str">
        <f t="shared" si="11"/>
        <v>&lt;Valeur name="pointer"&gt;1&lt;/Valeur&gt;</v>
      </c>
      <c r="AD64" t="str">
        <f t="shared" si="12"/>
        <v>&lt;Valeur name="idbanque"&gt;300760283626261100200EUR201902216333532200&lt;/Valeur&gt;</v>
      </c>
      <c r="AE64" t="str">
        <f t="shared" si="13"/>
        <v>&lt;Valeur name="datevaleur"&gt;2019/02/21&lt;/Valeur&gt;</v>
      </c>
      <c r="AF64" t="str">
        <f t="shared" si="14"/>
        <v>&lt;Valeur name="intitule"&gt;PRLV B2B DGFIP / PASDSN15022019-012019-7945135310&lt;/Valeur&gt;</v>
      </c>
      <c r="AG64" t="str">
        <f t="shared" si="15"/>
        <v>&lt;Valeur name="description"&gt;&lt;/Valeur&gt;</v>
      </c>
      <c r="AH64" t="str">
        <f t="shared" si="16"/>
        <v>&lt;Valeur name="compte"&gt;14&lt;/Valeur&gt;</v>
      </c>
      <c r="AI64" t="str">
        <f t="shared" si="17"/>
        <v>&lt;Valeur name="solde"&gt;-3673.13&lt;/Valeur&gt;</v>
      </c>
      <c r="AJ64" t="str">
        <f t="shared" si="18"/>
        <v>&lt;Valeur name="ventiler"&gt;0&lt;/Valeur&gt;</v>
      </c>
      <c r="AK64" t="str">
        <f t="shared" si="19"/>
        <v>&lt;Valeur name="compta"&gt;1&lt;/Valeur&gt;</v>
      </c>
      <c r="AL64" t="str">
        <f t="shared" si="20"/>
        <v>&lt;Valeur name="valeur"&gt;151&lt;/Valeur&gt;</v>
      </c>
      <c r="AN64" t="str">
        <f t="shared" si="10"/>
        <v>&lt;Insert&gt;&lt;Valeur name="no"&gt;56&lt;/Valeur&gt;&lt;Valeur name="banque"&gt;1&lt;/Valeur&gt;&lt;Valeur name="pointer"&gt;1&lt;/Valeur&gt;&lt;Valeur name="idbanque"&gt;300760283626261100200EUR201902216333532200&lt;/Valeur&gt;&lt;Valeur name="datevaleur"&gt;2019/02/21&lt;/Valeur&gt;&lt;Valeur name="intitule"&gt;PRLV B2B DGFIP / PASDSN15022019-012019-7945135310&lt;/Valeur&gt;&lt;Valeur name="description"&gt;&lt;/Valeur&gt;&lt;Valeur name="compte"&gt;14&lt;/Valeur&gt;&lt;Valeur name="solde"&gt;-3673.13&lt;/Valeur&gt;&lt;Valeur name="ventiler"&gt;0&lt;/Valeur&gt;&lt;Valeur name="compta"&gt;1&lt;/Valeur&gt;&lt;Valeur name="valeur"&gt;151&lt;/Valeur&gt;&lt;/Insert&gt;</v>
      </c>
    </row>
    <row r="65" spans="1:40" x14ac:dyDescent="0.25">
      <c r="A65" t="s">
        <v>192</v>
      </c>
      <c r="B65">
        <v>57</v>
      </c>
      <c r="C65" s="1">
        <v>43517</v>
      </c>
      <c r="D65">
        <v>1</v>
      </c>
      <c r="E65" t="str">
        <f>IF(F65&lt;&gt;"",INDEX(Balance!A:A,MATCH(F65,Balance!B:B,0)),"")</f>
        <v>Depense</v>
      </c>
      <c r="F65" t="s">
        <v>257</v>
      </c>
      <c r="G65" t="s">
        <v>31</v>
      </c>
      <c r="I65" s="10">
        <v>0.21</v>
      </c>
      <c r="K65" s="11">
        <f t="shared" si="24"/>
        <v>3.5000000000000003E-2</v>
      </c>
      <c r="L65" s="10">
        <f t="shared" si="25"/>
        <v>-3673.3400000000038</v>
      </c>
      <c r="N65">
        <v>57</v>
      </c>
      <c r="O65">
        <v>1</v>
      </c>
      <c r="P65">
        <v>1</v>
      </c>
      <c r="Q65" t="str">
        <f t="shared" si="3"/>
        <v>300760283626261100200EUR201902219222305300</v>
      </c>
      <c r="R65" s="16" t="s">
        <v>954</v>
      </c>
      <c r="S65" t="str">
        <f t="shared" si="4"/>
        <v>FRAIS E-VIR SEPA VERS EEE</v>
      </c>
      <c r="U65">
        <f>IFERROR(VLOOKUP(F65,tab!A:B,2,FALSE),1)</f>
        <v>18</v>
      </c>
      <c r="V65" s="14">
        <f t="shared" si="5"/>
        <v>-3673.3400000000038</v>
      </c>
      <c r="W65">
        <f t="shared" si="6"/>
        <v>0</v>
      </c>
      <c r="X65">
        <f t="shared" si="7"/>
        <v>1</v>
      </c>
      <c r="Y65" s="14">
        <f t="shared" si="8"/>
        <v>0.21</v>
      </c>
      <c r="AA65" t="str">
        <f t="shared" si="9"/>
        <v>&lt;Valeur name="no"&gt;57&lt;/Valeur&gt;</v>
      </c>
      <c r="AB65" t="str">
        <f t="shared" si="9"/>
        <v>&lt;Valeur name="banque"&gt;1&lt;/Valeur&gt;</v>
      </c>
      <c r="AC65" t="str">
        <f t="shared" si="11"/>
        <v>&lt;Valeur name="pointer"&gt;1&lt;/Valeur&gt;</v>
      </c>
      <c r="AD65" t="str">
        <f t="shared" si="12"/>
        <v>&lt;Valeur name="idbanque"&gt;300760283626261100200EUR201902219222305300&lt;/Valeur&gt;</v>
      </c>
      <c r="AE65" t="str">
        <f t="shared" si="13"/>
        <v>&lt;Valeur name="datevaleur"&gt;2019/02/21&lt;/Valeur&gt;</v>
      </c>
      <c r="AF65" t="str">
        <f t="shared" si="14"/>
        <v>&lt;Valeur name="intitule"&gt;FRAIS E-VIR SEPA VERS EEE&lt;/Valeur&gt;</v>
      </c>
      <c r="AG65" t="str">
        <f t="shared" si="15"/>
        <v>&lt;Valeur name="description"&gt;&lt;/Valeur&gt;</v>
      </c>
      <c r="AH65" t="str">
        <f t="shared" si="16"/>
        <v>&lt;Valeur name="compte"&gt;18&lt;/Valeur&gt;</v>
      </c>
      <c r="AI65" t="str">
        <f t="shared" si="17"/>
        <v>&lt;Valeur name="solde"&gt;-3673.34&lt;/Valeur&gt;</v>
      </c>
      <c r="AJ65" t="str">
        <f t="shared" si="18"/>
        <v>&lt;Valeur name="ventiler"&gt;0&lt;/Valeur&gt;</v>
      </c>
      <c r="AK65" t="str">
        <f t="shared" si="19"/>
        <v>&lt;Valeur name="compta"&gt;1&lt;/Valeur&gt;</v>
      </c>
      <c r="AL65" t="str">
        <f t="shared" si="20"/>
        <v>&lt;Valeur name="valeur"&gt;0.21&lt;/Valeur&gt;</v>
      </c>
      <c r="AN65" t="str">
        <f t="shared" si="10"/>
        <v>&lt;Insert&gt;&lt;Valeur name="no"&gt;57&lt;/Valeur&gt;&lt;Valeur name="banque"&gt;1&lt;/Valeur&gt;&lt;Valeur name="pointer"&gt;1&lt;/Valeur&gt;&lt;Valeur name="idbanque"&gt;300760283626261100200EUR201902219222305300&lt;/Valeur&gt;&lt;Valeur name="datevaleur"&gt;2019/02/21&lt;/Valeur&gt;&lt;Valeur name="intitule"&gt;FRAIS E-VIR SEPA VERS EEE&lt;/Valeur&gt;&lt;Valeur name="description"&gt;&lt;/Valeur&gt;&lt;Valeur name="compte"&gt;18&lt;/Valeur&gt;&lt;Valeur name="solde"&gt;-3673.34&lt;/Valeur&gt;&lt;Valeur name="ventiler"&gt;0&lt;/Valeur&gt;&lt;Valeur name="compta"&gt;1&lt;/Valeur&gt;&lt;Valeur name="valeur"&gt;0.21&lt;/Valeur&gt;&lt;/Insert&gt;</v>
      </c>
    </row>
    <row r="66" spans="1:40" x14ac:dyDescent="0.25">
      <c r="A66" t="s">
        <v>193</v>
      </c>
      <c r="B66">
        <v>58</v>
      </c>
      <c r="C66" s="1">
        <v>43517</v>
      </c>
      <c r="D66">
        <v>1</v>
      </c>
      <c r="E66" t="str">
        <f>IF(F66&lt;&gt;"",INDEX(Balance!A:A,MATCH(F66,Balance!B:B,0)),"")</f>
        <v>Depense</v>
      </c>
      <c r="F66" t="s">
        <v>257</v>
      </c>
      <c r="G66" t="s">
        <v>31</v>
      </c>
      <c r="I66" s="10">
        <v>0.21</v>
      </c>
      <c r="K66" s="11">
        <f t="shared" si="24"/>
        <v>3.5000000000000003E-2</v>
      </c>
      <c r="L66" s="10">
        <f t="shared" si="25"/>
        <v>-3673.5500000000038</v>
      </c>
      <c r="N66">
        <v>58</v>
      </c>
      <c r="O66">
        <v>1</v>
      </c>
      <c r="P66">
        <v>1</v>
      </c>
      <c r="Q66" t="str">
        <f t="shared" si="3"/>
        <v>300760283626261100200EUR201902219222305400</v>
      </c>
      <c r="R66" s="16" t="s">
        <v>954</v>
      </c>
      <c r="S66" t="str">
        <f t="shared" si="4"/>
        <v>FRAIS E-VIR SEPA VERS EEE</v>
      </c>
      <c r="U66">
        <f>IFERROR(VLOOKUP(F66,tab!A:B,2,FALSE),1)</f>
        <v>18</v>
      </c>
      <c r="V66" s="14">
        <f t="shared" si="5"/>
        <v>-3673.5500000000038</v>
      </c>
      <c r="W66">
        <f t="shared" si="6"/>
        <v>0</v>
      </c>
      <c r="X66">
        <f t="shared" si="7"/>
        <v>1</v>
      </c>
      <c r="Y66" s="14">
        <f t="shared" si="8"/>
        <v>0.21</v>
      </c>
      <c r="AA66" t="str">
        <f t="shared" si="9"/>
        <v>&lt;Valeur name="no"&gt;58&lt;/Valeur&gt;</v>
      </c>
      <c r="AB66" t="str">
        <f t="shared" si="9"/>
        <v>&lt;Valeur name="banque"&gt;1&lt;/Valeur&gt;</v>
      </c>
      <c r="AC66" t="str">
        <f t="shared" si="11"/>
        <v>&lt;Valeur name="pointer"&gt;1&lt;/Valeur&gt;</v>
      </c>
      <c r="AD66" t="str">
        <f t="shared" si="12"/>
        <v>&lt;Valeur name="idbanque"&gt;300760283626261100200EUR201902219222305400&lt;/Valeur&gt;</v>
      </c>
      <c r="AE66" t="str">
        <f t="shared" si="13"/>
        <v>&lt;Valeur name="datevaleur"&gt;2019/02/21&lt;/Valeur&gt;</v>
      </c>
      <c r="AF66" t="str">
        <f t="shared" si="14"/>
        <v>&lt;Valeur name="intitule"&gt;FRAIS E-VIR SEPA VERS EEE&lt;/Valeur&gt;</v>
      </c>
      <c r="AG66" t="str">
        <f t="shared" si="15"/>
        <v>&lt;Valeur name="description"&gt;&lt;/Valeur&gt;</v>
      </c>
      <c r="AH66" t="str">
        <f t="shared" si="16"/>
        <v>&lt;Valeur name="compte"&gt;18&lt;/Valeur&gt;</v>
      </c>
      <c r="AI66" t="str">
        <f t="shared" si="17"/>
        <v>&lt;Valeur name="solde"&gt;-3673.55&lt;/Valeur&gt;</v>
      </c>
      <c r="AJ66" t="str">
        <f t="shared" si="18"/>
        <v>&lt;Valeur name="ventiler"&gt;0&lt;/Valeur&gt;</v>
      </c>
      <c r="AK66" t="str">
        <f t="shared" si="19"/>
        <v>&lt;Valeur name="compta"&gt;1&lt;/Valeur&gt;</v>
      </c>
      <c r="AL66" t="str">
        <f t="shared" si="20"/>
        <v>&lt;Valeur name="valeur"&gt;0.21&lt;/Valeur&gt;</v>
      </c>
      <c r="AN66" t="str">
        <f t="shared" si="10"/>
        <v>&lt;Insert&gt;&lt;Valeur name="no"&gt;58&lt;/Valeur&gt;&lt;Valeur name="banque"&gt;1&lt;/Valeur&gt;&lt;Valeur name="pointer"&gt;1&lt;/Valeur&gt;&lt;Valeur name="idbanque"&gt;300760283626261100200EUR201902219222305400&lt;/Valeur&gt;&lt;Valeur name="datevaleur"&gt;2019/02/21&lt;/Valeur&gt;&lt;Valeur name="intitule"&gt;FRAIS E-VIR SEPA VERS EEE&lt;/Valeur&gt;&lt;Valeur name="description"&gt;&lt;/Valeur&gt;&lt;Valeur name="compte"&gt;18&lt;/Valeur&gt;&lt;Valeur name="solde"&gt;-3673.55&lt;/Valeur&gt;&lt;Valeur name="ventiler"&gt;0&lt;/Valeur&gt;&lt;Valeur name="compta"&gt;1&lt;/Valeur&gt;&lt;Valeur name="valeur"&gt;0.21&lt;/Valeur&gt;&lt;/Insert&gt;</v>
      </c>
    </row>
    <row r="67" spans="1:40" x14ac:dyDescent="0.25">
      <c r="A67" t="s">
        <v>194</v>
      </c>
      <c r="B67">
        <v>59</v>
      </c>
      <c r="C67" s="1">
        <v>43517</v>
      </c>
      <c r="D67">
        <v>1</v>
      </c>
      <c r="E67" t="str">
        <f>IF(F67&lt;&gt;"",INDEX(Balance!A:A,MATCH(F67,Balance!B:B,0)),"")</f>
        <v>Depense</v>
      </c>
      <c r="F67" t="s">
        <v>257</v>
      </c>
      <c r="G67" t="s">
        <v>31</v>
      </c>
      <c r="I67" s="10">
        <v>0.21</v>
      </c>
      <c r="K67" s="11">
        <f t="shared" si="24"/>
        <v>3.5000000000000003E-2</v>
      </c>
      <c r="L67" s="10">
        <f t="shared" si="25"/>
        <v>-3673.7600000000039</v>
      </c>
      <c r="N67">
        <v>59</v>
      </c>
      <c r="O67">
        <v>1</v>
      </c>
      <c r="P67">
        <v>1</v>
      </c>
      <c r="Q67" t="str">
        <f t="shared" ref="Q67:Q130" si="26">A67</f>
        <v>300760283626261100200EUR201902219222305500</v>
      </c>
      <c r="R67" s="16" t="s">
        <v>954</v>
      </c>
      <c r="S67" t="str">
        <f t="shared" ref="S67:S130" si="27">G67&amp;IF(ISBLANK(H67),""," / "&amp;H67)</f>
        <v>FRAIS E-VIR SEPA VERS EEE</v>
      </c>
      <c r="U67">
        <f>IFERROR(VLOOKUP(F67,tab!A:B,2,FALSE),1)</f>
        <v>18</v>
      </c>
      <c r="V67" s="14">
        <f t="shared" ref="V67:V130" si="28">L67</f>
        <v>-3673.7600000000039</v>
      </c>
      <c r="W67">
        <f t="shared" ref="W67:W130" si="29">IF(ISBLANK(A68),1,0)</f>
        <v>0</v>
      </c>
      <c r="X67">
        <f t="shared" ref="X67:X130" si="30">IF(D67=1,1,"")</f>
        <v>1</v>
      </c>
      <c r="Y67" s="14">
        <f t="shared" ref="Y67:Y130" si="31">SUM(I67:J67)</f>
        <v>0.21</v>
      </c>
      <c r="AA67" t="str">
        <f t="shared" ref="AA67:AB130" si="32">IF(ISBLANK($N67),"",N$1&amp;N67&amp;"&lt;/Valeur&gt;")</f>
        <v>&lt;Valeur name="no"&gt;59&lt;/Valeur&gt;</v>
      </c>
      <c r="AB67" t="str">
        <f t="shared" si="32"/>
        <v>&lt;Valeur name="banque"&gt;1&lt;/Valeur&gt;</v>
      </c>
      <c r="AC67" t="str">
        <f t="shared" si="11"/>
        <v>&lt;Valeur name="pointer"&gt;1&lt;/Valeur&gt;</v>
      </c>
      <c r="AD67" t="str">
        <f t="shared" si="12"/>
        <v>&lt;Valeur name="idbanque"&gt;300760283626261100200EUR201902219222305500&lt;/Valeur&gt;</v>
      </c>
      <c r="AE67" t="str">
        <f t="shared" si="13"/>
        <v>&lt;Valeur name="datevaleur"&gt;2019/02/21&lt;/Valeur&gt;</v>
      </c>
      <c r="AF67" t="str">
        <f t="shared" si="14"/>
        <v>&lt;Valeur name="intitule"&gt;FRAIS E-VIR SEPA VERS EEE&lt;/Valeur&gt;</v>
      </c>
      <c r="AG67" t="str">
        <f t="shared" si="15"/>
        <v>&lt;Valeur name="description"&gt;&lt;/Valeur&gt;</v>
      </c>
      <c r="AH67" t="str">
        <f t="shared" si="16"/>
        <v>&lt;Valeur name="compte"&gt;18&lt;/Valeur&gt;</v>
      </c>
      <c r="AI67" t="str">
        <f t="shared" si="17"/>
        <v>&lt;Valeur name="solde"&gt;-3673.76&lt;/Valeur&gt;</v>
      </c>
      <c r="AJ67" t="str">
        <f t="shared" si="18"/>
        <v>&lt;Valeur name="ventiler"&gt;0&lt;/Valeur&gt;</v>
      </c>
      <c r="AK67" t="str">
        <f t="shared" si="19"/>
        <v>&lt;Valeur name="compta"&gt;1&lt;/Valeur&gt;</v>
      </c>
      <c r="AL67" t="str">
        <f t="shared" si="20"/>
        <v>&lt;Valeur name="valeur"&gt;0.21&lt;/Valeur&gt;</v>
      </c>
      <c r="AN67" t="str">
        <f t="shared" ref="AN67:AN130" si="33">IF(ISBLANK(N67),"",CONCATENATE("&lt;Insert&gt;",AA67,AB67,AC67,AD67,AE67,AF67,AG67,AH67,AI67,AJ67,AK67,AL67,"&lt;/Insert&gt;"))</f>
        <v>&lt;Insert&gt;&lt;Valeur name="no"&gt;59&lt;/Valeur&gt;&lt;Valeur name="banque"&gt;1&lt;/Valeur&gt;&lt;Valeur name="pointer"&gt;1&lt;/Valeur&gt;&lt;Valeur name="idbanque"&gt;300760283626261100200EUR201902219222305500&lt;/Valeur&gt;&lt;Valeur name="datevaleur"&gt;2019/02/21&lt;/Valeur&gt;&lt;Valeur name="intitule"&gt;FRAIS E-VIR SEPA VERS EEE&lt;/Valeur&gt;&lt;Valeur name="description"&gt;&lt;/Valeur&gt;&lt;Valeur name="compte"&gt;18&lt;/Valeur&gt;&lt;Valeur name="solde"&gt;-3673.76&lt;/Valeur&gt;&lt;Valeur name="ventiler"&gt;0&lt;/Valeur&gt;&lt;Valeur name="compta"&gt;1&lt;/Valeur&gt;&lt;Valeur name="valeur"&gt;0.21&lt;/Valeur&gt;&lt;/Insert&gt;</v>
      </c>
    </row>
    <row r="68" spans="1:40" x14ac:dyDescent="0.25">
      <c r="A68" t="s">
        <v>195</v>
      </c>
      <c r="B68">
        <v>60</v>
      </c>
      <c r="C68" s="1">
        <v>43517</v>
      </c>
      <c r="D68">
        <v>1</v>
      </c>
      <c r="E68" t="str">
        <f>IF(F68&lt;&gt;"",INDEX(Balance!A:A,MATCH(F68,Balance!B:B,0)),"")</f>
        <v>Depense</v>
      </c>
      <c r="F68" t="s">
        <v>257</v>
      </c>
      <c r="G68" t="s">
        <v>31</v>
      </c>
      <c r="I68" s="10">
        <v>0.21</v>
      </c>
      <c r="K68" s="11">
        <f t="shared" si="24"/>
        <v>3.5000000000000003E-2</v>
      </c>
      <c r="L68" s="10">
        <f t="shared" si="25"/>
        <v>-3673.9700000000039</v>
      </c>
      <c r="N68">
        <v>60</v>
      </c>
      <c r="O68">
        <v>1</v>
      </c>
      <c r="P68">
        <v>1</v>
      </c>
      <c r="Q68" t="str">
        <f t="shared" si="26"/>
        <v>300760283626261100200EUR201902219222305600</v>
      </c>
      <c r="R68" s="16" t="s">
        <v>954</v>
      </c>
      <c r="S68" t="str">
        <f t="shared" si="27"/>
        <v>FRAIS E-VIR SEPA VERS EEE</v>
      </c>
      <c r="U68">
        <f>IFERROR(VLOOKUP(F68,tab!A:B,2,FALSE),1)</f>
        <v>18</v>
      </c>
      <c r="V68" s="14">
        <f t="shared" si="28"/>
        <v>-3673.9700000000039</v>
      </c>
      <c r="W68">
        <f t="shared" si="29"/>
        <v>0</v>
      </c>
      <c r="X68">
        <f t="shared" si="30"/>
        <v>1</v>
      </c>
      <c r="Y68" s="14">
        <f t="shared" si="31"/>
        <v>0.21</v>
      </c>
      <c r="AA68" t="str">
        <f t="shared" si="32"/>
        <v>&lt;Valeur name="no"&gt;60&lt;/Valeur&gt;</v>
      </c>
      <c r="AB68" t="str">
        <f t="shared" si="32"/>
        <v>&lt;Valeur name="banque"&gt;1&lt;/Valeur&gt;</v>
      </c>
      <c r="AC68" t="str">
        <f t="shared" si="11"/>
        <v>&lt;Valeur name="pointer"&gt;1&lt;/Valeur&gt;</v>
      </c>
      <c r="AD68" t="str">
        <f t="shared" si="12"/>
        <v>&lt;Valeur name="idbanque"&gt;300760283626261100200EUR201902219222305600&lt;/Valeur&gt;</v>
      </c>
      <c r="AE68" t="str">
        <f t="shared" si="13"/>
        <v>&lt;Valeur name="datevaleur"&gt;2019/02/21&lt;/Valeur&gt;</v>
      </c>
      <c r="AF68" t="str">
        <f t="shared" si="14"/>
        <v>&lt;Valeur name="intitule"&gt;FRAIS E-VIR SEPA VERS EEE&lt;/Valeur&gt;</v>
      </c>
      <c r="AG68" t="str">
        <f t="shared" si="15"/>
        <v>&lt;Valeur name="description"&gt;&lt;/Valeur&gt;</v>
      </c>
      <c r="AH68" t="str">
        <f t="shared" si="16"/>
        <v>&lt;Valeur name="compte"&gt;18&lt;/Valeur&gt;</v>
      </c>
      <c r="AI68" t="str">
        <f t="shared" si="17"/>
        <v>&lt;Valeur name="solde"&gt;-3673.97&lt;/Valeur&gt;</v>
      </c>
      <c r="AJ68" t="str">
        <f t="shared" si="18"/>
        <v>&lt;Valeur name="ventiler"&gt;0&lt;/Valeur&gt;</v>
      </c>
      <c r="AK68" t="str">
        <f t="shared" si="19"/>
        <v>&lt;Valeur name="compta"&gt;1&lt;/Valeur&gt;</v>
      </c>
      <c r="AL68" t="str">
        <f t="shared" si="20"/>
        <v>&lt;Valeur name="valeur"&gt;0.21&lt;/Valeur&gt;</v>
      </c>
      <c r="AN68" t="str">
        <f t="shared" si="33"/>
        <v>&lt;Insert&gt;&lt;Valeur name="no"&gt;60&lt;/Valeur&gt;&lt;Valeur name="banque"&gt;1&lt;/Valeur&gt;&lt;Valeur name="pointer"&gt;1&lt;/Valeur&gt;&lt;Valeur name="idbanque"&gt;300760283626261100200EUR201902219222305600&lt;/Valeur&gt;&lt;Valeur name="datevaleur"&gt;2019/02/21&lt;/Valeur&gt;&lt;Valeur name="intitule"&gt;FRAIS E-VIR SEPA VERS EEE&lt;/Valeur&gt;&lt;Valeur name="description"&gt;&lt;/Valeur&gt;&lt;Valeur name="compte"&gt;18&lt;/Valeur&gt;&lt;Valeur name="solde"&gt;-3673.97&lt;/Valeur&gt;&lt;Valeur name="ventiler"&gt;0&lt;/Valeur&gt;&lt;Valeur name="compta"&gt;1&lt;/Valeur&gt;&lt;Valeur name="valeur"&gt;0.21&lt;/Valeur&gt;&lt;/Insert&gt;</v>
      </c>
    </row>
    <row r="69" spans="1:40" x14ac:dyDescent="0.25">
      <c r="A69" t="s">
        <v>196</v>
      </c>
      <c r="B69">
        <v>61</v>
      </c>
      <c r="C69" s="1">
        <v>43517</v>
      </c>
      <c r="D69">
        <v>1</v>
      </c>
      <c r="E69" t="str">
        <f>IF(F69&lt;&gt;"",INDEX(Balance!A:A,MATCH(F69,Balance!B:B,0)),"")</f>
        <v>Depense</v>
      </c>
      <c r="F69" t="s">
        <v>257</v>
      </c>
      <c r="G69" t="s">
        <v>31</v>
      </c>
      <c r="I69" s="10">
        <v>0.21</v>
      </c>
      <c r="K69" s="11">
        <f t="shared" si="24"/>
        <v>3.5000000000000003E-2</v>
      </c>
      <c r="L69" s="10">
        <f t="shared" si="25"/>
        <v>-3674.1800000000039</v>
      </c>
      <c r="N69">
        <v>61</v>
      </c>
      <c r="O69">
        <v>1</v>
      </c>
      <c r="P69">
        <v>1</v>
      </c>
      <c r="Q69" t="str">
        <f t="shared" si="26"/>
        <v>300760283626261100200EUR201902219222305700</v>
      </c>
      <c r="R69" s="16" t="s">
        <v>954</v>
      </c>
      <c r="S69" t="str">
        <f t="shared" si="27"/>
        <v>FRAIS E-VIR SEPA VERS EEE</v>
      </c>
      <c r="U69">
        <f>IFERROR(VLOOKUP(F69,tab!A:B,2,FALSE),1)</f>
        <v>18</v>
      </c>
      <c r="V69" s="14">
        <f t="shared" si="28"/>
        <v>-3674.1800000000039</v>
      </c>
      <c r="W69">
        <f t="shared" si="29"/>
        <v>0</v>
      </c>
      <c r="X69">
        <f t="shared" si="30"/>
        <v>1</v>
      </c>
      <c r="Y69" s="14">
        <f t="shared" si="31"/>
        <v>0.21</v>
      </c>
      <c r="AA69" t="str">
        <f t="shared" si="32"/>
        <v>&lt;Valeur name="no"&gt;61&lt;/Valeur&gt;</v>
      </c>
      <c r="AB69" t="str">
        <f t="shared" si="32"/>
        <v>&lt;Valeur name="banque"&gt;1&lt;/Valeur&gt;</v>
      </c>
      <c r="AC69" t="str">
        <f t="shared" si="11"/>
        <v>&lt;Valeur name="pointer"&gt;1&lt;/Valeur&gt;</v>
      </c>
      <c r="AD69" t="str">
        <f t="shared" si="12"/>
        <v>&lt;Valeur name="idbanque"&gt;300760283626261100200EUR201902219222305700&lt;/Valeur&gt;</v>
      </c>
      <c r="AE69" t="str">
        <f t="shared" si="13"/>
        <v>&lt;Valeur name="datevaleur"&gt;2019/02/21&lt;/Valeur&gt;</v>
      </c>
      <c r="AF69" t="str">
        <f t="shared" si="14"/>
        <v>&lt;Valeur name="intitule"&gt;FRAIS E-VIR SEPA VERS EEE&lt;/Valeur&gt;</v>
      </c>
      <c r="AG69" t="str">
        <f t="shared" si="15"/>
        <v>&lt;Valeur name="description"&gt;&lt;/Valeur&gt;</v>
      </c>
      <c r="AH69" t="str">
        <f t="shared" si="16"/>
        <v>&lt;Valeur name="compte"&gt;18&lt;/Valeur&gt;</v>
      </c>
      <c r="AI69" t="str">
        <f t="shared" si="17"/>
        <v>&lt;Valeur name="solde"&gt;-3674.18&lt;/Valeur&gt;</v>
      </c>
      <c r="AJ69" t="str">
        <f t="shared" si="18"/>
        <v>&lt;Valeur name="ventiler"&gt;0&lt;/Valeur&gt;</v>
      </c>
      <c r="AK69" t="str">
        <f t="shared" si="19"/>
        <v>&lt;Valeur name="compta"&gt;1&lt;/Valeur&gt;</v>
      </c>
      <c r="AL69" t="str">
        <f t="shared" si="20"/>
        <v>&lt;Valeur name="valeur"&gt;0.21&lt;/Valeur&gt;</v>
      </c>
      <c r="AN69" t="str">
        <f t="shared" si="33"/>
        <v>&lt;Insert&gt;&lt;Valeur name="no"&gt;61&lt;/Valeur&gt;&lt;Valeur name="banque"&gt;1&lt;/Valeur&gt;&lt;Valeur name="pointer"&gt;1&lt;/Valeur&gt;&lt;Valeur name="idbanque"&gt;300760283626261100200EUR201902219222305700&lt;/Valeur&gt;&lt;Valeur name="datevaleur"&gt;2019/02/21&lt;/Valeur&gt;&lt;Valeur name="intitule"&gt;FRAIS E-VIR SEPA VERS EEE&lt;/Valeur&gt;&lt;Valeur name="description"&gt;&lt;/Valeur&gt;&lt;Valeur name="compte"&gt;18&lt;/Valeur&gt;&lt;Valeur name="solde"&gt;-3674.18&lt;/Valeur&gt;&lt;Valeur name="ventiler"&gt;0&lt;/Valeur&gt;&lt;Valeur name="compta"&gt;1&lt;/Valeur&gt;&lt;Valeur name="valeur"&gt;0.21&lt;/Valeur&gt;&lt;/Insert&gt;</v>
      </c>
    </row>
    <row r="70" spans="1:40" x14ac:dyDescent="0.25">
      <c r="A70" t="s">
        <v>188</v>
      </c>
      <c r="B70">
        <v>62</v>
      </c>
      <c r="C70" s="1">
        <v>43518</v>
      </c>
      <c r="D70">
        <v>1</v>
      </c>
      <c r="E70" t="str">
        <f>IF(F70&lt;&gt;"",INDEX(Balance!A:A,MATCH(F70,Balance!B:B,0)),"")</f>
        <v>Depense</v>
      </c>
      <c r="F70" t="s">
        <v>256</v>
      </c>
      <c r="G70" t="s">
        <v>189</v>
      </c>
      <c r="I70" s="10">
        <v>1536.73</v>
      </c>
      <c r="K70" s="11">
        <f t="shared" si="24"/>
        <v>256.12166666666667</v>
      </c>
      <c r="L70" s="10">
        <f t="shared" si="25"/>
        <v>-5210.9100000000035</v>
      </c>
      <c r="N70">
        <v>62</v>
      </c>
      <c r="O70">
        <v>1</v>
      </c>
      <c r="P70">
        <v>1</v>
      </c>
      <c r="Q70" t="str">
        <f t="shared" si="26"/>
        <v>300760283626261100200EUR201902220292284800</v>
      </c>
      <c r="R70" s="16" t="s">
        <v>955</v>
      </c>
      <c r="S70" t="str">
        <f t="shared" si="27"/>
        <v>E-VIR SEPA Salaire Janvier Etien</v>
      </c>
      <c r="U70">
        <f>IFERROR(VLOOKUP(F70,tab!A:B,2,FALSE),1)</f>
        <v>28</v>
      </c>
      <c r="V70" s="14">
        <f t="shared" si="28"/>
        <v>-5210.9100000000035</v>
      </c>
      <c r="W70">
        <f t="shared" si="29"/>
        <v>0</v>
      </c>
      <c r="X70">
        <f t="shared" si="30"/>
        <v>1</v>
      </c>
      <c r="Y70" s="14">
        <f t="shared" si="31"/>
        <v>1536.73</v>
      </c>
      <c r="AA70" t="str">
        <f t="shared" si="32"/>
        <v>&lt;Valeur name="no"&gt;62&lt;/Valeur&gt;</v>
      </c>
      <c r="AB70" t="str">
        <f t="shared" si="32"/>
        <v>&lt;Valeur name="banque"&gt;1&lt;/Valeur&gt;</v>
      </c>
      <c r="AC70" t="str">
        <f t="shared" si="11"/>
        <v>&lt;Valeur name="pointer"&gt;1&lt;/Valeur&gt;</v>
      </c>
      <c r="AD70" t="str">
        <f t="shared" si="12"/>
        <v>&lt;Valeur name="idbanque"&gt;300760283626261100200EUR201902220292284800&lt;/Valeur&gt;</v>
      </c>
      <c r="AE70" t="str">
        <f t="shared" si="13"/>
        <v>&lt;Valeur name="datevaleur"&gt;2019/02/22&lt;/Valeur&gt;</v>
      </c>
      <c r="AF70" t="str">
        <f t="shared" si="14"/>
        <v>&lt;Valeur name="intitule"&gt;E-VIR SEPA Salaire Janvier Etien&lt;/Valeur&gt;</v>
      </c>
      <c r="AG70" t="str">
        <f t="shared" si="15"/>
        <v>&lt;Valeur name="description"&gt;&lt;/Valeur&gt;</v>
      </c>
      <c r="AH70" t="str">
        <f t="shared" si="16"/>
        <v>&lt;Valeur name="compte"&gt;28&lt;/Valeur&gt;</v>
      </c>
      <c r="AI70" t="str">
        <f t="shared" si="17"/>
        <v>&lt;Valeur name="solde"&gt;-5210.91&lt;/Valeur&gt;</v>
      </c>
      <c r="AJ70" t="str">
        <f t="shared" si="18"/>
        <v>&lt;Valeur name="ventiler"&gt;0&lt;/Valeur&gt;</v>
      </c>
      <c r="AK70" t="str">
        <f t="shared" si="19"/>
        <v>&lt;Valeur name="compta"&gt;1&lt;/Valeur&gt;</v>
      </c>
      <c r="AL70" t="str">
        <f t="shared" si="20"/>
        <v>&lt;Valeur name="valeur"&gt;1536.73&lt;/Valeur&gt;</v>
      </c>
      <c r="AN70" t="str">
        <f t="shared" si="33"/>
        <v>&lt;Insert&gt;&lt;Valeur name="no"&gt;62&lt;/Valeur&gt;&lt;Valeur name="banque"&gt;1&lt;/Valeur&gt;&lt;Valeur name="pointer"&gt;1&lt;/Valeur&gt;&lt;Valeur name="idbanque"&gt;300760283626261100200EUR201902220292284800&lt;/Valeur&gt;&lt;Valeur name="datevaleur"&gt;2019/02/22&lt;/Valeur&gt;&lt;Valeur name="intitule"&gt;E-VIR SEPA Salaire Janvier Etien&lt;/Valeur&gt;&lt;Valeur name="description"&gt;&lt;/Valeur&gt;&lt;Valeur name="compte"&gt;28&lt;/Valeur&gt;&lt;Valeur name="solde"&gt;-5210.91&lt;/Valeur&gt;&lt;Valeur name="ventiler"&gt;0&lt;/Valeur&gt;&lt;Valeur name="compta"&gt;1&lt;/Valeur&gt;&lt;Valeur name="valeur"&gt;1536.73&lt;/Valeur&gt;&lt;/Insert&gt;</v>
      </c>
    </row>
    <row r="71" spans="1:40" x14ac:dyDescent="0.25">
      <c r="A71" t="s">
        <v>186</v>
      </c>
      <c r="B71">
        <v>63</v>
      </c>
      <c r="C71" s="1">
        <v>43521</v>
      </c>
      <c r="E71" t="str">
        <f>IF(F71&lt;&gt;"",INDEX(Balance!A:A,MATCH(F71,Balance!B:B,0)),"")</f>
        <v>Fournisseurs</v>
      </c>
      <c r="F71" t="s">
        <v>277</v>
      </c>
      <c r="G71" t="s">
        <v>187</v>
      </c>
      <c r="I71" s="10">
        <v>303.60000000000002</v>
      </c>
      <c r="K71" s="11">
        <f t="shared" si="24"/>
        <v>50.599999999999994</v>
      </c>
      <c r="L71" s="10">
        <f t="shared" si="25"/>
        <v>-5514.5100000000039</v>
      </c>
      <c r="N71">
        <v>63</v>
      </c>
      <c r="O71">
        <v>1</v>
      </c>
      <c r="P71">
        <v>1</v>
      </c>
      <c r="Q71" t="str">
        <f t="shared" si="26"/>
        <v>300760283626261100200EUR201902250910381700</v>
      </c>
      <c r="R71" s="16" t="s">
        <v>906</v>
      </c>
      <c r="S71" t="str">
        <f t="shared" si="27"/>
        <v>RELEVE LCR DU  180219  CONFORME</v>
      </c>
      <c r="U71">
        <f>IFERROR(VLOOKUP(F71,tab!A:B,2,FALSE),1)</f>
        <v>62</v>
      </c>
      <c r="V71" s="14">
        <f t="shared" si="28"/>
        <v>-5514.5100000000039</v>
      </c>
      <c r="W71">
        <f t="shared" si="29"/>
        <v>0</v>
      </c>
      <c r="X71" t="str">
        <f t="shared" si="30"/>
        <v/>
      </c>
      <c r="Y71" s="14">
        <f t="shared" si="31"/>
        <v>303.60000000000002</v>
      </c>
      <c r="AA71" t="str">
        <f t="shared" si="32"/>
        <v>&lt;Valeur name="no"&gt;63&lt;/Valeur&gt;</v>
      </c>
      <c r="AB71" t="str">
        <f t="shared" si="32"/>
        <v>&lt;Valeur name="banque"&gt;1&lt;/Valeur&gt;</v>
      </c>
      <c r="AC71" t="str">
        <f t="shared" si="11"/>
        <v>&lt;Valeur name="pointer"&gt;1&lt;/Valeur&gt;</v>
      </c>
      <c r="AD71" t="str">
        <f t="shared" si="12"/>
        <v>&lt;Valeur name="idbanque"&gt;300760283626261100200EUR201902250910381700&lt;/Valeur&gt;</v>
      </c>
      <c r="AE71" t="str">
        <f t="shared" si="13"/>
        <v>&lt;Valeur name="datevaleur"&gt;2019/02/25&lt;/Valeur&gt;</v>
      </c>
      <c r="AF71" t="str">
        <f t="shared" si="14"/>
        <v>&lt;Valeur name="intitule"&gt;RELEVE LCR DU  180219  CONFORME&lt;/Valeur&gt;</v>
      </c>
      <c r="AG71" t="str">
        <f t="shared" si="15"/>
        <v>&lt;Valeur name="description"&gt;&lt;/Valeur&gt;</v>
      </c>
      <c r="AH71" t="str">
        <f t="shared" si="16"/>
        <v>&lt;Valeur name="compte"&gt;62&lt;/Valeur&gt;</v>
      </c>
      <c r="AI71" t="str">
        <f t="shared" si="17"/>
        <v>&lt;Valeur name="solde"&gt;-5514.51&lt;/Valeur&gt;</v>
      </c>
      <c r="AJ71" t="str">
        <f t="shared" si="18"/>
        <v>&lt;Valeur name="ventiler"&gt;0&lt;/Valeur&gt;</v>
      </c>
      <c r="AK71" t="str">
        <f t="shared" si="19"/>
        <v>&lt;Valeur name="compta"&gt;&lt;/Valeur&gt;</v>
      </c>
      <c r="AL71" t="str">
        <f t="shared" si="20"/>
        <v>&lt;Valeur name="valeur"&gt;303.6&lt;/Valeur&gt;</v>
      </c>
      <c r="AN71" t="str">
        <f t="shared" si="33"/>
        <v>&lt;Insert&gt;&lt;Valeur name="no"&gt;63&lt;/Valeur&gt;&lt;Valeur name="banque"&gt;1&lt;/Valeur&gt;&lt;Valeur name="pointer"&gt;1&lt;/Valeur&gt;&lt;Valeur name="idbanque"&gt;300760283626261100200EUR201902250910381700&lt;/Valeur&gt;&lt;Valeur name="datevaleur"&gt;2019/02/25&lt;/Valeur&gt;&lt;Valeur name="intitule"&gt;RELEVE LCR DU  180219  CONFORME&lt;/Valeur&gt;&lt;Valeur name="description"&gt;&lt;/Valeur&gt;&lt;Valeur name="compte"&gt;62&lt;/Valeur&gt;&lt;Valeur name="solde"&gt;-5514.51&lt;/Valeur&gt;&lt;Valeur name="ventiler"&gt;0&lt;/Valeur&gt;&lt;Valeur name="compta"&gt;&lt;/Valeur&gt;&lt;Valeur name="valeur"&gt;303.6&lt;/Valeur&gt;&lt;/Insert&gt;</v>
      </c>
    </row>
    <row r="72" spans="1:40" x14ac:dyDescent="0.25">
      <c r="A72" t="s">
        <v>183</v>
      </c>
      <c r="B72">
        <v>64</v>
      </c>
      <c r="C72" s="1">
        <v>43521</v>
      </c>
      <c r="D72">
        <v>1</v>
      </c>
      <c r="E72" t="str">
        <f>IF(F72&lt;&gt;"",INDEX(Balance!A:A,MATCH(F72,Balance!B:B,0)),"")</f>
        <v>Depense</v>
      </c>
      <c r="F72" t="s">
        <v>253</v>
      </c>
      <c r="G72" t="s">
        <v>149</v>
      </c>
      <c r="I72" s="10">
        <v>75.56</v>
      </c>
      <c r="K72" s="11">
        <f t="shared" si="24"/>
        <v>12.593333333333334</v>
      </c>
      <c r="L72" s="10">
        <f t="shared" si="25"/>
        <v>-5590.0700000000043</v>
      </c>
      <c r="N72">
        <v>64</v>
      </c>
      <c r="O72">
        <v>1</v>
      </c>
      <c r="P72">
        <v>1</v>
      </c>
      <c r="Q72" t="str">
        <f t="shared" si="26"/>
        <v>300760283626261100200EUR201902251071894900</v>
      </c>
      <c r="R72" s="16" t="s">
        <v>906</v>
      </c>
      <c r="S72" t="str">
        <f t="shared" si="27"/>
        <v>CB 548222 CARREFOUR D 59AULNOY L</v>
      </c>
      <c r="U72">
        <f>IFERROR(VLOOKUP(F72,tab!A:B,2,FALSE),1)</f>
        <v>13</v>
      </c>
      <c r="V72" s="14">
        <f t="shared" si="28"/>
        <v>-5590.0700000000043</v>
      </c>
      <c r="W72">
        <f t="shared" si="29"/>
        <v>0</v>
      </c>
      <c r="X72">
        <f t="shared" si="30"/>
        <v>1</v>
      </c>
      <c r="Y72" s="14">
        <f t="shared" si="31"/>
        <v>75.56</v>
      </c>
      <c r="AA72" t="str">
        <f t="shared" si="32"/>
        <v>&lt;Valeur name="no"&gt;64&lt;/Valeur&gt;</v>
      </c>
      <c r="AB72" t="str">
        <f t="shared" si="32"/>
        <v>&lt;Valeur name="banque"&gt;1&lt;/Valeur&gt;</v>
      </c>
      <c r="AC72" t="str">
        <f t="shared" si="11"/>
        <v>&lt;Valeur name="pointer"&gt;1&lt;/Valeur&gt;</v>
      </c>
      <c r="AD72" t="str">
        <f t="shared" si="12"/>
        <v>&lt;Valeur name="idbanque"&gt;300760283626261100200EUR201902251071894900&lt;/Valeur&gt;</v>
      </c>
      <c r="AE72" t="str">
        <f t="shared" si="13"/>
        <v>&lt;Valeur name="datevaleur"&gt;2019/02/25&lt;/Valeur&gt;</v>
      </c>
      <c r="AF72" t="str">
        <f t="shared" si="14"/>
        <v>&lt;Valeur name="intitule"&gt;CB 548222 CARREFOUR D 59AULNOY L&lt;/Valeur&gt;</v>
      </c>
      <c r="AG72" t="str">
        <f t="shared" si="15"/>
        <v>&lt;Valeur name="description"&gt;&lt;/Valeur&gt;</v>
      </c>
      <c r="AH72" t="str">
        <f t="shared" si="16"/>
        <v>&lt;Valeur name="compte"&gt;13&lt;/Valeur&gt;</v>
      </c>
      <c r="AI72" t="str">
        <f t="shared" si="17"/>
        <v>&lt;Valeur name="solde"&gt;-5590.07&lt;/Valeur&gt;</v>
      </c>
      <c r="AJ72" t="str">
        <f t="shared" si="18"/>
        <v>&lt;Valeur name="ventiler"&gt;0&lt;/Valeur&gt;</v>
      </c>
      <c r="AK72" t="str">
        <f t="shared" si="19"/>
        <v>&lt;Valeur name="compta"&gt;1&lt;/Valeur&gt;</v>
      </c>
      <c r="AL72" t="str">
        <f t="shared" si="20"/>
        <v>&lt;Valeur name="valeur"&gt;75.56&lt;/Valeur&gt;</v>
      </c>
      <c r="AN72" t="str">
        <f t="shared" si="33"/>
        <v>&lt;Insert&gt;&lt;Valeur name="no"&gt;64&lt;/Valeur&gt;&lt;Valeur name="banque"&gt;1&lt;/Valeur&gt;&lt;Valeur name="pointer"&gt;1&lt;/Valeur&gt;&lt;Valeur name="idbanque"&gt;300760283626261100200EUR201902251071894900&lt;/Valeur&gt;&lt;Valeur name="datevaleur"&gt;2019/02/25&lt;/Valeur&gt;&lt;Valeur name="intitule"&gt;CB 548222 CARREFOUR D 59AULNOY L&lt;/Valeur&gt;&lt;Valeur name="description"&gt;&lt;/Valeur&gt;&lt;Valeur name="compte"&gt;13&lt;/Valeur&gt;&lt;Valeur name="solde"&gt;-5590.07&lt;/Valeur&gt;&lt;Valeur name="ventiler"&gt;0&lt;/Valeur&gt;&lt;Valeur name="compta"&gt;1&lt;/Valeur&gt;&lt;Valeur name="valeur"&gt;75.56&lt;/Valeur&gt;&lt;/Insert&gt;</v>
      </c>
    </row>
    <row r="73" spans="1:40" x14ac:dyDescent="0.25">
      <c r="A73" t="s">
        <v>181</v>
      </c>
      <c r="B73">
        <v>65</v>
      </c>
      <c r="C73" s="1">
        <v>43521</v>
      </c>
      <c r="D73">
        <v>1</v>
      </c>
      <c r="E73" t="str">
        <f>IF(F73&lt;&gt;"",INDEX(Balance!A:A,MATCH(F73,Balance!B:B,0)),"")</f>
        <v>Depense</v>
      </c>
      <c r="F73" t="s">
        <v>254</v>
      </c>
      <c r="G73" t="s">
        <v>182</v>
      </c>
      <c r="I73" s="10">
        <v>11.95</v>
      </c>
      <c r="K73" s="11">
        <f t="shared" si="24"/>
        <v>1.9916666666666654</v>
      </c>
      <c r="L73" s="10">
        <f t="shared" si="25"/>
        <v>-5602.0200000000041</v>
      </c>
      <c r="N73">
        <v>65</v>
      </c>
      <c r="O73">
        <v>1</v>
      </c>
      <c r="P73">
        <v>1</v>
      </c>
      <c r="Q73" t="str">
        <f t="shared" si="26"/>
        <v>300760283626261100200EUR201902251071895000</v>
      </c>
      <c r="R73" s="16" t="s">
        <v>906</v>
      </c>
      <c r="S73" t="str">
        <f t="shared" si="27"/>
        <v>CB 454106 BOULANGERIE 59BOIS GRE</v>
      </c>
      <c r="U73">
        <f>IFERROR(VLOOKUP(F73,tab!A:B,2,FALSE),1)</f>
        <v>27</v>
      </c>
      <c r="V73" s="14">
        <f t="shared" si="28"/>
        <v>-5602.0200000000041</v>
      </c>
      <c r="W73">
        <f t="shared" si="29"/>
        <v>0</v>
      </c>
      <c r="X73">
        <f t="shared" si="30"/>
        <v>1</v>
      </c>
      <c r="Y73" s="14">
        <f t="shared" si="31"/>
        <v>11.95</v>
      </c>
      <c r="AA73" t="str">
        <f t="shared" si="32"/>
        <v>&lt;Valeur name="no"&gt;65&lt;/Valeur&gt;</v>
      </c>
      <c r="AB73" t="str">
        <f t="shared" si="32"/>
        <v>&lt;Valeur name="banque"&gt;1&lt;/Valeur&gt;</v>
      </c>
      <c r="AC73" t="str">
        <f t="shared" si="11"/>
        <v>&lt;Valeur name="pointer"&gt;1&lt;/Valeur&gt;</v>
      </c>
      <c r="AD73" t="str">
        <f t="shared" si="12"/>
        <v>&lt;Valeur name="idbanque"&gt;300760283626261100200EUR201902251071895000&lt;/Valeur&gt;</v>
      </c>
      <c r="AE73" t="str">
        <f t="shared" si="13"/>
        <v>&lt;Valeur name="datevaleur"&gt;2019/02/25&lt;/Valeur&gt;</v>
      </c>
      <c r="AF73" t="str">
        <f t="shared" si="14"/>
        <v>&lt;Valeur name="intitule"&gt;CB 454106 BOULANGERIE 59BOIS GRE&lt;/Valeur&gt;</v>
      </c>
      <c r="AG73" t="str">
        <f t="shared" si="15"/>
        <v>&lt;Valeur name="description"&gt;&lt;/Valeur&gt;</v>
      </c>
      <c r="AH73" t="str">
        <f t="shared" si="16"/>
        <v>&lt;Valeur name="compte"&gt;27&lt;/Valeur&gt;</v>
      </c>
      <c r="AI73" t="str">
        <f t="shared" si="17"/>
        <v>&lt;Valeur name="solde"&gt;-5602.02&lt;/Valeur&gt;</v>
      </c>
      <c r="AJ73" t="str">
        <f t="shared" si="18"/>
        <v>&lt;Valeur name="ventiler"&gt;0&lt;/Valeur&gt;</v>
      </c>
      <c r="AK73" t="str">
        <f t="shared" si="19"/>
        <v>&lt;Valeur name="compta"&gt;1&lt;/Valeur&gt;</v>
      </c>
      <c r="AL73" t="str">
        <f t="shared" si="20"/>
        <v>&lt;Valeur name="valeur"&gt;11.95&lt;/Valeur&gt;</v>
      </c>
      <c r="AN73" t="str">
        <f t="shared" si="33"/>
        <v>&lt;Insert&gt;&lt;Valeur name="no"&gt;65&lt;/Valeur&gt;&lt;Valeur name="banque"&gt;1&lt;/Valeur&gt;&lt;Valeur name="pointer"&gt;1&lt;/Valeur&gt;&lt;Valeur name="idbanque"&gt;300760283626261100200EUR201902251071895000&lt;/Valeur&gt;&lt;Valeur name="datevaleur"&gt;2019/02/25&lt;/Valeur&gt;&lt;Valeur name="intitule"&gt;CB 454106 BOULANGERIE 59BOIS GRE&lt;/Valeur&gt;&lt;Valeur name="description"&gt;&lt;/Valeur&gt;&lt;Valeur name="compte"&gt;27&lt;/Valeur&gt;&lt;Valeur name="solde"&gt;-5602.02&lt;/Valeur&gt;&lt;Valeur name="ventiler"&gt;0&lt;/Valeur&gt;&lt;Valeur name="compta"&gt;1&lt;/Valeur&gt;&lt;Valeur name="valeur"&gt;11.95&lt;/Valeur&gt;&lt;/Insert&gt;</v>
      </c>
    </row>
    <row r="74" spans="1:40" x14ac:dyDescent="0.25">
      <c r="A74" t="s">
        <v>184</v>
      </c>
      <c r="B74">
        <v>66</v>
      </c>
      <c r="C74" s="1">
        <v>43521</v>
      </c>
      <c r="E74" t="str">
        <f>IF(F74&lt;&gt;"",INDEX(Balance!A:A,MATCH(F74,Balance!B:B,0)),"")</f>
        <v>Fournisseurs</v>
      </c>
      <c r="F74" t="s">
        <v>285</v>
      </c>
      <c r="G74" t="s">
        <v>185</v>
      </c>
      <c r="H74" t="s">
        <v>433</v>
      </c>
      <c r="I74" s="10">
        <v>1252.92</v>
      </c>
      <c r="K74" s="11">
        <f t="shared" si="24"/>
        <v>208.81999999999994</v>
      </c>
      <c r="L74" s="10">
        <f t="shared" si="25"/>
        <v>-6854.9400000000041</v>
      </c>
      <c r="N74">
        <v>66</v>
      </c>
      <c r="O74">
        <v>1</v>
      </c>
      <c r="P74">
        <v>1</v>
      </c>
      <c r="Q74" t="str">
        <f t="shared" si="26"/>
        <v>300760283626261100200EUR201902253361734300</v>
      </c>
      <c r="R74" s="16" t="s">
        <v>906</v>
      </c>
      <c r="S74" t="str">
        <f t="shared" si="27"/>
        <v>CHEQUE  N 1000064 / Porte noms Arras</v>
      </c>
      <c r="U74">
        <f>IFERROR(VLOOKUP(F74,tab!A:B,2,FALSE),1)</f>
        <v>122</v>
      </c>
      <c r="V74" s="14">
        <f t="shared" si="28"/>
        <v>-6854.9400000000041</v>
      </c>
      <c r="W74">
        <f t="shared" si="29"/>
        <v>0</v>
      </c>
      <c r="X74" t="str">
        <f t="shared" si="30"/>
        <v/>
      </c>
      <c r="Y74" s="14">
        <f t="shared" si="31"/>
        <v>1252.92</v>
      </c>
      <c r="AA74" t="str">
        <f t="shared" si="32"/>
        <v>&lt;Valeur name="no"&gt;66&lt;/Valeur&gt;</v>
      </c>
      <c r="AB74" t="str">
        <f t="shared" si="32"/>
        <v>&lt;Valeur name="banque"&gt;1&lt;/Valeur&gt;</v>
      </c>
      <c r="AC74" t="str">
        <f t="shared" si="11"/>
        <v>&lt;Valeur name="pointer"&gt;1&lt;/Valeur&gt;</v>
      </c>
      <c r="AD74" t="str">
        <f t="shared" si="12"/>
        <v>&lt;Valeur name="idbanque"&gt;300760283626261100200EUR201902253361734300&lt;/Valeur&gt;</v>
      </c>
      <c r="AE74" t="str">
        <f t="shared" si="13"/>
        <v>&lt;Valeur name="datevaleur"&gt;2019/02/25&lt;/Valeur&gt;</v>
      </c>
      <c r="AF74" t="str">
        <f t="shared" si="14"/>
        <v>&lt;Valeur name="intitule"&gt;CHEQUE  N 1000064 / Porte noms Arras&lt;/Valeur&gt;</v>
      </c>
      <c r="AG74" t="str">
        <f t="shared" si="15"/>
        <v>&lt;Valeur name="description"&gt;&lt;/Valeur&gt;</v>
      </c>
      <c r="AH74" t="str">
        <f t="shared" si="16"/>
        <v>&lt;Valeur name="compte"&gt;122&lt;/Valeur&gt;</v>
      </c>
      <c r="AI74" t="str">
        <f t="shared" si="17"/>
        <v>&lt;Valeur name="solde"&gt;-6854.94&lt;/Valeur&gt;</v>
      </c>
      <c r="AJ74" t="str">
        <f t="shared" si="18"/>
        <v>&lt;Valeur name="ventiler"&gt;0&lt;/Valeur&gt;</v>
      </c>
      <c r="AK74" t="str">
        <f t="shared" si="19"/>
        <v>&lt;Valeur name="compta"&gt;&lt;/Valeur&gt;</v>
      </c>
      <c r="AL74" t="str">
        <f t="shared" si="20"/>
        <v>&lt;Valeur name="valeur"&gt;1252.92&lt;/Valeur&gt;</v>
      </c>
      <c r="AN74" t="str">
        <f t="shared" si="33"/>
        <v>&lt;Insert&gt;&lt;Valeur name="no"&gt;66&lt;/Valeur&gt;&lt;Valeur name="banque"&gt;1&lt;/Valeur&gt;&lt;Valeur name="pointer"&gt;1&lt;/Valeur&gt;&lt;Valeur name="idbanque"&gt;300760283626261100200EUR201902253361734300&lt;/Valeur&gt;&lt;Valeur name="datevaleur"&gt;2019/02/25&lt;/Valeur&gt;&lt;Valeur name="intitule"&gt;CHEQUE  N 1000064 / Porte noms Arras&lt;/Valeur&gt;&lt;Valeur name="description"&gt;&lt;/Valeur&gt;&lt;Valeur name="compte"&gt;122&lt;/Valeur&gt;&lt;Valeur name="solde"&gt;-6854.94&lt;/Valeur&gt;&lt;Valeur name="ventiler"&gt;0&lt;/Valeur&gt;&lt;Valeur name="compta"&gt;&lt;/Valeur&gt;&lt;Valeur name="valeur"&gt;1252.92&lt;/Valeur&gt;&lt;/Insert&gt;</v>
      </c>
    </row>
    <row r="75" spans="1:40" x14ac:dyDescent="0.25">
      <c r="A75" t="s">
        <v>180</v>
      </c>
      <c r="B75">
        <v>67</v>
      </c>
      <c r="C75" s="1">
        <v>43521</v>
      </c>
      <c r="D75">
        <v>1</v>
      </c>
      <c r="E75" t="str">
        <f>IF(F75&lt;&gt;"",INDEX(Balance!A:A,MATCH(F75,Balance!B:B,0)),"")</f>
        <v>Depense</v>
      </c>
      <c r="F75" t="s">
        <v>257</v>
      </c>
      <c r="G75" t="s">
        <v>31</v>
      </c>
      <c r="I75" s="10">
        <v>0.21</v>
      </c>
      <c r="K75" s="11">
        <f t="shared" si="24"/>
        <v>3.5000000000000003E-2</v>
      </c>
      <c r="L75" s="10">
        <f t="shared" si="25"/>
        <v>-6855.1500000000042</v>
      </c>
      <c r="N75">
        <v>67</v>
      </c>
      <c r="O75">
        <v>1</v>
      </c>
      <c r="P75">
        <v>1</v>
      </c>
      <c r="Q75" t="str">
        <f t="shared" si="26"/>
        <v>300760283626261100200EUR201902259223518500</v>
      </c>
      <c r="R75" s="16" t="s">
        <v>906</v>
      </c>
      <c r="S75" t="str">
        <f t="shared" si="27"/>
        <v>FRAIS E-VIR SEPA VERS EEE</v>
      </c>
      <c r="U75">
        <f>IFERROR(VLOOKUP(F75,tab!A:B,2,FALSE),1)</f>
        <v>18</v>
      </c>
      <c r="V75" s="14">
        <f t="shared" si="28"/>
        <v>-6855.1500000000042</v>
      </c>
      <c r="W75">
        <f t="shared" si="29"/>
        <v>0</v>
      </c>
      <c r="X75">
        <f t="shared" si="30"/>
        <v>1</v>
      </c>
      <c r="Y75" s="14">
        <f t="shared" si="31"/>
        <v>0.21</v>
      </c>
      <c r="AA75" t="str">
        <f t="shared" si="32"/>
        <v>&lt;Valeur name="no"&gt;67&lt;/Valeur&gt;</v>
      </c>
      <c r="AB75" t="str">
        <f t="shared" si="32"/>
        <v>&lt;Valeur name="banque"&gt;1&lt;/Valeur&gt;</v>
      </c>
      <c r="AC75" t="str">
        <f t="shared" si="11"/>
        <v>&lt;Valeur name="pointer"&gt;1&lt;/Valeur&gt;</v>
      </c>
      <c r="AD75" t="str">
        <f t="shared" si="12"/>
        <v>&lt;Valeur name="idbanque"&gt;300760283626261100200EUR201902259223518500&lt;/Valeur&gt;</v>
      </c>
      <c r="AE75" t="str">
        <f t="shared" si="13"/>
        <v>&lt;Valeur name="datevaleur"&gt;2019/02/25&lt;/Valeur&gt;</v>
      </c>
      <c r="AF75" t="str">
        <f t="shared" si="14"/>
        <v>&lt;Valeur name="intitule"&gt;FRAIS E-VIR SEPA VERS EEE&lt;/Valeur&gt;</v>
      </c>
      <c r="AG75" t="str">
        <f t="shared" si="15"/>
        <v>&lt;Valeur name="description"&gt;&lt;/Valeur&gt;</v>
      </c>
      <c r="AH75" t="str">
        <f t="shared" si="16"/>
        <v>&lt;Valeur name="compte"&gt;18&lt;/Valeur&gt;</v>
      </c>
      <c r="AI75" t="str">
        <f t="shared" si="17"/>
        <v>&lt;Valeur name="solde"&gt;-6855.15&lt;/Valeur&gt;</v>
      </c>
      <c r="AJ75" t="str">
        <f t="shared" si="18"/>
        <v>&lt;Valeur name="ventiler"&gt;0&lt;/Valeur&gt;</v>
      </c>
      <c r="AK75" t="str">
        <f t="shared" si="19"/>
        <v>&lt;Valeur name="compta"&gt;1&lt;/Valeur&gt;</v>
      </c>
      <c r="AL75" t="str">
        <f t="shared" si="20"/>
        <v>&lt;Valeur name="valeur"&gt;0.21&lt;/Valeur&gt;</v>
      </c>
      <c r="AN75" t="str">
        <f t="shared" si="33"/>
        <v>&lt;Insert&gt;&lt;Valeur name="no"&gt;67&lt;/Valeur&gt;&lt;Valeur name="banque"&gt;1&lt;/Valeur&gt;&lt;Valeur name="pointer"&gt;1&lt;/Valeur&gt;&lt;Valeur name="idbanque"&gt;300760283626261100200EUR201902259223518500&lt;/Valeur&gt;&lt;Valeur name="datevaleur"&gt;2019/02/25&lt;/Valeur&gt;&lt;Valeur name="intitule"&gt;FRAIS E-VIR SEPA VERS EEE&lt;/Valeur&gt;&lt;Valeur name="description"&gt;&lt;/Valeur&gt;&lt;Valeur name="compte"&gt;18&lt;/Valeur&gt;&lt;Valeur name="solde"&gt;-6855.15&lt;/Valeur&gt;&lt;Valeur name="ventiler"&gt;0&lt;/Valeur&gt;&lt;Valeur name="compta"&gt;1&lt;/Valeur&gt;&lt;Valeur name="valeur"&gt;0.21&lt;/Valeur&gt;&lt;/Insert&gt;</v>
      </c>
    </row>
    <row r="76" spans="1:40" x14ac:dyDescent="0.25">
      <c r="A76" t="s">
        <v>177</v>
      </c>
      <c r="B76">
        <v>68</v>
      </c>
      <c r="C76" s="1">
        <v>43522</v>
      </c>
      <c r="D76">
        <v>1</v>
      </c>
      <c r="E76" t="str">
        <f>IF(F76&lt;&gt;"",INDEX(Balance!A:A,MATCH(F76,Balance!B:B,0)),"")</f>
        <v>Fournisseurs</v>
      </c>
      <c r="F76" t="s">
        <v>373</v>
      </c>
      <c r="G76" t="s">
        <v>132</v>
      </c>
      <c r="I76" s="10">
        <v>34.35</v>
      </c>
      <c r="K76" s="11">
        <f t="shared" si="24"/>
        <v>5.7249999999999979</v>
      </c>
      <c r="L76" s="10">
        <f t="shared" si="25"/>
        <v>-6889.5000000000045</v>
      </c>
      <c r="N76">
        <v>68</v>
      </c>
      <c r="O76">
        <v>1</v>
      </c>
      <c r="P76">
        <v>1</v>
      </c>
      <c r="Q76" t="str">
        <f t="shared" si="26"/>
        <v>300760283626261100200EUR201902261070912300</v>
      </c>
      <c r="R76" s="16" t="s">
        <v>956</v>
      </c>
      <c r="S76" t="str">
        <f t="shared" si="27"/>
        <v>CB 548222 BRICO DEPOT 59AULNOY L</v>
      </c>
      <c r="U76">
        <f>IFERROR(VLOOKUP(F76,tab!A:B,2,FALSE),1)</f>
        <v>38</v>
      </c>
      <c r="V76" s="14">
        <f t="shared" si="28"/>
        <v>-6889.5000000000045</v>
      </c>
      <c r="W76">
        <f t="shared" si="29"/>
        <v>0</v>
      </c>
      <c r="X76">
        <f t="shared" si="30"/>
        <v>1</v>
      </c>
      <c r="Y76" s="14">
        <f t="shared" si="31"/>
        <v>34.35</v>
      </c>
      <c r="AA76" t="str">
        <f t="shared" si="32"/>
        <v>&lt;Valeur name="no"&gt;68&lt;/Valeur&gt;</v>
      </c>
      <c r="AB76" t="str">
        <f t="shared" si="32"/>
        <v>&lt;Valeur name="banque"&gt;1&lt;/Valeur&gt;</v>
      </c>
      <c r="AC76" t="str">
        <f t="shared" si="11"/>
        <v>&lt;Valeur name="pointer"&gt;1&lt;/Valeur&gt;</v>
      </c>
      <c r="AD76" t="str">
        <f t="shared" si="12"/>
        <v>&lt;Valeur name="idbanque"&gt;300760283626261100200EUR201902261070912300&lt;/Valeur&gt;</v>
      </c>
      <c r="AE76" t="str">
        <f t="shared" si="13"/>
        <v>&lt;Valeur name="datevaleur"&gt;2019/02/26&lt;/Valeur&gt;</v>
      </c>
      <c r="AF76" t="str">
        <f t="shared" si="14"/>
        <v>&lt;Valeur name="intitule"&gt;CB 548222 BRICO DEPOT 59AULNOY L&lt;/Valeur&gt;</v>
      </c>
      <c r="AG76" t="str">
        <f t="shared" si="15"/>
        <v>&lt;Valeur name="description"&gt;&lt;/Valeur&gt;</v>
      </c>
      <c r="AH76" t="str">
        <f t="shared" si="16"/>
        <v>&lt;Valeur name="compte"&gt;38&lt;/Valeur&gt;</v>
      </c>
      <c r="AI76" t="str">
        <f t="shared" si="17"/>
        <v>&lt;Valeur name="solde"&gt;-6889.5&lt;/Valeur&gt;</v>
      </c>
      <c r="AJ76" t="str">
        <f t="shared" si="18"/>
        <v>&lt;Valeur name="ventiler"&gt;0&lt;/Valeur&gt;</v>
      </c>
      <c r="AK76" t="str">
        <f t="shared" si="19"/>
        <v>&lt;Valeur name="compta"&gt;1&lt;/Valeur&gt;</v>
      </c>
      <c r="AL76" t="str">
        <f t="shared" si="20"/>
        <v>&lt;Valeur name="valeur"&gt;34.35&lt;/Valeur&gt;</v>
      </c>
      <c r="AN76" t="str">
        <f t="shared" si="33"/>
        <v>&lt;Insert&gt;&lt;Valeur name="no"&gt;68&lt;/Valeur&gt;&lt;Valeur name="banque"&gt;1&lt;/Valeur&gt;&lt;Valeur name="pointer"&gt;1&lt;/Valeur&gt;&lt;Valeur name="idbanque"&gt;300760283626261100200EUR201902261070912300&lt;/Valeur&gt;&lt;Valeur name="datevaleur"&gt;2019/02/26&lt;/Valeur&gt;&lt;Valeur name="intitule"&gt;CB 548222 BRICO DEPOT 59AULNOY L&lt;/Valeur&gt;&lt;Valeur name="description"&gt;&lt;/Valeur&gt;&lt;Valeur name="compte"&gt;38&lt;/Valeur&gt;&lt;Valeur name="solde"&gt;-6889.5&lt;/Valeur&gt;&lt;Valeur name="ventiler"&gt;0&lt;/Valeur&gt;&lt;Valeur name="compta"&gt;1&lt;/Valeur&gt;&lt;Valeur name="valeur"&gt;34.35&lt;/Valeur&gt;&lt;/Insert&gt;</v>
      </c>
    </row>
    <row r="77" spans="1:40" x14ac:dyDescent="0.25">
      <c r="A77" t="s">
        <v>178</v>
      </c>
      <c r="B77">
        <v>69</v>
      </c>
      <c r="C77" s="1">
        <v>43522</v>
      </c>
      <c r="D77">
        <v>1</v>
      </c>
      <c r="E77" t="str">
        <f>IF(F77&lt;&gt;"",INDEX(Balance!A:A,MATCH(F77,Balance!B:B,0)),"")</f>
        <v>Depense</v>
      </c>
      <c r="F77" t="s">
        <v>253</v>
      </c>
      <c r="G77" t="s">
        <v>179</v>
      </c>
      <c r="I77" s="10">
        <v>82.12</v>
      </c>
      <c r="K77" s="11">
        <f t="shared" si="24"/>
        <v>13.686666666666667</v>
      </c>
      <c r="L77" s="10">
        <f t="shared" si="25"/>
        <v>-6971.6200000000044</v>
      </c>
      <c r="N77">
        <v>69</v>
      </c>
      <c r="O77">
        <v>1</v>
      </c>
      <c r="P77">
        <v>1</v>
      </c>
      <c r="Q77" t="str">
        <f t="shared" si="26"/>
        <v>300760283626261100200EUR201902261078887300</v>
      </c>
      <c r="R77" s="16" t="s">
        <v>956</v>
      </c>
      <c r="S77" t="str">
        <f t="shared" si="27"/>
        <v>CB 454106 STATION TOT 59TEMPLEUV</v>
      </c>
      <c r="U77">
        <f>IFERROR(VLOOKUP(F77,tab!A:B,2,FALSE),1)</f>
        <v>13</v>
      </c>
      <c r="V77" s="14">
        <f t="shared" si="28"/>
        <v>-6971.6200000000044</v>
      </c>
      <c r="W77">
        <f t="shared" si="29"/>
        <v>0</v>
      </c>
      <c r="X77">
        <f t="shared" si="30"/>
        <v>1</v>
      </c>
      <c r="Y77" s="14">
        <f t="shared" si="31"/>
        <v>82.12</v>
      </c>
      <c r="AA77" t="str">
        <f t="shared" si="32"/>
        <v>&lt;Valeur name="no"&gt;69&lt;/Valeur&gt;</v>
      </c>
      <c r="AB77" t="str">
        <f t="shared" si="32"/>
        <v>&lt;Valeur name="banque"&gt;1&lt;/Valeur&gt;</v>
      </c>
      <c r="AC77" t="str">
        <f t="shared" si="11"/>
        <v>&lt;Valeur name="pointer"&gt;1&lt;/Valeur&gt;</v>
      </c>
      <c r="AD77" t="str">
        <f t="shared" si="12"/>
        <v>&lt;Valeur name="idbanque"&gt;300760283626261100200EUR201902261078887300&lt;/Valeur&gt;</v>
      </c>
      <c r="AE77" t="str">
        <f t="shared" si="13"/>
        <v>&lt;Valeur name="datevaleur"&gt;2019/02/26&lt;/Valeur&gt;</v>
      </c>
      <c r="AF77" t="str">
        <f t="shared" si="14"/>
        <v>&lt;Valeur name="intitule"&gt;CB 454106 STATION TOT 59TEMPLEUV&lt;/Valeur&gt;</v>
      </c>
      <c r="AG77" t="str">
        <f t="shared" si="15"/>
        <v>&lt;Valeur name="description"&gt;&lt;/Valeur&gt;</v>
      </c>
      <c r="AH77" t="str">
        <f t="shared" si="16"/>
        <v>&lt;Valeur name="compte"&gt;13&lt;/Valeur&gt;</v>
      </c>
      <c r="AI77" t="str">
        <f t="shared" si="17"/>
        <v>&lt;Valeur name="solde"&gt;-6971.62&lt;/Valeur&gt;</v>
      </c>
      <c r="AJ77" t="str">
        <f t="shared" si="18"/>
        <v>&lt;Valeur name="ventiler"&gt;0&lt;/Valeur&gt;</v>
      </c>
      <c r="AK77" t="str">
        <f t="shared" si="19"/>
        <v>&lt;Valeur name="compta"&gt;1&lt;/Valeur&gt;</v>
      </c>
      <c r="AL77" t="str">
        <f t="shared" si="20"/>
        <v>&lt;Valeur name="valeur"&gt;82.12&lt;/Valeur&gt;</v>
      </c>
      <c r="AN77" t="str">
        <f t="shared" si="33"/>
        <v>&lt;Insert&gt;&lt;Valeur name="no"&gt;69&lt;/Valeur&gt;&lt;Valeur name="banque"&gt;1&lt;/Valeur&gt;&lt;Valeur name="pointer"&gt;1&lt;/Valeur&gt;&lt;Valeur name="idbanque"&gt;300760283626261100200EUR201902261078887300&lt;/Valeur&gt;&lt;Valeur name="datevaleur"&gt;2019/02/26&lt;/Valeur&gt;&lt;Valeur name="intitule"&gt;CB 454106 STATION TOT 59TEMPLEUV&lt;/Valeur&gt;&lt;Valeur name="description"&gt;&lt;/Valeur&gt;&lt;Valeur name="compte"&gt;13&lt;/Valeur&gt;&lt;Valeur name="solde"&gt;-6971.62&lt;/Valeur&gt;&lt;Valeur name="ventiler"&gt;0&lt;/Valeur&gt;&lt;Valeur name="compta"&gt;1&lt;/Valeur&gt;&lt;Valeur name="valeur"&gt;82.12&lt;/Valeur&gt;&lt;/Insert&gt;</v>
      </c>
    </row>
    <row r="78" spans="1:40" x14ac:dyDescent="0.25">
      <c r="A78" t="s">
        <v>172</v>
      </c>
      <c r="B78">
        <v>70</v>
      </c>
      <c r="C78" s="1">
        <v>43523</v>
      </c>
      <c r="D78">
        <v>1</v>
      </c>
      <c r="E78" t="str">
        <f>IF(F78&lt;&gt;"",INDEX(Balance!A:A,MATCH(F78,Balance!B:B,0)),"")</f>
        <v>Depense</v>
      </c>
      <c r="F78" t="s">
        <v>256</v>
      </c>
      <c r="G78" t="s">
        <v>117</v>
      </c>
      <c r="I78" s="10">
        <v>900</v>
      </c>
      <c r="K78" s="11">
        <f t="shared" si="24"/>
        <v>150</v>
      </c>
      <c r="L78" s="10">
        <f t="shared" si="25"/>
        <v>-7871.6200000000044</v>
      </c>
      <c r="N78">
        <v>70</v>
      </c>
      <c r="O78">
        <v>1</v>
      </c>
      <c r="P78">
        <v>1</v>
      </c>
      <c r="Q78" t="str">
        <f t="shared" si="26"/>
        <v>300760283626261100200EUR201902270293905900</v>
      </c>
      <c r="R78" s="16" t="s">
        <v>957</v>
      </c>
      <c r="S78" t="str">
        <f t="shared" si="27"/>
        <v>E-VIR SEPA Salaire Alex 01/2019</v>
      </c>
      <c r="U78">
        <f>IFERROR(VLOOKUP(F78,tab!A:B,2,FALSE),1)</f>
        <v>28</v>
      </c>
      <c r="V78" s="14">
        <f t="shared" si="28"/>
        <v>-7871.6200000000044</v>
      </c>
      <c r="W78">
        <f t="shared" si="29"/>
        <v>0</v>
      </c>
      <c r="X78">
        <f t="shared" si="30"/>
        <v>1</v>
      </c>
      <c r="Y78" s="14">
        <f t="shared" si="31"/>
        <v>900</v>
      </c>
      <c r="AA78" t="str">
        <f t="shared" si="32"/>
        <v>&lt;Valeur name="no"&gt;70&lt;/Valeur&gt;</v>
      </c>
      <c r="AB78" t="str">
        <f t="shared" si="32"/>
        <v>&lt;Valeur name="banque"&gt;1&lt;/Valeur&gt;</v>
      </c>
      <c r="AC78" t="str">
        <f t="shared" si="11"/>
        <v>&lt;Valeur name="pointer"&gt;1&lt;/Valeur&gt;</v>
      </c>
      <c r="AD78" t="str">
        <f t="shared" si="12"/>
        <v>&lt;Valeur name="idbanque"&gt;300760283626261100200EUR201902270293905900&lt;/Valeur&gt;</v>
      </c>
      <c r="AE78" t="str">
        <f t="shared" si="13"/>
        <v>&lt;Valeur name="datevaleur"&gt;2019/02/27&lt;/Valeur&gt;</v>
      </c>
      <c r="AF78" t="str">
        <f t="shared" si="14"/>
        <v>&lt;Valeur name="intitule"&gt;E-VIR SEPA Salaire Alex 01/2019&lt;/Valeur&gt;</v>
      </c>
      <c r="AG78" t="str">
        <f t="shared" si="15"/>
        <v>&lt;Valeur name="description"&gt;&lt;/Valeur&gt;</v>
      </c>
      <c r="AH78" t="str">
        <f t="shared" si="16"/>
        <v>&lt;Valeur name="compte"&gt;28&lt;/Valeur&gt;</v>
      </c>
      <c r="AI78" t="str">
        <f t="shared" si="17"/>
        <v>&lt;Valeur name="solde"&gt;-7871.62&lt;/Valeur&gt;</v>
      </c>
      <c r="AJ78" t="str">
        <f t="shared" si="18"/>
        <v>&lt;Valeur name="ventiler"&gt;0&lt;/Valeur&gt;</v>
      </c>
      <c r="AK78" t="str">
        <f t="shared" si="19"/>
        <v>&lt;Valeur name="compta"&gt;1&lt;/Valeur&gt;</v>
      </c>
      <c r="AL78" t="str">
        <f t="shared" si="20"/>
        <v>&lt;Valeur name="valeur"&gt;900&lt;/Valeur&gt;</v>
      </c>
      <c r="AN78" t="str">
        <f t="shared" si="33"/>
        <v>&lt;Insert&gt;&lt;Valeur name="no"&gt;70&lt;/Valeur&gt;&lt;Valeur name="banque"&gt;1&lt;/Valeur&gt;&lt;Valeur name="pointer"&gt;1&lt;/Valeur&gt;&lt;Valeur name="idbanque"&gt;300760283626261100200EUR201902270293905900&lt;/Valeur&gt;&lt;Valeur name="datevaleur"&gt;2019/02/27&lt;/Valeur&gt;&lt;Valeur name="intitule"&gt;E-VIR SEPA Salaire Alex 01/2019&lt;/Valeur&gt;&lt;Valeur name="description"&gt;&lt;/Valeur&gt;&lt;Valeur name="compte"&gt;28&lt;/Valeur&gt;&lt;Valeur name="solde"&gt;-7871.62&lt;/Valeur&gt;&lt;Valeur name="ventiler"&gt;0&lt;/Valeur&gt;&lt;Valeur name="compta"&gt;1&lt;/Valeur&gt;&lt;Valeur name="valeur"&gt;900&lt;/Valeur&gt;&lt;/Insert&gt;</v>
      </c>
    </row>
    <row r="79" spans="1:40" x14ac:dyDescent="0.25">
      <c r="A79" t="s">
        <v>170</v>
      </c>
      <c r="B79">
        <v>71</v>
      </c>
      <c r="C79" s="1">
        <v>43523</v>
      </c>
      <c r="D79">
        <v>1</v>
      </c>
      <c r="E79" t="str">
        <f>IF(F79&lt;&gt;"",INDEX(Balance!A:A,MATCH(F79,Balance!B:B,0)),"")</f>
        <v>Depense</v>
      </c>
      <c r="F79" t="s">
        <v>256</v>
      </c>
      <c r="G79" t="s">
        <v>171</v>
      </c>
      <c r="I79" s="10">
        <v>804.21</v>
      </c>
      <c r="K79" s="11">
        <f t="shared" si="24"/>
        <v>134.03499999999997</v>
      </c>
      <c r="L79" s="10">
        <f t="shared" si="25"/>
        <v>-8675.8300000000054</v>
      </c>
      <c r="N79">
        <v>71</v>
      </c>
      <c r="O79">
        <v>1</v>
      </c>
      <c r="P79">
        <v>1</v>
      </c>
      <c r="Q79" t="str">
        <f t="shared" si="26"/>
        <v>300760283626261100200EUR201902270293906000</v>
      </c>
      <c r="R79" s="16" t="s">
        <v>957</v>
      </c>
      <c r="S79" t="str">
        <f t="shared" si="27"/>
        <v>E-VIR SEPA Salaire Gournay 02/20</v>
      </c>
      <c r="U79">
        <f>IFERROR(VLOOKUP(F79,tab!A:B,2,FALSE),1)</f>
        <v>28</v>
      </c>
      <c r="V79" s="14">
        <f t="shared" si="28"/>
        <v>-8675.8300000000054</v>
      </c>
      <c r="W79">
        <f t="shared" si="29"/>
        <v>0</v>
      </c>
      <c r="X79">
        <f t="shared" si="30"/>
        <v>1</v>
      </c>
      <c r="Y79" s="14">
        <f t="shared" si="31"/>
        <v>804.21</v>
      </c>
      <c r="AA79" t="str">
        <f t="shared" si="32"/>
        <v>&lt;Valeur name="no"&gt;71&lt;/Valeur&gt;</v>
      </c>
      <c r="AB79" t="str">
        <f t="shared" si="32"/>
        <v>&lt;Valeur name="banque"&gt;1&lt;/Valeur&gt;</v>
      </c>
      <c r="AC79" t="str">
        <f t="shared" si="11"/>
        <v>&lt;Valeur name="pointer"&gt;1&lt;/Valeur&gt;</v>
      </c>
      <c r="AD79" t="str">
        <f t="shared" si="12"/>
        <v>&lt;Valeur name="idbanque"&gt;300760283626261100200EUR201902270293906000&lt;/Valeur&gt;</v>
      </c>
      <c r="AE79" t="str">
        <f t="shared" si="13"/>
        <v>&lt;Valeur name="datevaleur"&gt;2019/02/27&lt;/Valeur&gt;</v>
      </c>
      <c r="AF79" t="str">
        <f t="shared" si="14"/>
        <v>&lt;Valeur name="intitule"&gt;E-VIR SEPA Salaire Gournay 02/20&lt;/Valeur&gt;</v>
      </c>
      <c r="AG79" t="str">
        <f t="shared" si="15"/>
        <v>&lt;Valeur name="description"&gt;&lt;/Valeur&gt;</v>
      </c>
      <c r="AH79" t="str">
        <f t="shared" si="16"/>
        <v>&lt;Valeur name="compte"&gt;28&lt;/Valeur&gt;</v>
      </c>
      <c r="AI79" t="str">
        <f t="shared" si="17"/>
        <v>&lt;Valeur name="solde"&gt;-8675.83000000001&lt;/Valeur&gt;</v>
      </c>
      <c r="AJ79" t="str">
        <f t="shared" si="18"/>
        <v>&lt;Valeur name="ventiler"&gt;0&lt;/Valeur&gt;</v>
      </c>
      <c r="AK79" t="str">
        <f t="shared" si="19"/>
        <v>&lt;Valeur name="compta"&gt;1&lt;/Valeur&gt;</v>
      </c>
      <c r="AL79" t="str">
        <f t="shared" si="20"/>
        <v>&lt;Valeur name="valeur"&gt;804.21&lt;/Valeur&gt;</v>
      </c>
      <c r="AN79" t="str">
        <f t="shared" si="33"/>
        <v>&lt;Insert&gt;&lt;Valeur name="no"&gt;71&lt;/Valeur&gt;&lt;Valeur name="banque"&gt;1&lt;/Valeur&gt;&lt;Valeur name="pointer"&gt;1&lt;/Valeur&gt;&lt;Valeur name="idbanque"&gt;300760283626261100200EUR201902270293906000&lt;/Valeur&gt;&lt;Valeur name="datevaleur"&gt;2019/02/27&lt;/Valeur&gt;&lt;Valeur name="intitule"&gt;E-VIR SEPA Salaire Gournay 02/20&lt;/Valeur&gt;&lt;Valeur name="description"&gt;&lt;/Valeur&gt;&lt;Valeur name="compte"&gt;28&lt;/Valeur&gt;&lt;Valeur name="solde"&gt;-8675.83000000001&lt;/Valeur&gt;&lt;Valeur name="ventiler"&gt;0&lt;/Valeur&gt;&lt;Valeur name="compta"&gt;1&lt;/Valeur&gt;&lt;Valeur name="valeur"&gt;804.21&lt;/Valeur&gt;&lt;/Insert&gt;</v>
      </c>
    </row>
    <row r="80" spans="1:40" x14ac:dyDescent="0.25">
      <c r="A80" t="s">
        <v>173</v>
      </c>
      <c r="B80">
        <v>72</v>
      </c>
      <c r="C80" s="1">
        <v>43523</v>
      </c>
      <c r="D80">
        <v>1</v>
      </c>
      <c r="E80" t="str">
        <f>IF(F80&lt;&gt;"",INDEX(Balance!A:A,MATCH(F80,Balance!B:B,0)),"")</f>
        <v>Depense</v>
      </c>
      <c r="F80" t="s">
        <v>256</v>
      </c>
      <c r="G80" t="s">
        <v>174</v>
      </c>
      <c r="I80" s="10">
        <v>1416.64</v>
      </c>
      <c r="K80" s="11">
        <f t="shared" si="24"/>
        <v>236.10666666666657</v>
      </c>
      <c r="L80" s="10">
        <f t="shared" si="25"/>
        <v>-10092.470000000005</v>
      </c>
      <c r="N80">
        <v>72</v>
      </c>
      <c r="O80">
        <v>1</v>
      </c>
      <c r="P80">
        <v>1</v>
      </c>
      <c r="Q80" t="str">
        <f t="shared" si="26"/>
        <v>300760283626261100200EUR201902270293906100</v>
      </c>
      <c r="R80" s="16" t="s">
        <v>957</v>
      </c>
      <c r="S80" t="str">
        <f t="shared" si="27"/>
        <v>E-VIR SEPA Salaire Lefort 02/201</v>
      </c>
      <c r="U80">
        <f>IFERROR(VLOOKUP(F80,tab!A:B,2,FALSE),1)</f>
        <v>28</v>
      </c>
      <c r="V80" s="14">
        <f t="shared" si="28"/>
        <v>-10092.470000000005</v>
      </c>
      <c r="W80">
        <f t="shared" si="29"/>
        <v>0</v>
      </c>
      <c r="X80">
        <f t="shared" si="30"/>
        <v>1</v>
      </c>
      <c r="Y80" s="14">
        <f t="shared" si="31"/>
        <v>1416.64</v>
      </c>
      <c r="AA80" t="str">
        <f t="shared" si="32"/>
        <v>&lt;Valeur name="no"&gt;72&lt;/Valeur&gt;</v>
      </c>
      <c r="AB80" t="str">
        <f t="shared" si="32"/>
        <v>&lt;Valeur name="banque"&gt;1&lt;/Valeur&gt;</v>
      </c>
      <c r="AC80" t="str">
        <f t="shared" si="11"/>
        <v>&lt;Valeur name="pointer"&gt;1&lt;/Valeur&gt;</v>
      </c>
      <c r="AD80" t="str">
        <f t="shared" si="12"/>
        <v>&lt;Valeur name="idbanque"&gt;300760283626261100200EUR201902270293906100&lt;/Valeur&gt;</v>
      </c>
      <c r="AE80" t="str">
        <f t="shared" si="13"/>
        <v>&lt;Valeur name="datevaleur"&gt;2019/02/27&lt;/Valeur&gt;</v>
      </c>
      <c r="AF80" t="str">
        <f t="shared" si="14"/>
        <v>&lt;Valeur name="intitule"&gt;E-VIR SEPA Salaire Lefort 02/201&lt;/Valeur&gt;</v>
      </c>
      <c r="AG80" t="str">
        <f t="shared" si="15"/>
        <v>&lt;Valeur name="description"&gt;&lt;/Valeur&gt;</v>
      </c>
      <c r="AH80" t="str">
        <f t="shared" si="16"/>
        <v>&lt;Valeur name="compte"&gt;28&lt;/Valeur&gt;</v>
      </c>
      <c r="AI80" t="str">
        <f t="shared" si="17"/>
        <v>&lt;Valeur name="solde"&gt;-10092.47&lt;/Valeur&gt;</v>
      </c>
      <c r="AJ80" t="str">
        <f t="shared" si="18"/>
        <v>&lt;Valeur name="ventiler"&gt;0&lt;/Valeur&gt;</v>
      </c>
      <c r="AK80" t="str">
        <f t="shared" si="19"/>
        <v>&lt;Valeur name="compta"&gt;1&lt;/Valeur&gt;</v>
      </c>
      <c r="AL80" t="str">
        <f t="shared" si="20"/>
        <v>&lt;Valeur name="valeur"&gt;1416.64&lt;/Valeur&gt;</v>
      </c>
      <c r="AN80" t="str">
        <f t="shared" si="33"/>
        <v>&lt;Insert&gt;&lt;Valeur name="no"&gt;72&lt;/Valeur&gt;&lt;Valeur name="banque"&gt;1&lt;/Valeur&gt;&lt;Valeur name="pointer"&gt;1&lt;/Valeur&gt;&lt;Valeur name="idbanque"&gt;300760283626261100200EUR201902270293906100&lt;/Valeur&gt;&lt;Valeur name="datevaleur"&gt;2019/02/27&lt;/Valeur&gt;&lt;Valeur name="intitule"&gt;E-VIR SEPA Salaire Lefort 02/201&lt;/Valeur&gt;&lt;Valeur name="description"&gt;&lt;/Valeur&gt;&lt;Valeur name="compte"&gt;28&lt;/Valeur&gt;&lt;Valeur name="solde"&gt;-10092.47&lt;/Valeur&gt;&lt;Valeur name="ventiler"&gt;0&lt;/Valeur&gt;&lt;Valeur name="compta"&gt;1&lt;/Valeur&gt;&lt;Valeur name="valeur"&gt;1416.64&lt;/Valeur&gt;&lt;/Insert&gt;</v>
      </c>
    </row>
    <row r="81" spans="1:40" x14ac:dyDescent="0.25">
      <c r="A81" t="s">
        <v>175</v>
      </c>
      <c r="B81">
        <v>73</v>
      </c>
      <c r="C81" s="1">
        <v>43523</v>
      </c>
      <c r="D81">
        <v>1</v>
      </c>
      <c r="E81" t="str">
        <f>IF(F81&lt;&gt;"",INDEX(Balance!A:A,MATCH(F81,Balance!B:B,0)),"")</f>
        <v>Depense</v>
      </c>
      <c r="F81" t="s">
        <v>256</v>
      </c>
      <c r="G81" t="s">
        <v>176</v>
      </c>
      <c r="I81" s="10">
        <v>1860.16</v>
      </c>
      <c r="K81" s="11">
        <f t="shared" si="24"/>
        <v>310.02666666666664</v>
      </c>
      <c r="L81" s="10">
        <f t="shared" si="25"/>
        <v>-11952.630000000005</v>
      </c>
      <c r="N81">
        <v>73</v>
      </c>
      <c r="O81">
        <v>1</v>
      </c>
      <c r="P81">
        <v>1</v>
      </c>
      <c r="Q81" t="str">
        <f t="shared" si="26"/>
        <v>300760283626261100200EUR201902270293906200</v>
      </c>
      <c r="R81" s="16" t="s">
        <v>957</v>
      </c>
      <c r="S81" t="str">
        <f t="shared" si="27"/>
        <v>E-VIR SEPA Salaire Hutin 02/2018</v>
      </c>
      <c r="U81">
        <f>IFERROR(VLOOKUP(F81,tab!A:B,2,FALSE),1)</f>
        <v>28</v>
      </c>
      <c r="V81" s="14">
        <f t="shared" si="28"/>
        <v>-11952.630000000005</v>
      </c>
      <c r="W81">
        <f t="shared" si="29"/>
        <v>0</v>
      </c>
      <c r="X81">
        <f t="shared" si="30"/>
        <v>1</v>
      </c>
      <c r="Y81" s="14">
        <f t="shared" si="31"/>
        <v>1860.16</v>
      </c>
      <c r="AA81" t="str">
        <f t="shared" si="32"/>
        <v>&lt;Valeur name="no"&gt;73&lt;/Valeur&gt;</v>
      </c>
      <c r="AB81" t="str">
        <f t="shared" si="32"/>
        <v>&lt;Valeur name="banque"&gt;1&lt;/Valeur&gt;</v>
      </c>
      <c r="AC81" t="str">
        <f t="shared" si="11"/>
        <v>&lt;Valeur name="pointer"&gt;1&lt;/Valeur&gt;</v>
      </c>
      <c r="AD81" t="str">
        <f t="shared" si="12"/>
        <v>&lt;Valeur name="idbanque"&gt;300760283626261100200EUR201902270293906200&lt;/Valeur&gt;</v>
      </c>
      <c r="AE81" t="str">
        <f t="shared" si="13"/>
        <v>&lt;Valeur name="datevaleur"&gt;2019/02/27&lt;/Valeur&gt;</v>
      </c>
      <c r="AF81" t="str">
        <f t="shared" si="14"/>
        <v>&lt;Valeur name="intitule"&gt;E-VIR SEPA Salaire Hutin 02/2018&lt;/Valeur&gt;</v>
      </c>
      <c r="AG81" t="str">
        <f t="shared" si="15"/>
        <v>&lt;Valeur name="description"&gt;&lt;/Valeur&gt;</v>
      </c>
      <c r="AH81" t="str">
        <f t="shared" si="16"/>
        <v>&lt;Valeur name="compte"&gt;28&lt;/Valeur&gt;</v>
      </c>
      <c r="AI81" t="str">
        <f t="shared" si="17"/>
        <v>&lt;Valeur name="solde"&gt;-11952.63&lt;/Valeur&gt;</v>
      </c>
      <c r="AJ81" t="str">
        <f t="shared" si="18"/>
        <v>&lt;Valeur name="ventiler"&gt;0&lt;/Valeur&gt;</v>
      </c>
      <c r="AK81" t="str">
        <f t="shared" si="19"/>
        <v>&lt;Valeur name="compta"&gt;1&lt;/Valeur&gt;</v>
      </c>
      <c r="AL81" t="str">
        <f t="shared" si="20"/>
        <v>&lt;Valeur name="valeur"&gt;1860.16&lt;/Valeur&gt;</v>
      </c>
      <c r="AN81" t="str">
        <f t="shared" si="33"/>
        <v>&lt;Insert&gt;&lt;Valeur name="no"&gt;73&lt;/Valeur&gt;&lt;Valeur name="banque"&gt;1&lt;/Valeur&gt;&lt;Valeur name="pointer"&gt;1&lt;/Valeur&gt;&lt;Valeur name="idbanque"&gt;300760283626261100200EUR201902270293906200&lt;/Valeur&gt;&lt;Valeur name="datevaleur"&gt;2019/02/27&lt;/Valeur&gt;&lt;Valeur name="intitule"&gt;E-VIR SEPA Salaire Hutin 02/2018&lt;/Valeur&gt;&lt;Valeur name="description"&gt;&lt;/Valeur&gt;&lt;Valeur name="compte"&gt;28&lt;/Valeur&gt;&lt;Valeur name="solde"&gt;-11952.63&lt;/Valeur&gt;&lt;Valeur name="ventiler"&gt;0&lt;/Valeur&gt;&lt;Valeur name="compta"&gt;1&lt;/Valeur&gt;&lt;Valeur name="valeur"&gt;1860.16&lt;/Valeur&gt;&lt;/Insert&gt;</v>
      </c>
    </row>
    <row r="82" spans="1:40" x14ac:dyDescent="0.25">
      <c r="A82" t="s">
        <v>168</v>
      </c>
      <c r="B82">
        <v>74</v>
      </c>
      <c r="C82" s="1">
        <v>43524</v>
      </c>
      <c r="E82" t="str">
        <f>IF(F82&lt;&gt;"",INDEX(Balance!A:A,MATCH(F82,Balance!B:B,0)),"")</f>
        <v/>
      </c>
      <c r="G82" t="s">
        <v>169</v>
      </c>
      <c r="I82" s="10">
        <v>3264.87</v>
      </c>
      <c r="K82" s="11">
        <f t="shared" si="24"/>
        <v>544.14499999999998</v>
      </c>
      <c r="L82" s="10">
        <f t="shared" si="25"/>
        <v>-15217.500000000004</v>
      </c>
      <c r="N82">
        <v>74</v>
      </c>
      <c r="O82">
        <v>1</v>
      </c>
      <c r="P82">
        <v>1</v>
      </c>
      <c r="Q82" t="str">
        <f t="shared" si="26"/>
        <v>300760283626261100200EUR201902280911860100</v>
      </c>
      <c r="R82" s="16" t="s">
        <v>889</v>
      </c>
      <c r="S82" t="str">
        <f t="shared" si="27"/>
        <v>RELEVE LCR DU  210219  CONFORME</v>
      </c>
      <c r="U82">
        <f>IFERROR(VLOOKUP(F82,tab!A:B,2,FALSE),1)</f>
        <v>1</v>
      </c>
      <c r="V82" s="14">
        <f t="shared" si="28"/>
        <v>-15217.500000000004</v>
      </c>
      <c r="W82">
        <f t="shared" si="29"/>
        <v>1</v>
      </c>
      <c r="X82" t="str">
        <f t="shared" si="30"/>
        <v/>
      </c>
      <c r="Y82" s="14">
        <f t="shared" si="31"/>
        <v>3264.87</v>
      </c>
      <c r="AA82" t="str">
        <f t="shared" si="32"/>
        <v>&lt;Valeur name="no"&gt;74&lt;/Valeur&gt;</v>
      </c>
      <c r="AB82" t="str">
        <f t="shared" si="32"/>
        <v>&lt;Valeur name="banque"&gt;1&lt;/Valeur&gt;</v>
      </c>
      <c r="AC82" t="str">
        <f t="shared" ref="AC82:AC145" si="34">IF(ISBLANK($N82),"",P$1&amp;P82&amp;"&lt;/Valeur&gt;")</f>
        <v>&lt;Valeur name="pointer"&gt;1&lt;/Valeur&gt;</v>
      </c>
      <c r="AD82" t="str">
        <f t="shared" ref="AD82:AD145" si="35">IF(ISBLANK($N82),"",Q$1&amp;Q82&amp;"&lt;/Valeur&gt;")</f>
        <v>&lt;Valeur name="idbanque"&gt;300760283626261100200EUR201902280911860100&lt;/Valeur&gt;</v>
      </c>
      <c r="AE82" t="str">
        <f t="shared" ref="AE82:AE145" si="36">IF(ISBLANK($N82),"",R$1&amp;R82&amp;"&lt;/Valeur&gt;")</f>
        <v>&lt;Valeur name="datevaleur"&gt;2019/02/28&lt;/Valeur&gt;</v>
      </c>
      <c r="AF82" t="str">
        <f t="shared" ref="AF82:AF145" si="37">IF(ISBLANK($N82),"",S$1&amp;S82&amp;"&lt;/Valeur&gt;")</f>
        <v>&lt;Valeur name="intitule"&gt;RELEVE LCR DU  210219  CONFORME&lt;/Valeur&gt;</v>
      </c>
      <c r="AG82" t="str">
        <f t="shared" ref="AG82:AG145" si="38">IF(ISBLANK($N82),"",T$1&amp;T82&amp;"&lt;/Valeur&gt;")</f>
        <v>&lt;Valeur name="description"&gt;&lt;/Valeur&gt;</v>
      </c>
      <c r="AH82" t="str">
        <f t="shared" ref="AH82:AH145" si="39">IF(ISBLANK($N82),"",U$1&amp;U82&amp;"&lt;/Valeur&gt;")</f>
        <v>&lt;Valeur name="compte"&gt;1&lt;/Valeur&gt;</v>
      </c>
      <c r="AI82" t="str">
        <f t="shared" ref="AI82:AI145" si="40">IF(ISBLANK($N82),"",V$1&amp;V82&amp;"&lt;/Valeur&gt;")</f>
        <v>&lt;Valeur name="solde"&gt;-15217.5&lt;/Valeur&gt;</v>
      </c>
      <c r="AJ82" t="str">
        <f t="shared" ref="AJ82:AJ145" si="41">IF(ISBLANK($N82),"",W$1&amp;W82&amp;"&lt;/Valeur&gt;")</f>
        <v>&lt;Valeur name="ventiler"&gt;1&lt;/Valeur&gt;</v>
      </c>
      <c r="AK82" t="str">
        <f t="shared" ref="AK82:AK145" si="42">IF(ISBLANK($N82),"",X$1&amp;X82&amp;"&lt;/Valeur&gt;")</f>
        <v>&lt;Valeur name="compta"&gt;&lt;/Valeur&gt;</v>
      </c>
      <c r="AL82" t="str">
        <f t="shared" ref="AL82:AL145" si="43">IF(ISBLANK($N82),"",Y$1&amp;Y82&amp;"&lt;/Valeur&gt;")</f>
        <v>&lt;Valeur name="valeur"&gt;3264.87&lt;/Valeur&gt;</v>
      </c>
      <c r="AN82" t="str">
        <f t="shared" si="33"/>
        <v>&lt;Insert&gt;&lt;Valeur name="no"&gt;74&lt;/Valeur&gt;&lt;Valeur name="banque"&gt;1&lt;/Valeur&gt;&lt;Valeur name="pointer"&gt;1&lt;/Valeur&gt;&lt;Valeur name="idbanque"&gt;300760283626261100200EUR201902280911860100&lt;/Valeur&gt;&lt;Valeur name="datevaleur"&gt;2019/02/28&lt;/Valeur&gt;&lt;Valeur name="intitule"&gt;RELEVE LCR DU  210219  CONFORME&lt;/Valeur&gt;&lt;Valeur name="description"&gt;&lt;/Valeur&gt;&lt;Valeur name="compte"&gt;1&lt;/Valeur&gt;&lt;Valeur name="solde"&gt;-15217.5&lt;/Valeur&gt;&lt;Valeur name="ventiler"&gt;1&lt;/Valeur&gt;&lt;Valeur name="compta"&gt;&lt;/Valeur&gt;&lt;Valeur name="valeur"&gt;3264.87&lt;/Valeur&gt;&lt;/Insert&gt;</v>
      </c>
    </row>
    <row r="83" spans="1:40" x14ac:dyDescent="0.25">
      <c r="C83" s="1"/>
      <c r="E83" t="str">
        <f>IF(F83&lt;&gt;"",INDEX(Balance!A:A,MATCH(F83,Balance!B:B,0)),"")</f>
        <v>Fournisseurs</v>
      </c>
      <c r="F83" t="s">
        <v>276</v>
      </c>
      <c r="I83" s="10">
        <v>429.54</v>
      </c>
      <c r="O83">
        <v>1</v>
      </c>
      <c r="P83">
        <v>1</v>
      </c>
      <c r="Q83">
        <f t="shared" si="26"/>
        <v>0</v>
      </c>
      <c r="R83" s="16" t="s">
        <v>874</v>
      </c>
      <c r="S83" t="str">
        <f t="shared" si="27"/>
        <v/>
      </c>
      <c r="U83">
        <f>IFERROR(VLOOKUP(F83,tab!A:B,2,FALSE),1)</f>
        <v>114</v>
      </c>
      <c r="V83" s="14">
        <f t="shared" si="28"/>
        <v>0</v>
      </c>
      <c r="W83">
        <f t="shared" si="29"/>
        <v>1</v>
      </c>
      <c r="X83" t="str">
        <f t="shared" si="30"/>
        <v/>
      </c>
      <c r="Y83" s="14">
        <f t="shared" si="31"/>
        <v>429.54</v>
      </c>
      <c r="AA83" t="str">
        <f t="shared" si="32"/>
        <v/>
      </c>
      <c r="AB83" t="str">
        <f t="shared" si="32"/>
        <v/>
      </c>
      <c r="AC83" t="str">
        <f t="shared" si="34"/>
        <v/>
      </c>
      <c r="AD83" t="str">
        <f t="shared" si="35"/>
        <v/>
      </c>
      <c r="AE83" t="str">
        <f t="shared" si="36"/>
        <v/>
      </c>
      <c r="AF83" t="str">
        <f t="shared" si="37"/>
        <v/>
      </c>
      <c r="AG83" t="str">
        <f t="shared" si="38"/>
        <v/>
      </c>
      <c r="AH83" t="str">
        <f t="shared" si="39"/>
        <v/>
      </c>
      <c r="AI83" t="str">
        <f t="shared" si="40"/>
        <v/>
      </c>
      <c r="AJ83" t="str">
        <f t="shared" si="41"/>
        <v/>
      </c>
      <c r="AK83" t="str">
        <f t="shared" si="42"/>
        <v/>
      </c>
      <c r="AL83" t="str">
        <f t="shared" si="43"/>
        <v/>
      </c>
      <c r="AN83" t="str">
        <f t="shared" si="33"/>
        <v/>
      </c>
    </row>
    <row r="84" spans="1:40" x14ac:dyDescent="0.25">
      <c r="C84" s="1"/>
      <c r="E84" t="str">
        <f>IF(F84&lt;&gt;"",INDEX(Balance!A:A,MATCH(F84,Balance!B:B,0)),"")</f>
        <v>Fournisseurs</v>
      </c>
      <c r="F84" t="s">
        <v>286</v>
      </c>
      <c r="I84" s="10">
        <v>444</v>
      </c>
      <c r="O84">
        <v>1</v>
      </c>
      <c r="P84">
        <v>1</v>
      </c>
      <c r="Q84">
        <f t="shared" si="26"/>
        <v>0</v>
      </c>
      <c r="R84" s="16" t="s">
        <v>874</v>
      </c>
      <c r="S84" t="str">
        <f t="shared" si="27"/>
        <v/>
      </c>
      <c r="U84">
        <f>IFERROR(VLOOKUP(F84,tab!A:B,2,FALSE),1)</f>
        <v>33</v>
      </c>
      <c r="V84" s="14">
        <f t="shared" si="28"/>
        <v>0</v>
      </c>
      <c r="W84">
        <f t="shared" si="29"/>
        <v>1</v>
      </c>
      <c r="X84" t="str">
        <f t="shared" si="30"/>
        <v/>
      </c>
      <c r="Y84" s="14">
        <f t="shared" si="31"/>
        <v>444</v>
      </c>
      <c r="AA84" t="str">
        <f t="shared" si="32"/>
        <v/>
      </c>
      <c r="AB84" t="str">
        <f t="shared" si="32"/>
        <v/>
      </c>
      <c r="AC84" t="str">
        <f t="shared" si="34"/>
        <v/>
      </c>
      <c r="AD84" t="str">
        <f t="shared" si="35"/>
        <v/>
      </c>
      <c r="AE84" t="str">
        <f t="shared" si="36"/>
        <v/>
      </c>
      <c r="AF84" t="str">
        <f t="shared" si="37"/>
        <v/>
      </c>
      <c r="AG84" t="str">
        <f t="shared" si="38"/>
        <v/>
      </c>
      <c r="AH84" t="str">
        <f t="shared" si="39"/>
        <v/>
      </c>
      <c r="AI84" t="str">
        <f t="shared" si="40"/>
        <v/>
      </c>
      <c r="AJ84" t="str">
        <f t="shared" si="41"/>
        <v/>
      </c>
      <c r="AK84" t="str">
        <f t="shared" si="42"/>
        <v/>
      </c>
      <c r="AL84" t="str">
        <f t="shared" si="43"/>
        <v/>
      </c>
      <c r="AN84" t="str">
        <f t="shared" si="33"/>
        <v/>
      </c>
    </row>
    <row r="85" spans="1:40" x14ac:dyDescent="0.25">
      <c r="C85" s="1"/>
      <c r="E85" t="str">
        <f>IF(F85&lt;&gt;"",INDEX(Balance!A:A,MATCH(F85,Balance!B:B,0)),"")</f>
        <v>Fournisseurs</v>
      </c>
      <c r="F85" t="s">
        <v>274</v>
      </c>
      <c r="I85" s="10">
        <v>455.24</v>
      </c>
      <c r="O85">
        <v>1</v>
      </c>
      <c r="P85">
        <v>1</v>
      </c>
      <c r="Q85">
        <f t="shared" si="26"/>
        <v>0</v>
      </c>
      <c r="R85" s="16" t="s">
        <v>874</v>
      </c>
      <c r="S85" t="str">
        <f t="shared" si="27"/>
        <v/>
      </c>
      <c r="U85">
        <f>IFERROR(VLOOKUP(F85,tab!A:B,2,FALSE),1)</f>
        <v>63</v>
      </c>
      <c r="V85" s="14">
        <f t="shared" si="28"/>
        <v>0</v>
      </c>
      <c r="W85">
        <f t="shared" si="29"/>
        <v>1</v>
      </c>
      <c r="X85" t="str">
        <f t="shared" si="30"/>
        <v/>
      </c>
      <c r="Y85" s="14">
        <f t="shared" si="31"/>
        <v>455.24</v>
      </c>
      <c r="AA85" t="str">
        <f t="shared" si="32"/>
        <v/>
      </c>
      <c r="AB85" t="str">
        <f t="shared" si="32"/>
        <v/>
      </c>
      <c r="AC85" t="str">
        <f t="shared" si="34"/>
        <v/>
      </c>
      <c r="AD85" t="str">
        <f t="shared" si="35"/>
        <v/>
      </c>
      <c r="AE85" t="str">
        <f t="shared" si="36"/>
        <v/>
      </c>
      <c r="AF85" t="str">
        <f t="shared" si="37"/>
        <v/>
      </c>
      <c r="AG85" t="str">
        <f t="shared" si="38"/>
        <v/>
      </c>
      <c r="AH85" t="str">
        <f t="shared" si="39"/>
        <v/>
      </c>
      <c r="AI85" t="str">
        <f t="shared" si="40"/>
        <v/>
      </c>
      <c r="AJ85" t="str">
        <f t="shared" si="41"/>
        <v/>
      </c>
      <c r="AK85" t="str">
        <f t="shared" si="42"/>
        <v/>
      </c>
      <c r="AL85" t="str">
        <f t="shared" si="43"/>
        <v/>
      </c>
      <c r="AN85" t="str">
        <f t="shared" si="33"/>
        <v/>
      </c>
    </row>
    <row r="86" spans="1:40" x14ac:dyDescent="0.25">
      <c r="C86" s="1"/>
      <c r="E86" t="str">
        <f>IF(F86&lt;&gt;"",INDEX(Balance!A:A,MATCH(F86,Balance!B:B,0)),"")</f>
        <v>Fournisseurs</v>
      </c>
      <c r="F86" t="s">
        <v>259</v>
      </c>
      <c r="I86" s="10">
        <v>1936.09</v>
      </c>
      <c r="O86">
        <v>1</v>
      </c>
      <c r="P86">
        <v>1</v>
      </c>
      <c r="Q86">
        <f t="shared" si="26"/>
        <v>0</v>
      </c>
      <c r="R86" s="16" t="s">
        <v>874</v>
      </c>
      <c r="S86" t="str">
        <f t="shared" si="27"/>
        <v/>
      </c>
      <c r="U86">
        <f>IFERROR(VLOOKUP(F86,tab!A:B,2,FALSE),1)</f>
        <v>72</v>
      </c>
      <c r="V86" s="14">
        <f t="shared" si="28"/>
        <v>0</v>
      </c>
      <c r="W86">
        <f t="shared" si="29"/>
        <v>0</v>
      </c>
      <c r="X86" t="str">
        <f t="shared" si="30"/>
        <v/>
      </c>
      <c r="Y86" s="14">
        <f t="shared" si="31"/>
        <v>1936.09</v>
      </c>
      <c r="AA86" t="str">
        <f t="shared" si="32"/>
        <v/>
      </c>
      <c r="AB86" t="str">
        <f t="shared" si="32"/>
        <v/>
      </c>
      <c r="AC86" t="str">
        <f t="shared" si="34"/>
        <v/>
      </c>
      <c r="AD86" t="str">
        <f t="shared" si="35"/>
        <v/>
      </c>
      <c r="AE86" t="str">
        <f t="shared" si="36"/>
        <v/>
      </c>
      <c r="AF86" t="str">
        <f t="shared" si="37"/>
        <v/>
      </c>
      <c r="AG86" t="str">
        <f t="shared" si="38"/>
        <v/>
      </c>
      <c r="AH86" t="str">
        <f t="shared" si="39"/>
        <v/>
      </c>
      <c r="AI86" t="str">
        <f t="shared" si="40"/>
        <v/>
      </c>
      <c r="AJ86" t="str">
        <f t="shared" si="41"/>
        <v/>
      </c>
      <c r="AK86" t="str">
        <f t="shared" si="42"/>
        <v/>
      </c>
      <c r="AL86" t="str">
        <f t="shared" si="43"/>
        <v/>
      </c>
      <c r="AN86" t="str">
        <f t="shared" si="33"/>
        <v/>
      </c>
    </row>
    <row r="87" spans="1:40" x14ac:dyDescent="0.25">
      <c r="A87" t="s">
        <v>166</v>
      </c>
      <c r="B87">
        <v>75</v>
      </c>
      <c r="C87" s="1">
        <v>43524</v>
      </c>
      <c r="D87">
        <v>1</v>
      </c>
      <c r="E87" t="str">
        <f>IF(F87&lt;&gt;"",INDEX(Balance!A:A,MATCH(F87,Balance!B:B,0)),"")</f>
        <v>Depense</v>
      </c>
      <c r="F87" t="s">
        <v>254</v>
      </c>
      <c r="G87" t="s">
        <v>167</v>
      </c>
      <c r="I87" s="10">
        <v>14.85</v>
      </c>
      <c r="K87" s="11">
        <f t="shared" ref="K87:K118" si="44">IF(I87&gt;0,I87-(I87/TVA),-(J87-(J87/TVA)))</f>
        <v>2.4749999999999996</v>
      </c>
      <c r="L87" s="10">
        <f>L82-I87+J87</f>
        <v>-15232.350000000004</v>
      </c>
      <c r="N87">
        <v>75</v>
      </c>
      <c r="O87">
        <v>1</v>
      </c>
      <c r="P87">
        <v>1</v>
      </c>
      <c r="Q87" t="str">
        <f t="shared" si="26"/>
        <v>300760283626261100200EUR201902281079657900</v>
      </c>
      <c r="R87" s="16" t="s">
        <v>889</v>
      </c>
      <c r="S87" t="str">
        <f t="shared" si="27"/>
        <v>CB 454106 COTE BOULAN 59TOURCOIN</v>
      </c>
      <c r="U87">
        <f>IFERROR(VLOOKUP(F87,tab!A:B,2,FALSE),1)</f>
        <v>27</v>
      </c>
      <c r="V87" s="14">
        <f t="shared" si="28"/>
        <v>-15232.350000000004</v>
      </c>
      <c r="W87">
        <f t="shared" si="29"/>
        <v>0</v>
      </c>
      <c r="X87">
        <f t="shared" si="30"/>
        <v>1</v>
      </c>
      <c r="Y87" s="14">
        <f t="shared" si="31"/>
        <v>14.85</v>
      </c>
      <c r="AA87" t="str">
        <f t="shared" si="32"/>
        <v>&lt;Valeur name="no"&gt;75&lt;/Valeur&gt;</v>
      </c>
      <c r="AB87" t="str">
        <f t="shared" si="32"/>
        <v>&lt;Valeur name="banque"&gt;1&lt;/Valeur&gt;</v>
      </c>
      <c r="AC87" t="str">
        <f t="shared" si="34"/>
        <v>&lt;Valeur name="pointer"&gt;1&lt;/Valeur&gt;</v>
      </c>
      <c r="AD87" t="str">
        <f t="shared" si="35"/>
        <v>&lt;Valeur name="idbanque"&gt;300760283626261100200EUR201902281079657900&lt;/Valeur&gt;</v>
      </c>
      <c r="AE87" t="str">
        <f t="shared" si="36"/>
        <v>&lt;Valeur name="datevaleur"&gt;2019/02/28&lt;/Valeur&gt;</v>
      </c>
      <c r="AF87" t="str">
        <f t="shared" si="37"/>
        <v>&lt;Valeur name="intitule"&gt;CB 454106 COTE BOULAN 59TOURCOIN&lt;/Valeur&gt;</v>
      </c>
      <c r="AG87" t="str">
        <f t="shared" si="38"/>
        <v>&lt;Valeur name="description"&gt;&lt;/Valeur&gt;</v>
      </c>
      <c r="AH87" t="str">
        <f t="shared" si="39"/>
        <v>&lt;Valeur name="compte"&gt;27&lt;/Valeur&gt;</v>
      </c>
      <c r="AI87" t="str">
        <f t="shared" si="40"/>
        <v>&lt;Valeur name="solde"&gt;-15232.35&lt;/Valeur&gt;</v>
      </c>
      <c r="AJ87" t="str">
        <f t="shared" si="41"/>
        <v>&lt;Valeur name="ventiler"&gt;0&lt;/Valeur&gt;</v>
      </c>
      <c r="AK87" t="str">
        <f t="shared" si="42"/>
        <v>&lt;Valeur name="compta"&gt;1&lt;/Valeur&gt;</v>
      </c>
      <c r="AL87" t="str">
        <f t="shared" si="43"/>
        <v>&lt;Valeur name="valeur"&gt;14.85&lt;/Valeur&gt;</v>
      </c>
      <c r="AN87" t="str">
        <f t="shared" si="33"/>
        <v>&lt;Insert&gt;&lt;Valeur name="no"&gt;75&lt;/Valeur&gt;&lt;Valeur name="banque"&gt;1&lt;/Valeur&gt;&lt;Valeur name="pointer"&gt;1&lt;/Valeur&gt;&lt;Valeur name="idbanque"&gt;300760283626261100200EUR201902281079657900&lt;/Valeur&gt;&lt;Valeur name="datevaleur"&gt;2019/02/28&lt;/Valeur&gt;&lt;Valeur name="intitule"&gt;CB 454106 COTE BOULAN 59TOURCOIN&lt;/Valeur&gt;&lt;Valeur name="description"&gt;&lt;/Valeur&gt;&lt;Valeur name="compte"&gt;27&lt;/Valeur&gt;&lt;Valeur name="solde"&gt;-15232.35&lt;/Valeur&gt;&lt;Valeur name="ventiler"&gt;0&lt;/Valeur&gt;&lt;Valeur name="compta"&gt;1&lt;/Valeur&gt;&lt;Valeur name="valeur"&gt;14.85&lt;/Valeur&gt;&lt;/Insert&gt;</v>
      </c>
    </row>
    <row r="88" spans="1:40" x14ac:dyDescent="0.25">
      <c r="A88" t="s">
        <v>164</v>
      </c>
      <c r="B88">
        <v>76</v>
      </c>
      <c r="C88" s="1">
        <v>43524</v>
      </c>
      <c r="D88">
        <v>1</v>
      </c>
      <c r="E88" t="str">
        <f>IF(F88&lt;&gt;"",INDEX(Balance!A:A,MATCH(F88,Balance!B:B,0)),"")</f>
        <v>Depense</v>
      </c>
      <c r="F88" t="s">
        <v>372</v>
      </c>
      <c r="G88" t="s">
        <v>165</v>
      </c>
      <c r="I88" s="10">
        <v>3.1</v>
      </c>
      <c r="K88" s="11">
        <f t="shared" si="44"/>
        <v>0.51666666666666661</v>
      </c>
      <c r="L88" s="10">
        <f t="shared" ref="L88:L118" si="45">L87-I88+J88</f>
        <v>-15235.450000000004</v>
      </c>
      <c r="N88">
        <v>76</v>
      </c>
      <c r="O88">
        <v>1</v>
      </c>
      <c r="P88">
        <v>1</v>
      </c>
      <c r="Q88" t="str">
        <f t="shared" si="26"/>
        <v>300760283626261100200EUR201902281079658000</v>
      </c>
      <c r="R88" s="16" t="s">
        <v>889</v>
      </c>
      <c r="S88" t="str">
        <f t="shared" si="27"/>
        <v>CB 454106 SANEF 1902- 60SENLIS</v>
      </c>
      <c r="U88">
        <f>IFERROR(VLOOKUP(F88,tab!A:B,2,FALSE),1)</f>
        <v>21</v>
      </c>
      <c r="V88" s="14">
        <f t="shared" si="28"/>
        <v>-15235.450000000004</v>
      </c>
      <c r="W88">
        <f t="shared" si="29"/>
        <v>0</v>
      </c>
      <c r="X88">
        <f t="shared" si="30"/>
        <v>1</v>
      </c>
      <c r="Y88" s="14">
        <f t="shared" si="31"/>
        <v>3.1</v>
      </c>
      <c r="AA88" t="str">
        <f t="shared" si="32"/>
        <v>&lt;Valeur name="no"&gt;76&lt;/Valeur&gt;</v>
      </c>
      <c r="AB88" t="str">
        <f t="shared" si="32"/>
        <v>&lt;Valeur name="banque"&gt;1&lt;/Valeur&gt;</v>
      </c>
      <c r="AC88" t="str">
        <f t="shared" si="34"/>
        <v>&lt;Valeur name="pointer"&gt;1&lt;/Valeur&gt;</v>
      </c>
      <c r="AD88" t="str">
        <f t="shared" si="35"/>
        <v>&lt;Valeur name="idbanque"&gt;300760283626261100200EUR201902281079658000&lt;/Valeur&gt;</v>
      </c>
      <c r="AE88" t="str">
        <f t="shared" si="36"/>
        <v>&lt;Valeur name="datevaleur"&gt;2019/02/28&lt;/Valeur&gt;</v>
      </c>
      <c r="AF88" t="str">
        <f t="shared" si="37"/>
        <v>&lt;Valeur name="intitule"&gt;CB 454106 SANEF 1902- 60SENLIS&lt;/Valeur&gt;</v>
      </c>
      <c r="AG88" t="str">
        <f t="shared" si="38"/>
        <v>&lt;Valeur name="description"&gt;&lt;/Valeur&gt;</v>
      </c>
      <c r="AH88" t="str">
        <f t="shared" si="39"/>
        <v>&lt;Valeur name="compte"&gt;21&lt;/Valeur&gt;</v>
      </c>
      <c r="AI88" t="str">
        <f t="shared" si="40"/>
        <v>&lt;Valeur name="solde"&gt;-15235.45&lt;/Valeur&gt;</v>
      </c>
      <c r="AJ88" t="str">
        <f t="shared" si="41"/>
        <v>&lt;Valeur name="ventiler"&gt;0&lt;/Valeur&gt;</v>
      </c>
      <c r="AK88" t="str">
        <f t="shared" si="42"/>
        <v>&lt;Valeur name="compta"&gt;1&lt;/Valeur&gt;</v>
      </c>
      <c r="AL88" t="str">
        <f t="shared" si="43"/>
        <v>&lt;Valeur name="valeur"&gt;3.1&lt;/Valeur&gt;</v>
      </c>
      <c r="AN88" t="str">
        <f t="shared" si="33"/>
        <v>&lt;Insert&gt;&lt;Valeur name="no"&gt;76&lt;/Valeur&gt;&lt;Valeur name="banque"&gt;1&lt;/Valeur&gt;&lt;Valeur name="pointer"&gt;1&lt;/Valeur&gt;&lt;Valeur name="idbanque"&gt;300760283626261100200EUR201902281079658000&lt;/Valeur&gt;&lt;Valeur name="datevaleur"&gt;2019/02/28&lt;/Valeur&gt;&lt;Valeur name="intitule"&gt;CB 454106 SANEF 1902- 60SENLIS&lt;/Valeur&gt;&lt;Valeur name="description"&gt;&lt;/Valeur&gt;&lt;Valeur name="compte"&gt;21&lt;/Valeur&gt;&lt;Valeur name="solde"&gt;-15235.45&lt;/Valeur&gt;&lt;Valeur name="ventiler"&gt;0&lt;/Valeur&gt;&lt;Valeur name="compta"&gt;1&lt;/Valeur&gt;&lt;Valeur name="valeur"&gt;3.1&lt;/Valeur&gt;&lt;/Insert&gt;</v>
      </c>
    </row>
    <row r="89" spans="1:40" x14ac:dyDescent="0.25">
      <c r="A89" t="s">
        <v>162</v>
      </c>
      <c r="B89">
        <v>77</v>
      </c>
      <c r="C89" s="1">
        <v>43525</v>
      </c>
      <c r="D89">
        <v>1</v>
      </c>
      <c r="E89" t="str">
        <f>IF(F89&lt;&gt;"",INDEX(Balance!A:A,MATCH(F89,Balance!B:B,0)),"")</f>
        <v>Depense</v>
      </c>
      <c r="F89" t="s">
        <v>257</v>
      </c>
      <c r="G89" t="s">
        <v>163</v>
      </c>
      <c r="I89" s="10">
        <v>132</v>
      </c>
      <c r="K89" s="11">
        <f t="shared" si="44"/>
        <v>22</v>
      </c>
      <c r="L89" s="10">
        <f t="shared" si="45"/>
        <v>-15367.450000000004</v>
      </c>
      <c r="N89">
        <v>77</v>
      </c>
      <c r="O89">
        <v>1</v>
      </c>
      <c r="P89">
        <v>1</v>
      </c>
      <c r="Q89" t="str">
        <f t="shared" si="26"/>
        <v>300760283626261100200EUR201903010882667800</v>
      </c>
      <c r="R89" s="16" t="s">
        <v>891</v>
      </c>
      <c r="S89" t="str">
        <f t="shared" si="27"/>
        <v>COTIS.CONVENTION ALLIANCE</v>
      </c>
      <c r="U89">
        <f>IFERROR(VLOOKUP(F89,tab!A:B,2,FALSE),1)</f>
        <v>18</v>
      </c>
      <c r="V89" s="14">
        <f t="shared" si="28"/>
        <v>-15367.450000000004</v>
      </c>
      <c r="W89">
        <f t="shared" si="29"/>
        <v>0</v>
      </c>
      <c r="X89">
        <f t="shared" si="30"/>
        <v>1</v>
      </c>
      <c r="Y89" s="14">
        <f t="shared" si="31"/>
        <v>132</v>
      </c>
      <c r="AA89" t="str">
        <f t="shared" si="32"/>
        <v>&lt;Valeur name="no"&gt;77&lt;/Valeur&gt;</v>
      </c>
      <c r="AB89" t="str">
        <f t="shared" si="32"/>
        <v>&lt;Valeur name="banque"&gt;1&lt;/Valeur&gt;</v>
      </c>
      <c r="AC89" t="str">
        <f t="shared" si="34"/>
        <v>&lt;Valeur name="pointer"&gt;1&lt;/Valeur&gt;</v>
      </c>
      <c r="AD89" t="str">
        <f t="shared" si="35"/>
        <v>&lt;Valeur name="idbanque"&gt;300760283626261100200EUR201903010882667800&lt;/Valeur&gt;</v>
      </c>
      <c r="AE89" t="str">
        <f t="shared" si="36"/>
        <v>&lt;Valeur name="datevaleur"&gt;2019/03/01&lt;/Valeur&gt;</v>
      </c>
      <c r="AF89" t="str">
        <f t="shared" si="37"/>
        <v>&lt;Valeur name="intitule"&gt;COTIS.CONVENTION ALLIANCE&lt;/Valeur&gt;</v>
      </c>
      <c r="AG89" t="str">
        <f t="shared" si="38"/>
        <v>&lt;Valeur name="description"&gt;&lt;/Valeur&gt;</v>
      </c>
      <c r="AH89" t="str">
        <f t="shared" si="39"/>
        <v>&lt;Valeur name="compte"&gt;18&lt;/Valeur&gt;</v>
      </c>
      <c r="AI89" t="str">
        <f t="shared" si="40"/>
        <v>&lt;Valeur name="solde"&gt;-15367.45&lt;/Valeur&gt;</v>
      </c>
      <c r="AJ89" t="str">
        <f t="shared" si="41"/>
        <v>&lt;Valeur name="ventiler"&gt;0&lt;/Valeur&gt;</v>
      </c>
      <c r="AK89" t="str">
        <f t="shared" si="42"/>
        <v>&lt;Valeur name="compta"&gt;1&lt;/Valeur&gt;</v>
      </c>
      <c r="AL89" t="str">
        <f t="shared" si="43"/>
        <v>&lt;Valeur name="valeur"&gt;132&lt;/Valeur&gt;</v>
      </c>
      <c r="AN89" t="str">
        <f t="shared" si="33"/>
        <v>&lt;Insert&gt;&lt;Valeur name="no"&gt;77&lt;/Valeur&gt;&lt;Valeur name="banque"&gt;1&lt;/Valeur&gt;&lt;Valeur name="pointer"&gt;1&lt;/Valeur&gt;&lt;Valeur name="idbanque"&gt;300760283626261100200EUR201903010882667800&lt;/Valeur&gt;&lt;Valeur name="datevaleur"&gt;2019/03/01&lt;/Valeur&gt;&lt;Valeur name="intitule"&gt;COTIS.CONVENTION ALLIANCE&lt;/Valeur&gt;&lt;Valeur name="description"&gt;&lt;/Valeur&gt;&lt;Valeur name="compte"&gt;18&lt;/Valeur&gt;&lt;Valeur name="solde"&gt;-15367.45&lt;/Valeur&gt;&lt;Valeur name="ventiler"&gt;0&lt;/Valeur&gt;&lt;Valeur name="compta"&gt;1&lt;/Valeur&gt;&lt;Valeur name="valeur"&gt;132&lt;/Valeur&gt;&lt;/Insert&gt;</v>
      </c>
    </row>
    <row r="90" spans="1:40" x14ac:dyDescent="0.25">
      <c r="A90" t="s">
        <v>161</v>
      </c>
      <c r="B90">
        <v>78</v>
      </c>
      <c r="C90" s="1">
        <v>43525</v>
      </c>
      <c r="D90">
        <v>1</v>
      </c>
      <c r="E90" t="str">
        <f>IF(F90&lt;&gt;"",INDEX(Balance!A:A,MATCH(F90,Balance!B:B,0)),"")</f>
        <v>Depense</v>
      </c>
      <c r="F90" t="s">
        <v>254</v>
      </c>
      <c r="G90" t="s">
        <v>33</v>
      </c>
      <c r="I90" s="10">
        <v>16</v>
      </c>
      <c r="K90" s="11">
        <f t="shared" si="44"/>
        <v>2.6666666666666661</v>
      </c>
      <c r="L90" s="10">
        <f t="shared" si="45"/>
        <v>-15383.450000000004</v>
      </c>
      <c r="N90">
        <v>78</v>
      </c>
      <c r="O90">
        <v>1</v>
      </c>
      <c r="P90">
        <v>1</v>
      </c>
      <c r="Q90" t="str">
        <f t="shared" si="26"/>
        <v>300760283626261100200EUR201903011078044500</v>
      </c>
      <c r="R90" s="16" t="s">
        <v>891</v>
      </c>
      <c r="S90" t="str">
        <f t="shared" si="27"/>
        <v>CB 454106 PIZZA NONNA 59VILLENEU</v>
      </c>
      <c r="U90">
        <f>IFERROR(VLOOKUP(F90,tab!A:B,2,FALSE),1)</f>
        <v>27</v>
      </c>
      <c r="V90" s="14">
        <f t="shared" si="28"/>
        <v>-15383.450000000004</v>
      </c>
      <c r="W90">
        <f t="shared" si="29"/>
        <v>0</v>
      </c>
      <c r="X90">
        <f t="shared" si="30"/>
        <v>1</v>
      </c>
      <c r="Y90" s="14">
        <f t="shared" si="31"/>
        <v>16</v>
      </c>
      <c r="AA90" t="str">
        <f t="shared" si="32"/>
        <v>&lt;Valeur name="no"&gt;78&lt;/Valeur&gt;</v>
      </c>
      <c r="AB90" t="str">
        <f t="shared" si="32"/>
        <v>&lt;Valeur name="banque"&gt;1&lt;/Valeur&gt;</v>
      </c>
      <c r="AC90" t="str">
        <f t="shared" si="34"/>
        <v>&lt;Valeur name="pointer"&gt;1&lt;/Valeur&gt;</v>
      </c>
      <c r="AD90" t="str">
        <f t="shared" si="35"/>
        <v>&lt;Valeur name="idbanque"&gt;300760283626261100200EUR201903011078044500&lt;/Valeur&gt;</v>
      </c>
      <c r="AE90" t="str">
        <f t="shared" si="36"/>
        <v>&lt;Valeur name="datevaleur"&gt;2019/03/01&lt;/Valeur&gt;</v>
      </c>
      <c r="AF90" t="str">
        <f t="shared" si="37"/>
        <v>&lt;Valeur name="intitule"&gt;CB 454106 PIZZA NONNA 59VILLENEU&lt;/Valeur&gt;</v>
      </c>
      <c r="AG90" t="str">
        <f t="shared" si="38"/>
        <v>&lt;Valeur name="description"&gt;&lt;/Valeur&gt;</v>
      </c>
      <c r="AH90" t="str">
        <f t="shared" si="39"/>
        <v>&lt;Valeur name="compte"&gt;27&lt;/Valeur&gt;</v>
      </c>
      <c r="AI90" t="str">
        <f t="shared" si="40"/>
        <v>&lt;Valeur name="solde"&gt;-15383.45&lt;/Valeur&gt;</v>
      </c>
      <c r="AJ90" t="str">
        <f t="shared" si="41"/>
        <v>&lt;Valeur name="ventiler"&gt;0&lt;/Valeur&gt;</v>
      </c>
      <c r="AK90" t="str">
        <f t="shared" si="42"/>
        <v>&lt;Valeur name="compta"&gt;1&lt;/Valeur&gt;</v>
      </c>
      <c r="AL90" t="str">
        <f t="shared" si="43"/>
        <v>&lt;Valeur name="valeur"&gt;16&lt;/Valeur&gt;</v>
      </c>
      <c r="AN90" t="str">
        <f t="shared" si="33"/>
        <v>&lt;Insert&gt;&lt;Valeur name="no"&gt;78&lt;/Valeur&gt;&lt;Valeur name="banque"&gt;1&lt;/Valeur&gt;&lt;Valeur name="pointer"&gt;1&lt;/Valeur&gt;&lt;Valeur name="idbanque"&gt;300760283626261100200EUR201903011078044500&lt;/Valeur&gt;&lt;Valeur name="datevaleur"&gt;2019/03/01&lt;/Valeur&gt;&lt;Valeur name="intitule"&gt;CB 454106 PIZZA NONNA 59VILLENEU&lt;/Valeur&gt;&lt;Valeur name="description"&gt;&lt;/Valeur&gt;&lt;Valeur name="compte"&gt;27&lt;/Valeur&gt;&lt;Valeur name="solde"&gt;-15383.45&lt;/Valeur&gt;&lt;Valeur name="ventiler"&gt;0&lt;/Valeur&gt;&lt;Valeur name="compta"&gt;1&lt;/Valeur&gt;&lt;Valeur name="valeur"&gt;16&lt;/Valeur&gt;&lt;/Insert&gt;</v>
      </c>
    </row>
    <row r="91" spans="1:40" x14ac:dyDescent="0.25">
      <c r="A91" t="s">
        <v>157</v>
      </c>
      <c r="B91">
        <v>79</v>
      </c>
      <c r="C91" s="1">
        <v>43525</v>
      </c>
      <c r="D91">
        <v>1</v>
      </c>
      <c r="E91" t="str">
        <f>IF(F91&lt;&gt;"",INDEX(Balance!A:A,MATCH(F91,Balance!B:B,0)),"")</f>
        <v>Depense</v>
      </c>
      <c r="F91" t="s">
        <v>257</v>
      </c>
      <c r="G91" t="s">
        <v>31</v>
      </c>
      <c r="I91" s="10">
        <v>0.21</v>
      </c>
      <c r="K91" s="11">
        <f t="shared" si="44"/>
        <v>3.5000000000000003E-2</v>
      </c>
      <c r="L91" s="10">
        <f t="shared" si="45"/>
        <v>-15383.660000000003</v>
      </c>
      <c r="N91">
        <v>79</v>
      </c>
      <c r="O91">
        <v>1</v>
      </c>
      <c r="P91">
        <v>1</v>
      </c>
      <c r="Q91" t="str">
        <f t="shared" si="26"/>
        <v>300760283626261100200EUR201903019225927800</v>
      </c>
      <c r="R91" s="16" t="s">
        <v>891</v>
      </c>
      <c r="S91" t="str">
        <f t="shared" si="27"/>
        <v>FRAIS E-VIR SEPA VERS EEE</v>
      </c>
      <c r="U91">
        <f>IFERROR(VLOOKUP(F91,tab!A:B,2,FALSE),1)</f>
        <v>18</v>
      </c>
      <c r="V91" s="14">
        <f t="shared" si="28"/>
        <v>-15383.660000000003</v>
      </c>
      <c r="W91">
        <f t="shared" si="29"/>
        <v>0</v>
      </c>
      <c r="X91">
        <f t="shared" si="30"/>
        <v>1</v>
      </c>
      <c r="Y91" s="14">
        <f t="shared" si="31"/>
        <v>0.21</v>
      </c>
      <c r="AA91" t="str">
        <f t="shared" si="32"/>
        <v>&lt;Valeur name="no"&gt;79&lt;/Valeur&gt;</v>
      </c>
      <c r="AB91" t="str">
        <f t="shared" si="32"/>
        <v>&lt;Valeur name="banque"&gt;1&lt;/Valeur&gt;</v>
      </c>
      <c r="AC91" t="str">
        <f t="shared" si="34"/>
        <v>&lt;Valeur name="pointer"&gt;1&lt;/Valeur&gt;</v>
      </c>
      <c r="AD91" t="str">
        <f t="shared" si="35"/>
        <v>&lt;Valeur name="idbanque"&gt;300760283626261100200EUR201903019225927800&lt;/Valeur&gt;</v>
      </c>
      <c r="AE91" t="str">
        <f t="shared" si="36"/>
        <v>&lt;Valeur name="datevaleur"&gt;2019/03/01&lt;/Valeur&gt;</v>
      </c>
      <c r="AF91" t="str">
        <f t="shared" si="37"/>
        <v>&lt;Valeur name="intitule"&gt;FRAIS E-VIR SEPA VERS EEE&lt;/Valeur&gt;</v>
      </c>
      <c r="AG91" t="str">
        <f t="shared" si="38"/>
        <v>&lt;Valeur name="description"&gt;&lt;/Valeur&gt;</v>
      </c>
      <c r="AH91" t="str">
        <f t="shared" si="39"/>
        <v>&lt;Valeur name="compte"&gt;18&lt;/Valeur&gt;</v>
      </c>
      <c r="AI91" t="str">
        <f t="shared" si="40"/>
        <v>&lt;Valeur name="solde"&gt;-15383.66&lt;/Valeur&gt;</v>
      </c>
      <c r="AJ91" t="str">
        <f t="shared" si="41"/>
        <v>&lt;Valeur name="ventiler"&gt;0&lt;/Valeur&gt;</v>
      </c>
      <c r="AK91" t="str">
        <f t="shared" si="42"/>
        <v>&lt;Valeur name="compta"&gt;1&lt;/Valeur&gt;</v>
      </c>
      <c r="AL91" t="str">
        <f t="shared" si="43"/>
        <v>&lt;Valeur name="valeur"&gt;0.21&lt;/Valeur&gt;</v>
      </c>
      <c r="AN91" t="str">
        <f t="shared" si="33"/>
        <v>&lt;Insert&gt;&lt;Valeur name="no"&gt;79&lt;/Valeur&gt;&lt;Valeur name="banque"&gt;1&lt;/Valeur&gt;&lt;Valeur name="pointer"&gt;1&lt;/Valeur&gt;&lt;Valeur name="idbanque"&gt;300760283626261100200EUR201903019225927800&lt;/Valeur&gt;&lt;Valeur name="datevaleur"&gt;2019/03/01&lt;/Valeur&gt;&lt;Valeur name="intitule"&gt;FRAIS E-VIR SEPA VERS EEE&lt;/Valeur&gt;&lt;Valeur name="description"&gt;&lt;/Valeur&gt;&lt;Valeur name="compte"&gt;18&lt;/Valeur&gt;&lt;Valeur name="solde"&gt;-15383.66&lt;/Valeur&gt;&lt;Valeur name="ventiler"&gt;0&lt;/Valeur&gt;&lt;Valeur name="compta"&gt;1&lt;/Valeur&gt;&lt;Valeur name="valeur"&gt;0.21&lt;/Valeur&gt;&lt;/Insert&gt;</v>
      </c>
    </row>
    <row r="92" spans="1:40" x14ac:dyDescent="0.25">
      <c r="A92" t="s">
        <v>158</v>
      </c>
      <c r="B92">
        <v>80</v>
      </c>
      <c r="C92" s="1">
        <v>43525</v>
      </c>
      <c r="D92">
        <v>1</v>
      </c>
      <c r="E92" t="str">
        <f>IF(F92&lt;&gt;"",INDEX(Balance!A:A,MATCH(F92,Balance!B:B,0)),"")</f>
        <v>Depense</v>
      </c>
      <c r="F92" t="s">
        <v>257</v>
      </c>
      <c r="G92" t="s">
        <v>31</v>
      </c>
      <c r="I92" s="10">
        <v>0.21</v>
      </c>
      <c r="K92" s="11">
        <f t="shared" si="44"/>
        <v>3.5000000000000003E-2</v>
      </c>
      <c r="L92" s="10">
        <f t="shared" si="45"/>
        <v>-15383.870000000003</v>
      </c>
      <c r="N92">
        <v>80</v>
      </c>
      <c r="O92">
        <v>1</v>
      </c>
      <c r="P92">
        <v>1</v>
      </c>
      <c r="Q92" t="str">
        <f t="shared" si="26"/>
        <v>300760283626261100200EUR201903019225927900</v>
      </c>
      <c r="R92" s="16" t="s">
        <v>891</v>
      </c>
      <c r="S92" t="str">
        <f t="shared" si="27"/>
        <v>FRAIS E-VIR SEPA VERS EEE</v>
      </c>
      <c r="U92">
        <f>IFERROR(VLOOKUP(F92,tab!A:B,2,FALSE),1)</f>
        <v>18</v>
      </c>
      <c r="V92" s="14">
        <f t="shared" si="28"/>
        <v>-15383.870000000003</v>
      </c>
      <c r="W92">
        <f t="shared" si="29"/>
        <v>0</v>
      </c>
      <c r="X92">
        <f t="shared" si="30"/>
        <v>1</v>
      </c>
      <c r="Y92" s="14">
        <f t="shared" si="31"/>
        <v>0.21</v>
      </c>
      <c r="AA92" t="str">
        <f t="shared" si="32"/>
        <v>&lt;Valeur name="no"&gt;80&lt;/Valeur&gt;</v>
      </c>
      <c r="AB92" t="str">
        <f t="shared" si="32"/>
        <v>&lt;Valeur name="banque"&gt;1&lt;/Valeur&gt;</v>
      </c>
      <c r="AC92" t="str">
        <f t="shared" si="34"/>
        <v>&lt;Valeur name="pointer"&gt;1&lt;/Valeur&gt;</v>
      </c>
      <c r="AD92" t="str">
        <f t="shared" si="35"/>
        <v>&lt;Valeur name="idbanque"&gt;300760283626261100200EUR201903019225927900&lt;/Valeur&gt;</v>
      </c>
      <c r="AE92" t="str">
        <f t="shared" si="36"/>
        <v>&lt;Valeur name="datevaleur"&gt;2019/03/01&lt;/Valeur&gt;</v>
      </c>
      <c r="AF92" t="str">
        <f t="shared" si="37"/>
        <v>&lt;Valeur name="intitule"&gt;FRAIS E-VIR SEPA VERS EEE&lt;/Valeur&gt;</v>
      </c>
      <c r="AG92" t="str">
        <f t="shared" si="38"/>
        <v>&lt;Valeur name="description"&gt;&lt;/Valeur&gt;</v>
      </c>
      <c r="AH92" t="str">
        <f t="shared" si="39"/>
        <v>&lt;Valeur name="compte"&gt;18&lt;/Valeur&gt;</v>
      </c>
      <c r="AI92" t="str">
        <f t="shared" si="40"/>
        <v>&lt;Valeur name="solde"&gt;-15383.87&lt;/Valeur&gt;</v>
      </c>
      <c r="AJ92" t="str">
        <f t="shared" si="41"/>
        <v>&lt;Valeur name="ventiler"&gt;0&lt;/Valeur&gt;</v>
      </c>
      <c r="AK92" t="str">
        <f t="shared" si="42"/>
        <v>&lt;Valeur name="compta"&gt;1&lt;/Valeur&gt;</v>
      </c>
      <c r="AL92" t="str">
        <f t="shared" si="43"/>
        <v>&lt;Valeur name="valeur"&gt;0.21&lt;/Valeur&gt;</v>
      </c>
      <c r="AN92" t="str">
        <f t="shared" si="33"/>
        <v>&lt;Insert&gt;&lt;Valeur name="no"&gt;80&lt;/Valeur&gt;&lt;Valeur name="banque"&gt;1&lt;/Valeur&gt;&lt;Valeur name="pointer"&gt;1&lt;/Valeur&gt;&lt;Valeur name="idbanque"&gt;300760283626261100200EUR201903019225927900&lt;/Valeur&gt;&lt;Valeur name="datevaleur"&gt;2019/03/01&lt;/Valeur&gt;&lt;Valeur name="intitule"&gt;FRAIS E-VIR SEPA VERS EEE&lt;/Valeur&gt;&lt;Valeur name="description"&gt;&lt;/Valeur&gt;&lt;Valeur name="compte"&gt;18&lt;/Valeur&gt;&lt;Valeur name="solde"&gt;-15383.87&lt;/Valeur&gt;&lt;Valeur name="ventiler"&gt;0&lt;/Valeur&gt;&lt;Valeur name="compta"&gt;1&lt;/Valeur&gt;&lt;Valeur name="valeur"&gt;0.21&lt;/Valeur&gt;&lt;/Insert&gt;</v>
      </c>
    </row>
    <row r="93" spans="1:40" x14ac:dyDescent="0.25">
      <c r="A93" t="s">
        <v>159</v>
      </c>
      <c r="B93">
        <v>81</v>
      </c>
      <c r="C93" s="1">
        <v>43525</v>
      </c>
      <c r="D93">
        <v>1</v>
      </c>
      <c r="E93" t="str">
        <f>IF(F93&lt;&gt;"",INDEX(Balance!A:A,MATCH(F93,Balance!B:B,0)),"")</f>
        <v>Depense</v>
      </c>
      <c r="F93" t="s">
        <v>257</v>
      </c>
      <c r="G93" t="s">
        <v>31</v>
      </c>
      <c r="I93" s="10">
        <v>0.21</v>
      </c>
      <c r="K93" s="11">
        <f t="shared" si="44"/>
        <v>3.5000000000000003E-2</v>
      </c>
      <c r="L93" s="10">
        <f t="shared" si="45"/>
        <v>-15384.080000000002</v>
      </c>
      <c r="N93">
        <v>81</v>
      </c>
      <c r="O93">
        <v>1</v>
      </c>
      <c r="P93">
        <v>1</v>
      </c>
      <c r="Q93" t="str">
        <f t="shared" si="26"/>
        <v>300760283626261100200EUR201903019225928000</v>
      </c>
      <c r="R93" s="16" t="s">
        <v>891</v>
      </c>
      <c r="S93" t="str">
        <f t="shared" si="27"/>
        <v>FRAIS E-VIR SEPA VERS EEE</v>
      </c>
      <c r="U93">
        <f>IFERROR(VLOOKUP(F93,tab!A:B,2,FALSE),1)</f>
        <v>18</v>
      </c>
      <c r="V93" s="14">
        <f t="shared" si="28"/>
        <v>-15384.080000000002</v>
      </c>
      <c r="W93">
        <f t="shared" si="29"/>
        <v>0</v>
      </c>
      <c r="X93">
        <f t="shared" si="30"/>
        <v>1</v>
      </c>
      <c r="Y93" s="14">
        <f t="shared" si="31"/>
        <v>0.21</v>
      </c>
      <c r="AA93" t="str">
        <f t="shared" si="32"/>
        <v>&lt;Valeur name="no"&gt;81&lt;/Valeur&gt;</v>
      </c>
      <c r="AB93" t="str">
        <f t="shared" si="32"/>
        <v>&lt;Valeur name="banque"&gt;1&lt;/Valeur&gt;</v>
      </c>
      <c r="AC93" t="str">
        <f t="shared" si="34"/>
        <v>&lt;Valeur name="pointer"&gt;1&lt;/Valeur&gt;</v>
      </c>
      <c r="AD93" t="str">
        <f t="shared" si="35"/>
        <v>&lt;Valeur name="idbanque"&gt;300760283626261100200EUR201903019225928000&lt;/Valeur&gt;</v>
      </c>
      <c r="AE93" t="str">
        <f t="shared" si="36"/>
        <v>&lt;Valeur name="datevaleur"&gt;2019/03/01&lt;/Valeur&gt;</v>
      </c>
      <c r="AF93" t="str">
        <f t="shared" si="37"/>
        <v>&lt;Valeur name="intitule"&gt;FRAIS E-VIR SEPA VERS EEE&lt;/Valeur&gt;</v>
      </c>
      <c r="AG93" t="str">
        <f t="shared" si="38"/>
        <v>&lt;Valeur name="description"&gt;&lt;/Valeur&gt;</v>
      </c>
      <c r="AH93" t="str">
        <f t="shared" si="39"/>
        <v>&lt;Valeur name="compte"&gt;18&lt;/Valeur&gt;</v>
      </c>
      <c r="AI93" t="str">
        <f t="shared" si="40"/>
        <v>&lt;Valeur name="solde"&gt;-15384.08&lt;/Valeur&gt;</v>
      </c>
      <c r="AJ93" t="str">
        <f t="shared" si="41"/>
        <v>&lt;Valeur name="ventiler"&gt;0&lt;/Valeur&gt;</v>
      </c>
      <c r="AK93" t="str">
        <f t="shared" si="42"/>
        <v>&lt;Valeur name="compta"&gt;1&lt;/Valeur&gt;</v>
      </c>
      <c r="AL93" t="str">
        <f t="shared" si="43"/>
        <v>&lt;Valeur name="valeur"&gt;0.21&lt;/Valeur&gt;</v>
      </c>
      <c r="AN93" t="str">
        <f t="shared" si="33"/>
        <v>&lt;Insert&gt;&lt;Valeur name="no"&gt;81&lt;/Valeur&gt;&lt;Valeur name="banque"&gt;1&lt;/Valeur&gt;&lt;Valeur name="pointer"&gt;1&lt;/Valeur&gt;&lt;Valeur name="idbanque"&gt;300760283626261100200EUR201903019225928000&lt;/Valeur&gt;&lt;Valeur name="datevaleur"&gt;2019/03/01&lt;/Valeur&gt;&lt;Valeur name="intitule"&gt;FRAIS E-VIR SEPA VERS EEE&lt;/Valeur&gt;&lt;Valeur name="description"&gt;&lt;/Valeur&gt;&lt;Valeur name="compte"&gt;18&lt;/Valeur&gt;&lt;Valeur name="solde"&gt;-15384.08&lt;/Valeur&gt;&lt;Valeur name="ventiler"&gt;0&lt;/Valeur&gt;&lt;Valeur name="compta"&gt;1&lt;/Valeur&gt;&lt;Valeur name="valeur"&gt;0.21&lt;/Valeur&gt;&lt;/Insert&gt;</v>
      </c>
    </row>
    <row r="94" spans="1:40" x14ac:dyDescent="0.25">
      <c r="A94" t="s">
        <v>160</v>
      </c>
      <c r="B94">
        <v>82</v>
      </c>
      <c r="C94" s="1">
        <v>43525</v>
      </c>
      <c r="D94">
        <v>1</v>
      </c>
      <c r="E94" t="str">
        <f>IF(F94&lt;&gt;"",INDEX(Balance!A:A,MATCH(F94,Balance!B:B,0)),"")</f>
        <v>Depense</v>
      </c>
      <c r="F94" t="s">
        <v>257</v>
      </c>
      <c r="G94" t="s">
        <v>31</v>
      </c>
      <c r="I94" s="10">
        <v>0.21</v>
      </c>
      <c r="K94" s="11">
        <f t="shared" si="44"/>
        <v>3.5000000000000003E-2</v>
      </c>
      <c r="L94" s="10">
        <f t="shared" si="45"/>
        <v>-15384.29</v>
      </c>
      <c r="N94">
        <v>82</v>
      </c>
      <c r="O94">
        <v>1</v>
      </c>
      <c r="P94">
        <v>1</v>
      </c>
      <c r="Q94" t="str">
        <f t="shared" si="26"/>
        <v>300760283626261100200EUR201903019225928100</v>
      </c>
      <c r="R94" s="16" t="s">
        <v>891</v>
      </c>
      <c r="S94" t="str">
        <f t="shared" si="27"/>
        <v>FRAIS E-VIR SEPA VERS EEE</v>
      </c>
      <c r="U94">
        <f>IFERROR(VLOOKUP(F94,tab!A:B,2,FALSE),1)</f>
        <v>18</v>
      </c>
      <c r="V94" s="14">
        <f t="shared" si="28"/>
        <v>-15384.29</v>
      </c>
      <c r="W94">
        <f t="shared" si="29"/>
        <v>0</v>
      </c>
      <c r="X94">
        <f t="shared" si="30"/>
        <v>1</v>
      </c>
      <c r="Y94" s="14">
        <f t="shared" si="31"/>
        <v>0.21</v>
      </c>
      <c r="AA94" t="str">
        <f t="shared" si="32"/>
        <v>&lt;Valeur name="no"&gt;82&lt;/Valeur&gt;</v>
      </c>
      <c r="AB94" t="str">
        <f t="shared" si="32"/>
        <v>&lt;Valeur name="banque"&gt;1&lt;/Valeur&gt;</v>
      </c>
      <c r="AC94" t="str">
        <f t="shared" si="34"/>
        <v>&lt;Valeur name="pointer"&gt;1&lt;/Valeur&gt;</v>
      </c>
      <c r="AD94" t="str">
        <f t="shared" si="35"/>
        <v>&lt;Valeur name="idbanque"&gt;300760283626261100200EUR201903019225928100&lt;/Valeur&gt;</v>
      </c>
      <c r="AE94" t="str">
        <f t="shared" si="36"/>
        <v>&lt;Valeur name="datevaleur"&gt;2019/03/01&lt;/Valeur&gt;</v>
      </c>
      <c r="AF94" t="str">
        <f t="shared" si="37"/>
        <v>&lt;Valeur name="intitule"&gt;FRAIS E-VIR SEPA VERS EEE&lt;/Valeur&gt;</v>
      </c>
      <c r="AG94" t="str">
        <f t="shared" si="38"/>
        <v>&lt;Valeur name="description"&gt;&lt;/Valeur&gt;</v>
      </c>
      <c r="AH94" t="str">
        <f t="shared" si="39"/>
        <v>&lt;Valeur name="compte"&gt;18&lt;/Valeur&gt;</v>
      </c>
      <c r="AI94" t="str">
        <f t="shared" si="40"/>
        <v>&lt;Valeur name="solde"&gt;-15384.29&lt;/Valeur&gt;</v>
      </c>
      <c r="AJ94" t="str">
        <f t="shared" si="41"/>
        <v>&lt;Valeur name="ventiler"&gt;0&lt;/Valeur&gt;</v>
      </c>
      <c r="AK94" t="str">
        <f t="shared" si="42"/>
        <v>&lt;Valeur name="compta"&gt;1&lt;/Valeur&gt;</v>
      </c>
      <c r="AL94" t="str">
        <f t="shared" si="43"/>
        <v>&lt;Valeur name="valeur"&gt;0.21&lt;/Valeur&gt;</v>
      </c>
      <c r="AN94" t="str">
        <f t="shared" si="33"/>
        <v>&lt;Insert&gt;&lt;Valeur name="no"&gt;82&lt;/Valeur&gt;&lt;Valeur name="banque"&gt;1&lt;/Valeur&gt;&lt;Valeur name="pointer"&gt;1&lt;/Valeur&gt;&lt;Valeur name="idbanque"&gt;300760283626261100200EUR201903019225928100&lt;/Valeur&gt;&lt;Valeur name="datevaleur"&gt;2019/03/01&lt;/Valeur&gt;&lt;Valeur name="intitule"&gt;FRAIS E-VIR SEPA VERS EEE&lt;/Valeur&gt;&lt;Valeur name="description"&gt;&lt;/Valeur&gt;&lt;Valeur name="compte"&gt;18&lt;/Valeur&gt;&lt;Valeur name="solde"&gt;-15384.29&lt;/Valeur&gt;&lt;Valeur name="ventiler"&gt;0&lt;/Valeur&gt;&lt;Valeur name="compta"&gt;1&lt;/Valeur&gt;&lt;Valeur name="valeur"&gt;0.21&lt;/Valeur&gt;&lt;/Insert&gt;</v>
      </c>
    </row>
    <row r="95" spans="1:40" x14ac:dyDescent="0.25">
      <c r="A95" t="s">
        <v>155</v>
      </c>
      <c r="B95">
        <v>83</v>
      </c>
      <c r="C95" s="1">
        <v>43526</v>
      </c>
      <c r="D95">
        <v>1</v>
      </c>
      <c r="E95" t="str">
        <f>IF(F95&lt;&gt;"",INDEX(Balance!A:A,MATCH(F95,Balance!B:B,0)),"")</f>
        <v>Depense</v>
      </c>
      <c r="F95" t="s">
        <v>257</v>
      </c>
      <c r="G95" t="s">
        <v>156</v>
      </c>
      <c r="J95" s="10">
        <v>0</v>
      </c>
      <c r="K95" s="11">
        <f t="shared" si="44"/>
        <v>0</v>
      </c>
      <c r="L95" s="10">
        <f t="shared" si="45"/>
        <v>-15384.29</v>
      </c>
      <c r="N95">
        <v>83</v>
      </c>
      <c r="O95">
        <v>1</v>
      </c>
      <c r="P95">
        <v>1</v>
      </c>
      <c r="Q95" t="str">
        <f t="shared" si="26"/>
        <v>300760283626261100200EUR201903020842566300</v>
      </c>
      <c r="R95" s="16" t="s">
        <v>958</v>
      </c>
      <c r="S95" t="str">
        <f t="shared" si="27"/>
        <v>INTERNET PRO (GRATUIT AVEC C.ALL</v>
      </c>
      <c r="U95">
        <f>IFERROR(VLOOKUP(F95,tab!A:B,2,FALSE),1)</f>
        <v>18</v>
      </c>
      <c r="V95" s="14">
        <f t="shared" si="28"/>
        <v>-15384.29</v>
      </c>
      <c r="W95">
        <f t="shared" si="29"/>
        <v>0</v>
      </c>
      <c r="X95">
        <f t="shared" si="30"/>
        <v>1</v>
      </c>
      <c r="Y95" s="14">
        <f t="shared" si="31"/>
        <v>0</v>
      </c>
      <c r="AA95" t="str">
        <f t="shared" si="32"/>
        <v>&lt;Valeur name="no"&gt;83&lt;/Valeur&gt;</v>
      </c>
      <c r="AB95" t="str">
        <f t="shared" si="32"/>
        <v>&lt;Valeur name="banque"&gt;1&lt;/Valeur&gt;</v>
      </c>
      <c r="AC95" t="str">
        <f t="shared" si="34"/>
        <v>&lt;Valeur name="pointer"&gt;1&lt;/Valeur&gt;</v>
      </c>
      <c r="AD95" t="str">
        <f t="shared" si="35"/>
        <v>&lt;Valeur name="idbanque"&gt;300760283626261100200EUR201903020842566300&lt;/Valeur&gt;</v>
      </c>
      <c r="AE95" t="str">
        <f t="shared" si="36"/>
        <v>&lt;Valeur name="datevaleur"&gt;2019/03/02&lt;/Valeur&gt;</v>
      </c>
      <c r="AF95" t="str">
        <f t="shared" si="37"/>
        <v>&lt;Valeur name="intitule"&gt;INTERNET PRO (GRATUIT AVEC C.ALL&lt;/Valeur&gt;</v>
      </c>
      <c r="AG95" t="str">
        <f t="shared" si="38"/>
        <v>&lt;Valeur name="description"&gt;&lt;/Valeur&gt;</v>
      </c>
      <c r="AH95" t="str">
        <f t="shared" si="39"/>
        <v>&lt;Valeur name="compte"&gt;18&lt;/Valeur&gt;</v>
      </c>
      <c r="AI95" t="str">
        <f t="shared" si="40"/>
        <v>&lt;Valeur name="solde"&gt;-15384.29&lt;/Valeur&gt;</v>
      </c>
      <c r="AJ95" t="str">
        <f t="shared" si="41"/>
        <v>&lt;Valeur name="ventiler"&gt;0&lt;/Valeur&gt;</v>
      </c>
      <c r="AK95" t="str">
        <f t="shared" si="42"/>
        <v>&lt;Valeur name="compta"&gt;1&lt;/Valeur&gt;</v>
      </c>
      <c r="AL95" t="str">
        <f t="shared" si="43"/>
        <v>&lt;Valeur name="valeur"&gt;0&lt;/Valeur&gt;</v>
      </c>
      <c r="AN95" t="str">
        <f t="shared" si="33"/>
        <v>&lt;Insert&gt;&lt;Valeur name="no"&gt;83&lt;/Valeur&gt;&lt;Valeur name="banque"&gt;1&lt;/Valeur&gt;&lt;Valeur name="pointer"&gt;1&lt;/Valeur&gt;&lt;Valeur name="idbanque"&gt;300760283626261100200EUR201903020842566300&lt;/Valeur&gt;&lt;Valeur name="datevaleur"&gt;2019/03/02&lt;/Valeur&gt;&lt;Valeur name="intitule"&gt;INTERNET PRO (GRATUIT AVEC C.ALL&lt;/Valeur&gt;&lt;Valeur name="description"&gt;&lt;/Valeur&gt;&lt;Valeur name="compte"&gt;18&lt;/Valeur&gt;&lt;Valeur name="solde"&gt;-15384.29&lt;/Valeur&gt;&lt;Valeur name="ventiler"&gt;0&lt;/Valeur&gt;&lt;Valeur name="compta"&gt;1&lt;/Valeur&gt;&lt;Valeur name="valeur"&gt;0&lt;/Valeur&gt;&lt;/Insert&gt;</v>
      </c>
    </row>
    <row r="96" spans="1:40" x14ac:dyDescent="0.25">
      <c r="A96" t="s">
        <v>150</v>
      </c>
      <c r="B96">
        <v>84</v>
      </c>
      <c r="C96" s="1">
        <v>43528</v>
      </c>
      <c r="D96">
        <v>1</v>
      </c>
      <c r="E96" t="str">
        <f>IF(F96&lt;&gt;"",INDEX(Balance!A:A,MATCH(F96,Balance!B:B,0)),"")</f>
        <v>Fournisseurs</v>
      </c>
      <c r="F96" t="s">
        <v>273</v>
      </c>
      <c r="G96" t="s">
        <v>151</v>
      </c>
      <c r="I96" s="10">
        <v>311.74</v>
      </c>
      <c r="K96" s="11">
        <f t="shared" si="44"/>
        <v>51.956666666666649</v>
      </c>
      <c r="L96" s="10">
        <f t="shared" si="45"/>
        <v>-15696.03</v>
      </c>
      <c r="N96">
        <v>84</v>
      </c>
      <c r="O96">
        <v>1</v>
      </c>
      <c r="P96">
        <v>1</v>
      </c>
      <c r="Q96" t="str">
        <f t="shared" si="26"/>
        <v>300760283626261100200EUR201903040910605400</v>
      </c>
      <c r="R96" s="16" t="s">
        <v>959</v>
      </c>
      <c r="S96" t="str">
        <f t="shared" si="27"/>
        <v>RELEVE LCR DU  250219  CONFORME</v>
      </c>
      <c r="U96">
        <f>IFERROR(VLOOKUP(F96,tab!A:B,2,FALSE),1)</f>
        <v>32</v>
      </c>
      <c r="V96" s="14">
        <f t="shared" si="28"/>
        <v>-15696.03</v>
      </c>
      <c r="W96">
        <f t="shared" si="29"/>
        <v>0</v>
      </c>
      <c r="X96">
        <f t="shared" si="30"/>
        <v>1</v>
      </c>
      <c r="Y96" s="14">
        <f t="shared" si="31"/>
        <v>311.74</v>
      </c>
      <c r="AA96" t="str">
        <f t="shared" si="32"/>
        <v>&lt;Valeur name="no"&gt;84&lt;/Valeur&gt;</v>
      </c>
      <c r="AB96" t="str">
        <f t="shared" si="32"/>
        <v>&lt;Valeur name="banque"&gt;1&lt;/Valeur&gt;</v>
      </c>
      <c r="AC96" t="str">
        <f t="shared" si="34"/>
        <v>&lt;Valeur name="pointer"&gt;1&lt;/Valeur&gt;</v>
      </c>
      <c r="AD96" t="str">
        <f t="shared" si="35"/>
        <v>&lt;Valeur name="idbanque"&gt;300760283626261100200EUR201903040910605400&lt;/Valeur&gt;</v>
      </c>
      <c r="AE96" t="str">
        <f t="shared" si="36"/>
        <v>&lt;Valeur name="datevaleur"&gt;2019/03/04&lt;/Valeur&gt;</v>
      </c>
      <c r="AF96" t="str">
        <f t="shared" si="37"/>
        <v>&lt;Valeur name="intitule"&gt;RELEVE LCR DU  250219  CONFORME&lt;/Valeur&gt;</v>
      </c>
      <c r="AG96" t="str">
        <f t="shared" si="38"/>
        <v>&lt;Valeur name="description"&gt;&lt;/Valeur&gt;</v>
      </c>
      <c r="AH96" t="str">
        <f t="shared" si="39"/>
        <v>&lt;Valeur name="compte"&gt;32&lt;/Valeur&gt;</v>
      </c>
      <c r="AI96" t="str">
        <f t="shared" si="40"/>
        <v>&lt;Valeur name="solde"&gt;-15696.03&lt;/Valeur&gt;</v>
      </c>
      <c r="AJ96" t="str">
        <f t="shared" si="41"/>
        <v>&lt;Valeur name="ventiler"&gt;0&lt;/Valeur&gt;</v>
      </c>
      <c r="AK96" t="str">
        <f t="shared" si="42"/>
        <v>&lt;Valeur name="compta"&gt;1&lt;/Valeur&gt;</v>
      </c>
      <c r="AL96" t="str">
        <f t="shared" si="43"/>
        <v>&lt;Valeur name="valeur"&gt;311.74&lt;/Valeur&gt;</v>
      </c>
      <c r="AN96" t="str">
        <f t="shared" si="33"/>
        <v>&lt;Insert&gt;&lt;Valeur name="no"&gt;84&lt;/Valeur&gt;&lt;Valeur name="banque"&gt;1&lt;/Valeur&gt;&lt;Valeur name="pointer"&gt;1&lt;/Valeur&gt;&lt;Valeur name="idbanque"&gt;300760283626261100200EUR201903040910605400&lt;/Valeur&gt;&lt;Valeur name="datevaleur"&gt;2019/03/04&lt;/Valeur&gt;&lt;Valeur name="intitule"&gt;RELEVE LCR DU  250219  CONFORME&lt;/Valeur&gt;&lt;Valeur name="description"&gt;&lt;/Valeur&gt;&lt;Valeur name="compte"&gt;32&lt;/Valeur&gt;&lt;Valeur name="solde"&gt;-15696.03&lt;/Valeur&gt;&lt;Valeur name="ventiler"&gt;0&lt;/Valeur&gt;&lt;Valeur name="compta"&gt;1&lt;/Valeur&gt;&lt;Valeur name="valeur"&gt;311.74&lt;/Valeur&gt;&lt;/Insert&gt;</v>
      </c>
    </row>
    <row r="97" spans="1:40" x14ac:dyDescent="0.25">
      <c r="A97" t="s">
        <v>148</v>
      </c>
      <c r="B97">
        <v>85</v>
      </c>
      <c r="C97" s="1">
        <v>43528</v>
      </c>
      <c r="D97">
        <v>1</v>
      </c>
      <c r="E97" t="str">
        <f>IF(F97&lt;&gt;"",INDEX(Balance!A:A,MATCH(F97,Balance!B:B,0)),"")</f>
        <v>Depense</v>
      </c>
      <c r="F97" t="s">
        <v>253</v>
      </c>
      <c r="G97" t="s">
        <v>149</v>
      </c>
      <c r="I97" s="10">
        <v>72.239999999999995</v>
      </c>
      <c r="K97" s="11">
        <f t="shared" si="44"/>
        <v>12.04</v>
      </c>
      <c r="L97" s="10">
        <f t="shared" si="45"/>
        <v>-15768.27</v>
      </c>
      <c r="N97">
        <v>85</v>
      </c>
      <c r="O97">
        <v>1</v>
      </c>
      <c r="P97">
        <v>1</v>
      </c>
      <c r="Q97" t="str">
        <f t="shared" si="26"/>
        <v>300760283626261100200EUR201903041078514700</v>
      </c>
      <c r="R97" s="16" t="s">
        <v>959</v>
      </c>
      <c r="S97" t="str">
        <f t="shared" si="27"/>
        <v>CB 548222 CARREFOUR D 59AULNOY L</v>
      </c>
      <c r="U97">
        <f>IFERROR(VLOOKUP(F97,tab!A:B,2,FALSE),1)</f>
        <v>13</v>
      </c>
      <c r="V97" s="14">
        <f t="shared" si="28"/>
        <v>-15768.27</v>
      </c>
      <c r="W97">
        <f t="shared" si="29"/>
        <v>0</v>
      </c>
      <c r="X97">
        <f t="shared" si="30"/>
        <v>1</v>
      </c>
      <c r="Y97" s="14">
        <f t="shared" si="31"/>
        <v>72.239999999999995</v>
      </c>
      <c r="AA97" t="str">
        <f t="shared" si="32"/>
        <v>&lt;Valeur name="no"&gt;85&lt;/Valeur&gt;</v>
      </c>
      <c r="AB97" t="str">
        <f t="shared" si="32"/>
        <v>&lt;Valeur name="banque"&gt;1&lt;/Valeur&gt;</v>
      </c>
      <c r="AC97" t="str">
        <f t="shared" si="34"/>
        <v>&lt;Valeur name="pointer"&gt;1&lt;/Valeur&gt;</v>
      </c>
      <c r="AD97" t="str">
        <f t="shared" si="35"/>
        <v>&lt;Valeur name="idbanque"&gt;300760283626261100200EUR201903041078514700&lt;/Valeur&gt;</v>
      </c>
      <c r="AE97" t="str">
        <f t="shared" si="36"/>
        <v>&lt;Valeur name="datevaleur"&gt;2019/03/04&lt;/Valeur&gt;</v>
      </c>
      <c r="AF97" t="str">
        <f t="shared" si="37"/>
        <v>&lt;Valeur name="intitule"&gt;CB 548222 CARREFOUR D 59AULNOY L&lt;/Valeur&gt;</v>
      </c>
      <c r="AG97" t="str">
        <f t="shared" si="38"/>
        <v>&lt;Valeur name="description"&gt;&lt;/Valeur&gt;</v>
      </c>
      <c r="AH97" t="str">
        <f t="shared" si="39"/>
        <v>&lt;Valeur name="compte"&gt;13&lt;/Valeur&gt;</v>
      </c>
      <c r="AI97" t="str">
        <f t="shared" si="40"/>
        <v>&lt;Valeur name="solde"&gt;-15768.27&lt;/Valeur&gt;</v>
      </c>
      <c r="AJ97" t="str">
        <f t="shared" si="41"/>
        <v>&lt;Valeur name="ventiler"&gt;0&lt;/Valeur&gt;</v>
      </c>
      <c r="AK97" t="str">
        <f t="shared" si="42"/>
        <v>&lt;Valeur name="compta"&gt;1&lt;/Valeur&gt;</v>
      </c>
      <c r="AL97" t="str">
        <f t="shared" si="43"/>
        <v>&lt;Valeur name="valeur"&gt;72.24&lt;/Valeur&gt;</v>
      </c>
      <c r="AN97" t="str">
        <f t="shared" si="33"/>
        <v>&lt;Insert&gt;&lt;Valeur name="no"&gt;85&lt;/Valeur&gt;&lt;Valeur name="banque"&gt;1&lt;/Valeur&gt;&lt;Valeur name="pointer"&gt;1&lt;/Valeur&gt;&lt;Valeur name="idbanque"&gt;300760283626261100200EUR201903041078514700&lt;/Valeur&gt;&lt;Valeur name="datevaleur"&gt;2019/03/04&lt;/Valeur&gt;&lt;Valeur name="intitule"&gt;CB 548222 CARREFOUR D 59AULNOY L&lt;/Valeur&gt;&lt;Valeur name="description"&gt;&lt;/Valeur&gt;&lt;Valeur name="compte"&gt;13&lt;/Valeur&gt;&lt;Valeur name="solde"&gt;-15768.27&lt;/Valeur&gt;&lt;Valeur name="ventiler"&gt;0&lt;/Valeur&gt;&lt;Valeur name="compta"&gt;1&lt;/Valeur&gt;&lt;Valeur name="valeur"&gt;72.24&lt;/Valeur&gt;&lt;/Insert&gt;</v>
      </c>
    </row>
    <row r="98" spans="1:40" x14ac:dyDescent="0.25">
      <c r="A98" t="s">
        <v>147</v>
      </c>
      <c r="B98">
        <v>86</v>
      </c>
      <c r="C98" s="1">
        <v>43528</v>
      </c>
      <c r="D98">
        <v>1</v>
      </c>
      <c r="E98" t="str">
        <f>IF(F98&lt;&gt;"",INDEX(Balance!A:A,MATCH(F98,Balance!B:B,0)),"")</f>
        <v>Depense</v>
      </c>
      <c r="F98" t="s">
        <v>254</v>
      </c>
      <c r="G98" t="s">
        <v>33</v>
      </c>
      <c r="I98" s="10">
        <v>21</v>
      </c>
      <c r="K98" s="11">
        <f t="shared" si="44"/>
        <v>3.5</v>
      </c>
      <c r="L98" s="10">
        <f t="shared" si="45"/>
        <v>-15789.27</v>
      </c>
      <c r="N98">
        <v>86</v>
      </c>
      <c r="O98">
        <v>1</v>
      </c>
      <c r="P98">
        <v>1</v>
      </c>
      <c r="Q98" t="str">
        <f t="shared" si="26"/>
        <v>300760283626261100200EUR201903041078514800</v>
      </c>
      <c r="R98" s="16" t="s">
        <v>959</v>
      </c>
      <c r="S98" t="str">
        <f t="shared" si="27"/>
        <v>CB 454106 PIZZA NONNA 59VILLENEU</v>
      </c>
      <c r="U98">
        <f>IFERROR(VLOOKUP(F98,tab!A:B,2,FALSE),1)</f>
        <v>27</v>
      </c>
      <c r="V98" s="14">
        <f t="shared" si="28"/>
        <v>-15789.27</v>
      </c>
      <c r="W98">
        <f t="shared" si="29"/>
        <v>0</v>
      </c>
      <c r="X98">
        <f t="shared" si="30"/>
        <v>1</v>
      </c>
      <c r="Y98" s="14">
        <f t="shared" si="31"/>
        <v>21</v>
      </c>
      <c r="AA98" t="str">
        <f t="shared" si="32"/>
        <v>&lt;Valeur name="no"&gt;86&lt;/Valeur&gt;</v>
      </c>
      <c r="AB98" t="str">
        <f t="shared" si="32"/>
        <v>&lt;Valeur name="banque"&gt;1&lt;/Valeur&gt;</v>
      </c>
      <c r="AC98" t="str">
        <f t="shared" si="34"/>
        <v>&lt;Valeur name="pointer"&gt;1&lt;/Valeur&gt;</v>
      </c>
      <c r="AD98" t="str">
        <f t="shared" si="35"/>
        <v>&lt;Valeur name="idbanque"&gt;300760283626261100200EUR201903041078514800&lt;/Valeur&gt;</v>
      </c>
      <c r="AE98" t="str">
        <f t="shared" si="36"/>
        <v>&lt;Valeur name="datevaleur"&gt;2019/03/04&lt;/Valeur&gt;</v>
      </c>
      <c r="AF98" t="str">
        <f t="shared" si="37"/>
        <v>&lt;Valeur name="intitule"&gt;CB 454106 PIZZA NONNA 59VILLENEU&lt;/Valeur&gt;</v>
      </c>
      <c r="AG98" t="str">
        <f t="shared" si="38"/>
        <v>&lt;Valeur name="description"&gt;&lt;/Valeur&gt;</v>
      </c>
      <c r="AH98" t="str">
        <f t="shared" si="39"/>
        <v>&lt;Valeur name="compte"&gt;27&lt;/Valeur&gt;</v>
      </c>
      <c r="AI98" t="str">
        <f t="shared" si="40"/>
        <v>&lt;Valeur name="solde"&gt;-15789.27&lt;/Valeur&gt;</v>
      </c>
      <c r="AJ98" t="str">
        <f t="shared" si="41"/>
        <v>&lt;Valeur name="ventiler"&gt;0&lt;/Valeur&gt;</v>
      </c>
      <c r="AK98" t="str">
        <f t="shared" si="42"/>
        <v>&lt;Valeur name="compta"&gt;1&lt;/Valeur&gt;</v>
      </c>
      <c r="AL98" t="str">
        <f t="shared" si="43"/>
        <v>&lt;Valeur name="valeur"&gt;21&lt;/Valeur&gt;</v>
      </c>
      <c r="AN98" t="str">
        <f t="shared" si="33"/>
        <v>&lt;Insert&gt;&lt;Valeur name="no"&gt;86&lt;/Valeur&gt;&lt;Valeur name="banque"&gt;1&lt;/Valeur&gt;&lt;Valeur name="pointer"&gt;1&lt;/Valeur&gt;&lt;Valeur name="idbanque"&gt;300760283626261100200EUR201903041078514800&lt;/Valeur&gt;&lt;Valeur name="datevaleur"&gt;2019/03/04&lt;/Valeur&gt;&lt;Valeur name="intitule"&gt;CB 454106 PIZZA NONNA 59VILLENEU&lt;/Valeur&gt;&lt;Valeur name="description"&gt;&lt;/Valeur&gt;&lt;Valeur name="compte"&gt;27&lt;/Valeur&gt;&lt;Valeur name="solde"&gt;-15789.27&lt;/Valeur&gt;&lt;Valeur name="ventiler"&gt;0&lt;/Valeur&gt;&lt;Valeur name="compta"&gt;1&lt;/Valeur&gt;&lt;Valeur name="valeur"&gt;21&lt;/Valeur&gt;&lt;/Insert&gt;</v>
      </c>
    </row>
    <row r="99" spans="1:40" x14ac:dyDescent="0.25">
      <c r="A99" t="s">
        <v>152</v>
      </c>
      <c r="B99">
        <v>87</v>
      </c>
      <c r="C99" s="1">
        <v>43528</v>
      </c>
      <c r="D99">
        <v>1</v>
      </c>
      <c r="E99" t="str">
        <f>IF(F99&lt;&gt;"",INDEX(Balance!A:A,MATCH(F99,Balance!B:B,0)),"")</f>
        <v>Recette</v>
      </c>
      <c r="F99" t="s">
        <v>287</v>
      </c>
      <c r="G99" t="s">
        <v>153</v>
      </c>
      <c r="H99" t="s">
        <v>154</v>
      </c>
      <c r="J99" s="10">
        <v>1063.33</v>
      </c>
      <c r="K99" s="11">
        <f t="shared" si="44"/>
        <v>-177.22166666666658</v>
      </c>
      <c r="L99" s="10">
        <f t="shared" si="45"/>
        <v>-14725.94</v>
      </c>
      <c r="N99">
        <v>87</v>
      </c>
      <c r="O99">
        <v>1</v>
      </c>
      <c r="P99">
        <v>1</v>
      </c>
      <c r="Q99" t="str">
        <f t="shared" si="26"/>
        <v>300760283626261100200EUR201903046317675700</v>
      </c>
      <c r="R99" s="16" t="s">
        <v>959</v>
      </c>
      <c r="S99" t="str">
        <f t="shared" si="27"/>
        <v>VIR DRFIP ILE DE FRANCE ET D / 087013713 TPEJ TPE-JA04068122740</v>
      </c>
      <c r="U99">
        <f>IFERROR(VLOOKUP(F99,tab!A:B,2,FALSE),1)</f>
        <v>132</v>
      </c>
      <c r="V99" s="14">
        <f t="shared" si="28"/>
        <v>-14725.94</v>
      </c>
      <c r="W99">
        <f t="shared" si="29"/>
        <v>0</v>
      </c>
      <c r="X99">
        <f t="shared" si="30"/>
        <v>1</v>
      </c>
      <c r="Y99" s="14">
        <f t="shared" si="31"/>
        <v>1063.33</v>
      </c>
      <c r="AA99" t="str">
        <f t="shared" si="32"/>
        <v>&lt;Valeur name="no"&gt;87&lt;/Valeur&gt;</v>
      </c>
      <c r="AB99" t="str">
        <f t="shared" si="32"/>
        <v>&lt;Valeur name="banque"&gt;1&lt;/Valeur&gt;</v>
      </c>
      <c r="AC99" t="str">
        <f t="shared" si="34"/>
        <v>&lt;Valeur name="pointer"&gt;1&lt;/Valeur&gt;</v>
      </c>
      <c r="AD99" t="str">
        <f t="shared" si="35"/>
        <v>&lt;Valeur name="idbanque"&gt;300760283626261100200EUR201903046317675700&lt;/Valeur&gt;</v>
      </c>
      <c r="AE99" t="str">
        <f t="shared" si="36"/>
        <v>&lt;Valeur name="datevaleur"&gt;2019/03/04&lt;/Valeur&gt;</v>
      </c>
      <c r="AF99" t="str">
        <f t="shared" si="37"/>
        <v>&lt;Valeur name="intitule"&gt;VIR DRFIP ILE DE FRANCE ET D / 087013713 TPEJ TPE-JA04068122740&lt;/Valeur&gt;</v>
      </c>
      <c r="AG99" t="str">
        <f t="shared" si="38"/>
        <v>&lt;Valeur name="description"&gt;&lt;/Valeur&gt;</v>
      </c>
      <c r="AH99" t="str">
        <f t="shared" si="39"/>
        <v>&lt;Valeur name="compte"&gt;132&lt;/Valeur&gt;</v>
      </c>
      <c r="AI99" t="str">
        <f t="shared" si="40"/>
        <v>&lt;Valeur name="solde"&gt;-14725.94&lt;/Valeur&gt;</v>
      </c>
      <c r="AJ99" t="str">
        <f t="shared" si="41"/>
        <v>&lt;Valeur name="ventiler"&gt;0&lt;/Valeur&gt;</v>
      </c>
      <c r="AK99" t="str">
        <f t="shared" si="42"/>
        <v>&lt;Valeur name="compta"&gt;1&lt;/Valeur&gt;</v>
      </c>
      <c r="AL99" t="str">
        <f t="shared" si="43"/>
        <v>&lt;Valeur name="valeur"&gt;1063.33&lt;/Valeur&gt;</v>
      </c>
      <c r="AN99" t="str">
        <f t="shared" si="33"/>
        <v>&lt;Insert&gt;&lt;Valeur name="no"&gt;87&lt;/Valeur&gt;&lt;Valeur name="banque"&gt;1&lt;/Valeur&gt;&lt;Valeur name="pointer"&gt;1&lt;/Valeur&gt;&lt;Valeur name="idbanque"&gt;300760283626261100200EUR201903046317675700&lt;/Valeur&gt;&lt;Valeur name="datevaleur"&gt;2019/03/04&lt;/Valeur&gt;&lt;Valeur name="intitule"&gt;VIR DRFIP ILE DE FRANCE ET D / 087013713 TPEJ TPE-JA04068122740&lt;/Valeur&gt;&lt;Valeur name="description"&gt;&lt;/Valeur&gt;&lt;Valeur name="compte"&gt;132&lt;/Valeur&gt;&lt;Valeur name="solde"&gt;-14725.94&lt;/Valeur&gt;&lt;Valeur name="ventiler"&gt;0&lt;/Valeur&gt;&lt;Valeur name="compta"&gt;1&lt;/Valeur&gt;&lt;Valeur name="valeur"&gt;1063.33&lt;/Valeur&gt;&lt;/Insert&gt;</v>
      </c>
    </row>
    <row r="100" spans="1:40" x14ac:dyDescent="0.25">
      <c r="A100" t="s">
        <v>145</v>
      </c>
      <c r="B100">
        <v>88</v>
      </c>
      <c r="C100" s="1">
        <v>43528</v>
      </c>
      <c r="D100">
        <v>1</v>
      </c>
      <c r="E100" t="str">
        <f>IF(F100&lt;&gt;"",INDEX(Balance!A:A,MATCH(F100,Balance!B:B,0)),"")</f>
        <v>Depense</v>
      </c>
      <c r="F100" t="s">
        <v>257</v>
      </c>
      <c r="G100" t="s">
        <v>146</v>
      </c>
      <c r="I100" s="10">
        <v>174.6</v>
      </c>
      <c r="K100" s="11">
        <f t="shared" si="44"/>
        <v>29.099999999999994</v>
      </c>
      <c r="L100" s="10">
        <f t="shared" si="45"/>
        <v>-14900.54</v>
      </c>
      <c r="N100">
        <v>88</v>
      </c>
      <c r="O100">
        <v>1</v>
      </c>
      <c r="P100">
        <v>1</v>
      </c>
      <c r="Q100" t="str">
        <f t="shared" si="26"/>
        <v>300760283626261100200EUR201903049223196100</v>
      </c>
      <c r="R100" s="16" t="s">
        <v>959</v>
      </c>
      <c r="S100" t="str">
        <f t="shared" si="27"/>
        <v>COMMISSION D'INTERVENTION</v>
      </c>
      <c r="U100">
        <f>IFERROR(VLOOKUP(F100,tab!A:B,2,FALSE),1)</f>
        <v>18</v>
      </c>
      <c r="V100" s="14">
        <f t="shared" si="28"/>
        <v>-14900.54</v>
      </c>
      <c r="W100">
        <f t="shared" si="29"/>
        <v>0</v>
      </c>
      <c r="X100">
        <f t="shared" si="30"/>
        <v>1</v>
      </c>
      <c r="Y100" s="14">
        <f t="shared" si="31"/>
        <v>174.6</v>
      </c>
      <c r="AA100" t="str">
        <f t="shared" si="32"/>
        <v>&lt;Valeur name="no"&gt;88&lt;/Valeur&gt;</v>
      </c>
      <c r="AB100" t="str">
        <f t="shared" si="32"/>
        <v>&lt;Valeur name="banque"&gt;1&lt;/Valeur&gt;</v>
      </c>
      <c r="AC100" t="str">
        <f t="shared" si="34"/>
        <v>&lt;Valeur name="pointer"&gt;1&lt;/Valeur&gt;</v>
      </c>
      <c r="AD100" t="str">
        <f t="shared" si="35"/>
        <v>&lt;Valeur name="idbanque"&gt;300760283626261100200EUR201903049223196100&lt;/Valeur&gt;</v>
      </c>
      <c r="AE100" t="str">
        <f t="shared" si="36"/>
        <v>&lt;Valeur name="datevaleur"&gt;2019/03/04&lt;/Valeur&gt;</v>
      </c>
      <c r="AF100" t="str">
        <f t="shared" si="37"/>
        <v>&lt;Valeur name="intitule"&gt;COMMISSION D'INTERVENTION&lt;/Valeur&gt;</v>
      </c>
      <c r="AG100" t="str">
        <f t="shared" si="38"/>
        <v>&lt;Valeur name="description"&gt;&lt;/Valeur&gt;</v>
      </c>
      <c r="AH100" t="str">
        <f t="shared" si="39"/>
        <v>&lt;Valeur name="compte"&gt;18&lt;/Valeur&gt;</v>
      </c>
      <c r="AI100" t="str">
        <f t="shared" si="40"/>
        <v>&lt;Valeur name="solde"&gt;-14900.54&lt;/Valeur&gt;</v>
      </c>
      <c r="AJ100" t="str">
        <f t="shared" si="41"/>
        <v>&lt;Valeur name="ventiler"&gt;0&lt;/Valeur&gt;</v>
      </c>
      <c r="AK100" t="str">
        <f t="shared" si="42"/>
        <v>&lt;Valeur name="compta"&gt;1&lt;/Valeur&gt;</v>
      </c>
      <c r="AL100" t="str">
        <f t="shared" si="43"/>
        <v>&lt;Valeur name="valeur"&gt;174.6&lt;/Valeur&gt;</v>
      </c>
      <c r="AN100" t="str">
        <f t="shared" si="33"/>
        <v>&lt;Insert&gt;&lt;Valeur name="no"&gt;88&lt;/Valeur&gt;&lt;Valeur name="banque"&gt;1&lt;/Valeur&gt;&lt;Valeur name="pointer"&gt;1&lt;/Valeur&gt;&lt;Valeur name="idbanque"&gt;300760283626261100200EUR201903049223196100&lt;/Valeur&gt;&lt;Valeur name="datevaleur"&gt;2019/03/04&lt;/Valeur&gt;&lt;Valeur name="intitule"&gt;COMMISSION D'INTERVENTION&lt;/Valeur&gt;&lt;Valeur name="description"&gt;&lt;/Valeur&gt;&lt;Valeur name="compte"&gt;18&lt;/Valeur&gt;&lt;Valeur name="solde"&gt;-14900.54&lt;/Valeur&gt;&lt;Valeur name="ventiler"&gt;0&lt;/Valeur&gt;&lt;Valeur name="compta"&gt;1&lt;/Valeur&gt;&lt;Valeur name="valeur"&gt;174.6&lt;/Valeur&gt;&lt;/Insert&gt;</v>
      </c>
    </row>
    <row r="101" spans="1:40" x14ac:dyDescent="0.25">
      <c r="A101" t="s">
        <v>141</v>
      </c>
      <c r="B101">
        <v>89</v>
      </c>
      <c r="C101" s="1">
        <v>43529</v>
      </c>
      <c r="D101">
        <v>1</v>
      </c>
      <c r="E101" t="str">
        <f>IF(F101&lt;&gt;"",INDEX(Balance!A:A,MATCH(F101,Balance!B:B,0)),"")</f>
        <v>Depense</v>
      </c>
      <c r="F101" t="s">
        <v>253</v>
      </c>
      <c r="G101" t="s">
        <v>142</v>
      </c>
      <c r="I101" s="10">
        <v>74.150000000000006</v>
      </c>
      <c r="K101" s="11">
        <f t="shared" si="44"/>
        <v>12.358333333333334</v>
      </c>
      <c r="L101" s="10">
        <f t="shared" si="45"/>
        <v>-14974.69</v>
      </c>
      <c r="N101">
        <v>89</v>
      </c>
      <c r="O101">
        <v>1</v>
      </c>
      <c r="P101">
        <v>1</v>
      </c>
      <c r="Q101" t="str">
        <f t="shared" si="26"/>
        <v>300760283626261100200EUR201903051076671900</v>
      </c>
      <c r="R101" s="16" t="s">
        <v>890</v>
      </c>
      <c r="S101" t="str">
        <f t="shared" si="27"/>
        <v>CB 454106 DAC SM MATC 59BAVAY</v>
      </c>
      <c r="U101">
        <f>IFERROR(VLOOKUP(F101,tab!A:B,2,FALSE),1)</f>
        <v>13</v>
      </c>
      <c r="V101" s="14">
        <f t="shared" si="28"/>
        <v>-14974.69</v>
      </c>
      <c r="W101">
        <f t="shared" si="29"/>
        <v>0</v>
      </c>
      <c r="X101">
        <f t="shared" si="30"/>
        <v>1</v>
      </c>
      <c r="Y101" s="14">
        <f t="shared" si="31"/>
        <v>74.150000000000006</v>
      </c>
      <c r="AA101" t="str">
        <f t="shared" si="32"/>
        <v>&lt;Valeur name="no"&gt;89&lt;/Valeur&gt;</v>
      </c>
      <c r="AB101" t="str">
        <f t="shared" si="32"/>
        <v>&lt;Valeur name="banque"&gt;1&lt;/Valeur&gt;</v>
      </c>
      <c r="AC101" t="str">
        <f t="shared" si="34"/>
        <v>&lt;Valeur name="pointer"&gt;1&lt;/Valeur&gt;</v>
      </c>
      <c r="AD101" t="str">
        <f t="shared" si="35"/>
        <v>&lt;Valeur name="idbanque"&gt;300760283626261100200EUR201903051076671900&lt;/Valeur&gt;</v>
      </c>
      <c r="AE101" t="str">
        <f t="shared" si="36"/>
        <v>&lt;Valeur name="datevaleur"&gt;2019/03/05&lt;/Valeur&gt;</v>
      </c>
      <c r="AF101" t="str">
        <f t="shared" si="37"/>
        <v>&lt;Valeur name="intitule"&gt;CB 454106 DAC SM MATC 59BAVAY&lt;/Valeur&gt;</v>
      </c>
      <c r="AG101" t="str">
        <f t="shared" si="38"/>
        <v>&lt;Valeur name="description"&gt;&lt;/Valeur&gt;</v>
      </c>
      <c r="AH101" t="str">
        <f t="shared" si="39"/>
        <v>&lt;Valeur name="compte"&gt;13&lt;/Valeur&gt;</v>
      </c>
      <c r="AI101" t="str">
        <f t="shared" si="40"/>
        <v>&lt;Valeur name="solde"&gt;-14974.69&lt;/Valeur&gt;</v>
      </c>
      <c r="AJ101" t="str">
        <f t="shared" si="41"/>
        <v>&lt;Valeur name="ventiler"&gt;0&lt;/Valeur&gt;</v>
      </c>
      <c r="AK101" t="str">
        <f t="shared" si="42"/>
        <v>&lt;Valeur name="compta"&gt;1&lt;/Valeur&gt;</v>
      </c>
      <c r="AL101" t="str">
        <f t="shared" si="43"/>
        <v>&lt;Valeur name="valeur"&gt;74.15&lt;/Valeur&gt;</v>
      </c>
      <c r="AN101" t="str">
        <f t="shared" si="33"/>
        <v>&lt;Insert&gt;&lt;Valeur name="no"&gt;89&lt;/Valeur&gt;&lt;Valeur name="banque"&gt;1&lt;/Valeur&gt;&lt;Valeur name="pointer"&gt;1&lt;/Valeur&gt;&lt;Valeur name="idbanque"&gt;300760283626261100200EUR201903051076671900&lt;/Valeur&gt;&lt;Valeur name="datevaleur"&gt;2019/03/05&lt;/Valeur&gt;&lt;Valeur name="intitule"&gt;CB 454106 DAC SM MATC 59BAVAY&lt;/Valeur&gt;&lt;Valeur name="description"&gt;&lt;/Valeur&gt;&lt;Valeur name="compte"&gt;13&lt;/Valeur&gt;&lt;Valeur name="solde"&gt;-14974.69&lt;/Valeur&gt;&lt;Valeur name="ventiler"&gt;0&lt;/Valeur&gt;&lt;Valeur name="compta"&gt;1&lt;/Valeur&gt;&lt;Valeur name="valeur"&gt;74.15&lt;/Valeur&gt;&lt;/Insert&gt;</v>
      </c>
    </row>
    <row r="102" spans="1:40" x14ac:dyDescent="0.25">
      <c r="A102" t="s">
        <v>143</v>
      </c>
      <c r="B102">
        <v>90</v>
      </c>
      <c r="C102" s="1">
        <v>43529</v>
      </c>
      <c r="E102" t="str">
        <f>IF(F102&lt;&gt;"",INDEX(Balance!A:A,MATCH(F102,Balance!B:B,0)),"")</f>
        <v>Client</v>
      </c>
      <c r="F102" t="s">
        <v>427</v>
      </c>
      <c r="G102" t="s">
        <v>144</v>
      </c>
      <c r="J102" s="10">
        <v>720</v>
      </c>
      <c r="K102" s="11">
        <f t="shared" si="44"/>
        <v>-120</v>
      </c>
      <c r="L102" s="10">
        <f t="shared" si="45"/>
        <v>-14254.69</v>
      </c>
      <c r="N102">
        <v>90</v>
      </c>
      <c r="O102">
        <v>1</v>
      </c>
      <c r="P102">
        <v>1</v>
      </c>
      <c r="Q102" t="str">
        <f t="shared" si="26"/>
        <v>300760283626261100200EUR201903058301285200</v>
      </c>
      <c r="R102" s="16" t="s">
        <v>890</v>
      </c>
      <c r="S102" t="str">
        <f t="shared" si="27"/>
        <v>REMISE CHEQUES</v>
      </c>
      <c r="U102">
        <f>IFERROR(VLOOKUP(F102,tab!A:B,2,FALSE),1)</f>
        <v>2</v>
      </c>
      <c r="V102" s="14">
        <f t="shared" si="28"/>
        <v>-14254.69</v>
      </c>
      <c r="W102">
        <f t="shared" si="29"/>
        <v>0</v>
      </c>
      <c r="X102" t="str">
        <f t="shared" si="30"/>
        <v/>
      </c>
      <c r="Y102" s="14">
        <f t="shared" si="31"/>
        <v>720</v>
      </c>
      <c r="AA102" t="str">
        <f t="shared" si="32"/>
        <v>&lt;Valeur name="no"&gt;90&lt;/Valeur&gt;</v>
      </c>
      <c r="AB102" t="str">
        <f t="shared" si="32"/>
        <v>&lt;Valeur name="banque"&gt;1&lt;/Valeur&gt;</v>
      </c>
      <c r="AC102" t="str">
        <f t="shared" si="34"/>
        <v>&lt;Valeur name="pointer"&gt;1&lt;/Valeur&gt;</v>
      </c>
      <c r="AD102" t="str">
        <f t="shared" si="35"/>
        <v>&lt;Valeur name="idbanque"&gt;300760283626261100200EUR201903058301285200&lt;/Valeur&gt;</v>
      </c>
      <c r="AE102" t="str">
        <f t="shared" si="36"/>
        <v>&lt;Valeur name="datevaleur"&gt;2019/03/05&lt;/Valeur&gt;</v>
      </c>
      <c r="AF102" t="str">
        <f t="shared" si="37"/>
        <v>&lt;Valeur name="intitule"&gt;REMISE CHEQUES&lt;/Valeur&gt;</v>
      </c>
      <c r="AG102" t="str">
        <f t="shared" si="38"/>
        <v>&lt;Valeur name="description"&gt;&lt;/Valeur&gt;</v>
      </c>
      <c r="AH102" t="str">
        <f t="shared" si="39"/>
        <v>&lt;Valeur name="compte"&gt;2&lt;/Valeur&gt;</v>
      </c>
      <c r="AI102" t="str">
        <f t="shared" si="40"/>
        <v>&lt;Valeur name="solde"&gt;-14254.69&lt;/Valeur&gt;</v>
      </c>
      <c r="AJ102" t="str">
        <f t="shared" si="41"/>
        <v>&lt;Valeur name="ventiler"&gt;0&lt;/Valeur&gt;</v>
      </c>
      <c r="AK102" t="str">
        <f t="shared" si="42"/>
        <v>&lt;Valeur name="compta"&gt;&lt;/Valeur&gt;</v>
      </c>
      <c r="AL102" t="str">
        <f t="shared" si="43"/>
        <v>&lt;Valeur name="valeur"&gt;720&lt;/Valeur&gt;</v>
      </c>
      <c r="AN102" t="str">
        <f t="shared" si="33"/>
        <v>&lt;Insert&gt;&lt;Valeur name="no"&gt;90&lt;/Valeur&gt;&lt;Valeur name="banque"&gt;1&lt;/Valeur&gt;&lt;Valeur name="pointer"&gt;1&lt;/Valeur&gt;&lt;Valeur name="idbanque"&gt;300760283626261100200EUR201903058301285200&lt;/Valeur&gt;&lt;Valeur name="datevaleur"&gt;2019/03/05&lt;/Valeur&gt;&lt;Valeur name="intitule"&gt;REMISE CHEQUES&lt;/Valeur&gt;&lt;Valeur name="description"&gt;&lt;/Valeur&gt;&lt;Valeur name="compte"&gt;2&lt;/Valeur&gt;&lt;Valeur name="solde"&gt;-14254.69&lt;/Valeur&gt;&lt;Valeur name="ventiler"&gt;0&lt;/Valeur&gt;&lt;Valeur name="compta"&gt;&lt;/Valeur&gt;&lt;Valeur name="valeur"&gt;720&lt;/Valeur&gt;&lt;/Insert&gt;</v>
      </c>
    </row>
    <row r="103" spans="1:40" x14ac:dyDescent="0.25">
      <c r="A103" t="s">
        <v>137</v>
      </c>
      <c r="B103">
        <v>91</v>
      </c>
      <c r="C103" s="1">
        <v>43530</v>
      </c>
      <c r="D103">
        <v>1</v>
      </c>
      <c r="E103" t="str">
        <f>IF(F103&lt;&gt;"",INDEX(Balance!A:A,MATCH(F103,Balance!B:B,0)),"")</f>
        <v>Depense</v>
      </c>
      <c r="F103" t="s">
        <v>254</v>
      </c>
      <c r="G103" t="s">
        <v>33</v>
      </c>
      <c r="I103" s="10">
        <v>23</v>
      </c>
      <c r="K103" s="11">
        <f t="shared" si="44"/>
        <v>3.8333333333333321</v>
      </c>
      <c r="L103" s="10">
        <f t="shared" si="45"/>
        <v>-14277.69</v>
      </c>
      <c r="N103">
        <v>91</v>
      </c>
      <c r="O103">
        <v>1</v>
      </c>
      <c r="P103">
        <v>1</v>
      </c>
      <c r="Q103" t="str">
        <f t="shared" si="26"/>
        <v>300760283626261100200EUR201903061077789400</v>
      </c>
      <c r="R103" s="16" t="s">
        <v>960</v>
      </c>
      <c r="S103" t="str">
        <f t="shared" si="27"/>
        <v>CB 454106 PIZZA NONNA 59VILLENEU</v>
      </c>
      <c r="U103">
        <f>IFERROR(VLOOKUP(F103,tab!A:B,2,FALSE),1)</f>
        <v>27</v>
      </c>
      <c r="V103" s="14">
        <f t="shared" si="28"/>
        <v>-14277.69</v>
      </c>
      <c r="W103">
        <f t="shared" si="29"/>
        <v>0</v>
      </c>
      <c r="X103">
        <f t="shared" si="30"/>
        <v>1</v>
      </c>
      <c r="Y103" s="14">
        <f t="shared" si="31"/>
        <v>23</v>
      </c>
      <c r="AA103" t="str">
        <f t="shared" si="32"/>
        <v>&lt;Valeur name="no"&gt;91&lt;/Valeur&gt;</v>
      </c>
      <c r="AB103" t="str">
        <f t="shared" si="32"/>
        <v>&lt;Valeur name="banque"&gt;1&lt;/Valeur&gt;</v>
      </c>
      <c r="AC103" t="str">
        <f t="shared" si="34"/>
        <v>&lt;Valeur name="pointer"&gt;1&lt;/Valeur&gt;</v>
      </c>
      <c r="AD103" t="str">
        <f t="shared" si="35"/>
        <v>&lt;Valeur name="idbanque"&gt;300760283626261100200EUR201903061077789400&lt;/Valeur&gt;</v>
      </c>
      <c r="AE103" t="str">
        <f t="shared" si="36"/>
        <v>&lt;Valeur name="datevaleur"&gt;2019/03/06&lt;/Valeur&gt;</v>
      </c>
      <c r="AF103" t="str">
        <f t="shared" si="37"/>
        <v>&lt;Valeur name="intitule"&gt;CB 454106 PIZZA NONNA 59VILLENEU&lt;/Valeur&gt;</v>
      </c>
      <c r="AG103" t="str">
        <f t="shared" si="38"/>
        <v>&lt;Valeur name="description"&gt;&lt;/Valeur&gt;</v>
      </c>
      <c r="AH103" t="str">
        <f t="shared" si="39"/>
        <v>&lt;Valeur name="compte"&gt;27&lt;/Valeur&gt;</v>
      </c>
      <c r="AI103" t="str">
        <f t="shared" si="40"/>
        <v>&lt;Valeur name="solde"&gt;-14277.69&lt;/Valeur&gt;</v>
      </c>
      <c r="AJ103" t="str">
        <f t="shared" si="41"/>
        <v>&lt;Valeur name="ventiler"&gt;0&lt;/Valeur&gt;</v>
      </c>
      <c r="AK103" t="str">
        <f t="shared" si="42"/>
        <v>&lt;Valeur name="compta"&gt;1&lt;/Valeur&gt;</v>
      </c>
      <c r="AL103" t="str">
        <f t="shared" si="43"/>
        <v>&lt;Valeur name="valeur"&gt;23&lt;/Valeur&gt;</v>
      </c>
      <c r="AN103" t="str">
        <f t="shared" si="33"/>
        <v>&lt;Insert&gt;&lt;Valeur name="no"&gt;91&lt;/Valeur&gt;&lt;Valeur name="banque"&gt;1&lt;/Valeur&gt;&lt;Valeur name="pointer"&gt;1&lt;/Valeur&gt;&lt;Valeur name="idbanque"&gt;300760283626261100200EUR201903061077789400&lt;/Valeur&gt;&lt;Valeur name="datevaleur"&gt;2019/03/06&lt;/Valeur&gt;&lt;Valeur name="intitule"&gt;CB 454106 PIZZA NONNA 59VILLENEU&lt;/Valeur&gt;&lt;Valeur name="description"&gt;&lt;/Valeur&gt;&lt;Valeur name="compte"&gt;27&lt;/Valeur&gt;&lt;Valeur name="solde"&gt;-14277.69&lt;/Valeur&gt;&lt;Valeur name="ventiler"&gt;0&lt;/Valeur&gt;&lt;Valeur name="compta"&gt;1&lt;/Valeur&gt;&lt;Valeur name="valeur"&gt;23&lt;/Valeur&gt;&lt;/Insert&gt;</v>
      </c>
    </row>
    <row r="104" spans="1:40" x14ac:dyDescent="0.25">
      <c r="A104" t="s">
        <v>135</v>
      </c>
      <c r="B104">
        <v>92</v>
      </c>
      <c r="C104" s="1">
        <v>43530</v>
      </c>
      <c r="D104">
        <v>1</v>
      </c>
      <c r="E104" t="str">
        <f>IF(F104&lt;&gt;"",INDEX(Balance!A:A,MATCH(F104,Balance!B:B,0)),"")</f>
        <v>Depense</v>
      </c>
      <c r="F104" t="s">
        <v>372</v>
      </c>
      <c r="G104" t="s">
        <v>136</v>
      </c>
      <c r="I104" s="10">
        <v>3.9</v>
      </c>
      <c r="K104" s="11">
        <f t="shared" si="44"/>
        <v>0.64999999999999991</v>
      </c>
      <c r="L104" s="10">
        <f t="shared" si="45"/>
        <v>-14281.59</v>
      </c>
      <c r="N104">
        <v>92</v>
      </c>
      <c r="O104">
        <v>1</v>
      </c>
      <c r="P104">
        <v>1</v>
      </c>
      <c r="Q104" t="str">
        <f t="shared" si="26"/>
        <v>300760283626261100200EUR201903061077789500</v>
      </c>
      <c r="R104" s="16" t="s">
        <v>960</v>
      </c>
      <c r="S104" t="str">
        <f t="shared" si="27"/>
        <v>CB 454106 SANEF 2602- 60SENLIS</v>
      </c>
      <c r="U104">
        <f>IFERROR(VLOOKUP(F104,tab!A:B,2,FALSE),1)</f>
        <v>21</v>
      </c>
      <c r="V104" s="14">
        <f t="shared" si="28"/>
        <v>-14281.59</v>
      </c>
      <c r="W104">
        <f t="shared" si="29"/>
        <v>0</v>
      </c>
      <c r="X104">
        <f t="shared" si="30"/>
        <v>1</v>
      </c>
      <c r="Y104" s="14">
        <f t="shared" si="31"/>
        <v>3.9</v>
      </c>
      <c r="AA104" t="str">
        <f t="shared" si="32"/>
        <v>&lt;Valeur name="no"&gt;92&lt;/Valeur&gt;</v>
      </c>
      <c r="AB104" t="str">
        <f t="shared" si="32"/>
        <v>&lt;Valeur name="banque"&gt;1&lt;/Valeur&gt;</v>
      </c>
      <c r="AC104" t="str">
        <f t="shared" si="34"/>
        <v>&lt;Valeur name="pointer"&gt;1&lt;/Valeur&gt;</v>
      </c>
      <c r="AD104" t="str">
        <f t="shared" si="35"/>
        <v>&lt;Valeur name="idbanque"&gt;300760283626261100200EUR201903061077789500&lt;/Valeur&gt;</v>
      </c>
      <c r="AE104" t="str">
        <f t="shared" si="36"/>
        <v>&lt;Valeur name="datevaleur"&gt;2019/03/06&lt;/Valeur&gt;</v>
      </c>
      <c r="AF104" t="str">
        <f t="shared" si="37"/>
        <v>&lt;Valeur name="intitule"&gt;CB 454106 SANEF 2602- 60SENLIS&lt;/Valeur&gt;</v>
      </c>
      <c r="AG104" t="str">
        <f t="shared" si="38"/>
        <v>&lt;Valeur name="description"&gt;&lt;/Valeur&gt;</v>
      </c>
      <c r="AH104" t="str">
        <f t="shared" si="39"/>
        <v>&lt;Valeur name="compte"&gt;21&lt;/Valeur&gt;</v>
      </c>
      <c r="AI104" t="str">
        <f t="shared" si="40"/>
        <v>&lt;Valeur name="solde"&gt;-14281.59&lt;/Valeur&gt;</v>
      </c>
      <c r="AJ104" t="str">
        <f t="shared" si="41"/>
        <v>&lt;Valeur name="ventiler"&gt;0&lt;/Valeur&gt;</v>
      </c>
      <c r="AK104" t="str">
        <f t="shared" si="42"/>
        <v>&lt;Valeur name="compta"&gt;1&lt;/Valeur&gt;</v>
      </c>
      <c r="AL104" t="str">
        <f t="shared" si="43"/>
        <v>&lt;Valeur name="valeur"&gt;3.9&lt;/Valeur&gt;</v>
      </c>
      <c r="AN104" t="str">
        <f t="shared" si="33"/>
        <v>&lt;Insert&gt;&lt;Valeur name="no"&gt;92&lt;/Valeur&gt;&lt;Valeur name="banque"&gt;1&lt;/Valeur&gt;&lt;Valeur name="pointer"&gt;1&lt;/Valeur&gt;&lt;Valeur name="idbanque"&gt;300760283626261100200EUR201903061077789500&lt;/Valeur&gt;&lt;Valeur name="datevaleur"&gt;2019/03/06&lt;/Valeur&gt;&lt;Valeur name="intitule"&gt;CB 454106 SANEF 2602- 60SENLIS&lt;/Valeur&gt;&lt;Valeur name="description"&gt;&lt;/Valeur&gt;&lt;Valeur name="compte"&gt;21&lt;/Valeur&gt;&lt;Valeur name="solde"&gt;-14281.59&lt;/Valeur&gt;&lt;Valeur name="ventiler"&gt;0&lt;/Valeur&gt;&lt;Valeur name="compta"&gt;1&lt;/Valeur&gt;&lt;Valeur name="valeur"&gt;3.9&lt;/Valeur&gt;&lt;/Insert&gt;</v>
      </c>
    </row>
    <row r="105" spans="1:40" x14ac:dyDescent="0.25">
      <c r="A105" t="s">
        <v>138</v>
      </c>
      <c r="B105">
        <v>93</v>
      </c>
      <c r="C105" s="1">
        <v>43530</v>
      </c>
      <c r="D105">
        <v>1</v>
      </c>
      <c r="E105" t="str">
        <f>IF(F105&lt;&gt;"",INDEX(Balance!A:A,MATCH(F105,Balance!B:B,0)),"")</f>
        <v>Fournisseurs</v>
      </c>
      <c r="F105" t="s">
        <v>376</v>
      </c>
      <c r="G105" t="s">
        <v>139</v>
      </c>
      <c r="H105" t="s">
        <v>140</v>
      </c>
      <c r="I105" s="10">
        <v>8</v>
      </c>
      <c r="K105" s="11">
        <f t="shared" si="44"/>
        <v>1.333333333333333</v>
      </c>
      <c r="L105" s="10">
        <f t="shared" si="45"/>
        <v>-14289.59</v>
      </c>
      <c r="N105">
        <v>93</v>
      </c>
      <c r="O105">
        <v>1</v>
      </c>
      <c r="P105">
        <v>1</v>
      </c>
      <c r="Q105" t="str">
        <f t="shared" si="26"/>
        <v>300760283626261100200EUR201903066337229700</v>
      </c>
      <c r="R105" s="16" t="s">
        <v>960</v>
      </c>
      <c r="S105" t="str">
        <f t="shared" si="27"/>
        <v>PRLV SEPA Google Ireland Limited / APPS COMMERCE:le-metal.net:GG101</v>
      </c>
      <c r="U105">
        <f>IFERROR(VLOOKUP(F105,tab!A:B,2,FALSE),1)</f>
        <v>69</v>
      </c>
      <c r="V105" s="14">
        <f t="shared" si="28"/>
        <v>-14289.59</v>
      </c>
      <c r="W105">
        <f t="shared" si="29"/>
        <v>0</v>
      </c>
      <c r="X105">
        <f t="shared" si="30"/>
        <v>1</v>
      </c>
      <c r="Y105" s="14">
        <f t="shared" si="31"/>
        <v>8</v>
      </c>
      <c r="AA105" t="str">
        <f t="shared" si="32"/>
        <v>&lt;Valeur name="no"&gt;93&lt;/Valeur&gt;</v>
      </c>
      <c r="AB105" t="str">
        <f t="shared" si="32"/>
        <v>&lt;Valeur name="banque"&gt;1&lt;/Valeur&gt;</v>
      </c>
      <c r="AC105" t="str">
        <f t="shared" si="34"/>
        <v>&lt;Valeur name="pointer"&gt;1&lt;/Valeur&gt;</v>
      </c>
      <c r="AD105" t="str">
        <f t="shared" si="35"/>
        <v>&lt;Valeur name="idbanque"&gt;300760283626261100200EUR201903066337229700&lt;/Valeur&gt;</v>
      </c>
      <c r="AE105" t="str">
        <f t="shared" si="36"/>
        <v>&lt;Valeur name="datevaleur"&gt;2019/03/06&lt;/Valeur&gt;</v>
      </c>
      <c r="AF105" t="str">
        <f t="shared" si="37"/>
        <v>&lt;Valeur name="intitule"&gt;PRLV SEPA Google Ireland Limited / APPS COMMERCE:le-metal.net:GG101&lt;/Valeur&gt;</v>
      </c>
      <c r="AG105" t="str">
        <f t="shared" si="38"/>
        <v>&lt;Valeur name="description"&gt;&lt;/Valeur&gt;</v>
      </c>
      <c r="AH105" t="str">
        <f t="shared" si="39"/>
        <v>&lt;Valeur name="compte"&gt;69&lt;/Valeur&gt;</v>
      </c>
      <c r="AI105" t="str">
        <f t="shared" si="40"/>
        <v>&lt;Valeur name="solde"&gt;-14289.59&lt;/Valeur&gt;</v>
      </c>
      <c r="AJ105" t="str">
        <f t="shared" si="41"/>
        <v>&lt;Valeur name="ventiler"&gt;0&lt;/Valeur&gt;</v>
      </c>
      <c r="AK105" t="str">
        <f t="shared" si="42"/>
        <v>&lt;Valeur name="compta"&gt;1&lt;/Valeur&gt;</v>
      </c>
      <c r="AL105" t="str">
        <f t="shared" si="43"/>
        <v>&lt;Valeur name="valeur"&gt;8&lt;/Valeur&gt;</v>
      </c>
      <c r="AN105" t="str">
        <f t="shared" si="33"/>
        <v>&lt;Insert&gt;&lt;Valeur name="no"&gt;93&lt;/Valeur&gt;&lt;Valeur name="banque"&gt;1&lt;/Valeur&gt;&lt;Valeur name="pointer"&gt;1&lt;/Valeur&gt;&lt;Valeur name="idbanque"&gt;300760283626261100200EUR201903066337229700&lt;/Valeur&gt;&lt;Valeur name="datevaleur"&gt;2019/03/06&lt;/Valeur&gt;&lt;Valeur name="intitule"&gt;PRLV SEPA Google Ireland Limited / APPS COMMERCE:le-metal.net:GG101&lt;/Valeur&gt;&lt;Valeur name="description"&gt;&lt;/Valeur&gt;&lt;Valeur name="compte"&gt;69&lt;/Valeur&gt;&lt;Valeur name="solde"&gt;-14289.59&lt;/Valeur&gt;&lt;Valeur name="ventiler"&gt;0&lt;/Valeur&gt;&lt;Valeur name="compta"&gt;1&lt;/Valeur&gt;&lt;Valeur name="valeur"&gt;8&lt;/Valeur&gt;&lt;/Insert&gt;</v>
      </c>
    </row>
    <row r="106" spans="1:40" x14ac:dyDescent="0.25">
      <c r="A106" t="s">
        <v>131</v>
      </c>
      <c r="B106">
        <v>94</v>
      </c>
      <c r="C106" s="1">
        <v>43531</v>
      </c>
      <c r="D106">
        <v>1</v>
      </c>
      <c r="E106" t="str">
        <f>IF(F106&lt;&gt;"",INDEX(Balance!A:A,MATCH(F106,Balance!B:B,0)),"")</f>
        <v>Fournisseurs</v>
      </c>
      <c r="F106" t="s">
        <v>373</v>
      </c>
      <c r="G106" t="s">
        <v>132</v>
      </c>
      <c r="I106" s="10">
        <v>48.8</v>
      </c>
      <c r="K106" s="11">
        <f t="shared" si="44"/>
        <v>8.1333333333333329</v>
      </c>
      <c r="L106" s="10">
        <f t="shared" si="45"/>
        <v>-14338.39</v>
      </c>
      <c r="N106">
        <v>94</v>
      </c>
      <c r="O106">
        <v>1</v>
      </c>
      <c r="P106">
        <v>1</v>
      </c>
      <c r="Q106" t="str">
        <f t="shared" si="26"/>
        <v>300760283626261100200EUR201903071072953600</v>
      </c>
      <c r="R106" s="16" t="s">
        <v>961</v>
      </c>
      <c r="S106" t="str">
        <f t="shared" si="27"/>
        <v>CB 548222 BRICO DEPOT 59AULNOY L</v>
      </c>
      <c r="U106">
        <f>IFERROR(VLOOKUP(F106,tab!A:B,2,FALSE),1)</f>
        <v>38</v>
      </c>
      <c r="V106" s="14">
        <f t="shared" si="28"/>
        <v>-14338.39</v>
      </c>
      <c r="W106">
        <f t="shared" si="29"/>
        <v>0</v>
      </c>
      <c r="X106">
        <f t="shared" si="30"/>
        <v>1</v>
      </c>
      <c r="Y106" s="14">
        <f t="shared" si="31"/>
        <v>48.8</v>
      </c>
      <c r="AA106" t="str">
        <f t="shared" si="32"/>
        <v>&lt;Valeur name="no"&gt;94&lt;/Valeur&gt;</v>
      </c>
      <c r="AB106" t="str">
        <f t="shared" si="32"/>
        <v>&lt;Valeur name="banque"&gt;1&lt;/Valeur&gt;</v>
      </c>
      <c r="AC106" t="str">
        <f t="shared" si="34"/>
        <v>&lt;Valeur name="pointer"&gt;1&lt;/Valeur&gt;</v>
      </c>
      <c r="AD106" t="str">
        <f t="shared" si="35"/>
        <v>&lt;Valeur name="idbanque"&gt;300760283626261100200EUR201903071072953600&lt;/Valeur&gt;</v>
      </c>
      <c r="AE106" t="str">
        <f t="shared" si="36"/>
        <v>&lt;Valeur name="datevaleur"&gt;2019/03/07&lt;/Valeur&gt;</v>
      </c>
      <c r="AF106" t="str">
        <f t="shared" si="37"/>
        <v>&lt;Valeur name="intitule"&gt;CB 548222 BRICO DEPOT 59AULNOY L&lt;/Valeur&gt;</v>
      </c>
      <c r="AG106" t="str">
        <f t="shared" si="38"/>
        <v>&lt;Valeur name="description"&gt;&lt;/Valeur&gt;</v>
      </c>
      <c r="AH106" t="str">
        <f t="shared" si="39"/>
        <v>&lt;Valeur name="compte"&gt;38&lt;/Valeur&gt;</v>
      </c>
      <c r="AI106" t="str">
        <f t="shared" si="40"/>
        <v>&lt;Valeur name="solde"&gt;-14338.39&lt;/Valeur&gt;</v>
      </c>
      <c r="AJ106" t="str">
        <f t="shared" si="41"/>
        <v>&lt;Valeur name="ventiler"&gt;0&lt;/Valeur&gt;</v>
      </c>
      <c r="AK106" t="str">
        <f t="shared" si="42"/>
        <v>&lt;Valeur name="compta"&gt;1&lt;/Valeur&gt;</v>
      </c>
      <c r="AL106" t="str">
        <f t="shared" si="43"/>
        <v>&lt;Valeur name="valeur"&gt;48.8&lt;/Valeur&gt;</v>
      </c>
      <c r="AN106" t="str">
        <f t="shared" si="33"/>
        <v>&lt;Insert&gt;&lt;Valeur name="no"&gt;94&lt;/Valeur&gt;&lt;Valeur name="banque"&gt;1&lt;/Valeur&gt;&lt;Valeur name="pointer"&gt;1&lt;/Valeur&gt;&lt;Valeur name="idbanque"&gt;300760283626261100200EUR201903071072953600&lt;/Valeur&gt;&lt;Valeur name="datevaleur"&gt;2019/03/07&lt;/Valeur&gt;&lt;Valeur name="intitule"&gt;CB 548222 BRICO DEPOT 59AULNOY L&lt;/Valeur&gt;&lt;Valeur name="description"&gt;&lt;/Valeur&gt;&lt;Valeur name="compte"&gt;38&lt;/Valeur&gt;&lt;Valeur name="solde"&gt;-14338.39&lt;/Valeur&gt;&lt;Valeur name="ventiler"&gt;0&lt;/Valeur&gt;&lt;Valeur name="compta"&gt;1&lt;/Valeur&gt;&lt;Valeur name="valeur"&gt;48.8&lt;/Valeur&gt;&lt;/Insert&gt;</v>
      </c>
    </row>
    <row r="107" spans="1:40" x14ac:dyDescent="0.25">
      <c r="A107" t="s">
        <v>129</v>
      </c>
      <c r="B107">
        <v>95</v>
      </c>
      <c r="C107" s="1">
        <v>43531</v>
      </c>
      <c r="D107">
        <v>1</v>
      </c>
      <c r="E107" t="str">
        <f>IF(F107&lt;&gt;"",INDEX(Balance!A:A,MATCH(F107,Balance!B:B,0)),"")</f>
        <v>Fournisseurs</v>
      </c>
      <c r="F107" t="s">
        <v>377</v>
      </c>
      <c r="G107" t="s">
        <v>130</v>
      </c>
      <c r="I107" s="10">
        <v>12</v>
      </c>
      <c r="K107" s="11">
        <f t="shared" si="44"/>
        <v>2</v>
      </c>
      <c r="L107" s="10">
        <f t="shared" si="45"/>
        <v>-14350.39</v>
      </c>
      <c r="N107">
        <v>95</v>
      </c>
      <c r="O107">
        <v>1</v>
      </c>
      <c r="P107">
        <v>1</v>
      </c>
      <c r="Q107" t="str">
        <f t="shared" si="26"/>
        <v>300760283626261100200EUR201903071077519200</v>
      </c>
      <c r="R107" s="16" t="s">
        <v>961</v>
      </c>
      <c r="S107" t="str">
        <f t="shared" si="27"/>
        <v>CB 548222 REPRO CENTE 59VALENCIE</v>
      </c>
      <c r="U107">
        <f>IFERROR(VLOOKUP(F107,tab!A:B,2,FALSE),1)</f>
        <v>100</v>
      </c>
      <c r="V107" s="14">
        <f t="shared" si="28"/>
        <v>-14350.39</v>
      </c>
      <c r="W107">
        <f t="shared" si="29"/>
        <v>0</v>
      </c>
      <c r="X107">
        <f t="shared" si="30"/>
        <v>1</v>
      </c>
      <c r="Y107" s="14">
        <f t="shared" si="31"/>
        <v>12</v>
      </c>
      <c r="AA107" t="str">
        <f t="shared" si="32"/>
        <v>&lt;Valeur name="no"&gt;95&lt;/Valeur&gt;</v>
      </c>
      <c r="AB107" t="str">
        <f t="shared" si="32"/>
        <v>&lt;Valeur name="banque"&gt;1&lt;/Valeur&gt;</v>
      </c>
      <c r="AC107" t="str">
        <f t="shared" si="34"/>
        <v>&lt;Valeur name="pointer"&gt;1&lt;/Valeur&gt;</v>
      </c>
      <c r="AD107" t="str">
        <f t="shared" si="35"/>
        <v>&lt;Valeur name="idbanque"&gt;300760283626261100200EUR201903071077519200&lt;/Valeur&gt;</v>
      </c>
      <c r="AE107" t="str">
        <f t="shared" si="36"/>
        <v>&lt;Valeur name="datevaleur"&gt;2019/03/07&lt;/Valeur&gt;</v>
      </c>
      <c r="AF107" t="str">
        <f t="shared" si="37"/>
        <v>&lt;Valeur name="intitule"&gt;CB 548222 REPRO CENTE 59VALENCIE&lt;/Valeur&gt;</v>
      </c>
      <c r="AG107" t="str">
        <f t="shared" si="38"/>
        <v>&lt;Valeur name="description"&gt;&lt;/Valeur&gt;</v>
      </c>
      <c r="AH107" t="str">
        <f t="shared" si="39"/>
        <v>&lt;Valeur name="compte"&gt;100&lt;/Valeur&gt;</v>
      </c>
      <c r="AI107" t="str">
        <f t="shared" si="40"/>
        <v>&lt;Valeur name="solde"&gt;-14350.39&lt;/Valeur&gt;</v>
      </c>
      <c r="AJ107" t="str">
        <f t="shared" si="41"/>
        <v>&lt;Valeur name="ventiler"&gt;0&lt;/Valeur&gt;</v>
      </c>
      <c r="AK107" t="str">
        <f t="shared" si="42"/>
        <v>&lt;Valeur name="compta"&gt;1&lt;/Valeur&gt;</v>
      </c>
      <c r="AL107" t="str">
        <f t="shared" si="43"/>
        <v>&lt;Valeur name="valeur"&gt;12&lt;/Valeur&gt;</v>
      </c>
      <c r="AN107" t="str">
        <f t="shared" si="33"/>
        <v>&lt;Insert&gt;&lt;Valeur name="no"&gt;95&lt;/Valeur&gt;&lt;Valeur name="banque"&gt;1&lt;/Valeur&gt;&lt;Valeur name="pointer"&gt;1&lt;/Valeur&gt;&lt;Valeur name="idbanque"&gt;300760283626261100200EUR201903071077519200&lt;/Valeur&gt;&lt;Valeur name="datevaleur"&gt;2019/03/07&lt;/Valeur&gt;&lt;Valeur name="intitule"&gt;CB 548222 REPRO CENTE 59VALENCIE&lt;/Valeur&gt;&lt;Valeur name="description"&gt;&lt;/Valeur&gt;&lt;Valeur name="compte"&gt;100&lt;/Valeur&gt;&lt;Valeur name="solde"&gt;-14350.39&lt;/Valeur&gt;&lt;Valeur name="ventiler"&gt;0&lt;/Valeur&gt;&lt;Valeur name="compta"&gt;1&lt;/Valeur&gt;&lt;Valeur name="valeur"&gt;12&lt;/Valeur&gt;&lt;/Insert&gt;</v>
      </c>
    </row>
    <row r="108" spans="1:40" x14ac:dyDescent="0.25">
      <c r="A108" t="s">
        <v>127</v>
      </c>
      <c r="B108">
        <v>96</v>
      </c>
      <c r="C108" s="1">
        <v>43531</v>
      </c>
      <c r="D108">
        <v>1</v>
      </c>
      <c r="E108" t="str">
        <f>IF(F108&lt;&gt;"",INDEX(Balance!A:A,MATCH(F108,Balance!B:B,0)),"")</f>
        <v>Depense</v>
      </c>
      <c r="F108" t="s">
        <v>254</v>
      </c>
      <c r="G108" t="s">
        <v>128</v>
      </c>
      <c r="I108" s="10">
        <v>11.2</v>
      </c>
      <c r="K108" s="11">
        <f t="shared" si="44"/>
        <v>1.8666666666666654</v>
      </c>
      <c r="L108" s="10">
        <f t="shared" si="45"/>
        <v>-14361.59</v>
      </c>
      <c r="N108">
        <v>96</v>
      </c>
      <c r="O108">
        <v>1</v>
      </c>
      <c r="P108">
        <v>1</v>
      </c>
      <c r="Q108" t="str">
        <f t="shared" si="26"/>
        <v>300760283626261100200EUR201903071077519300</v>
      </c>
      <c r="R108" s="16" t="s">
        <v>961</v>
      </c>
      <c r="S108" t="str">
        <f t="shared" si="27"/>
        <v>CB 454106 L'AZIZA     59VILLENEU</v>
      </c>
      <c r="U108">
        <f>IFERROR(VLOOKUP(F108,tab!A:B,2,FALSE),1)</f>
        <v>27</v>
      </c>
      <c r="V108" s="14">
        <f t="shared" si="28"/>
        <v>-14361.59</v>
      </c>
      <c r="W108">
        <f t="shared" si="29"/>
        <v>0</v>
      </c>
      <c r="X108">
        <f t="shared" si="30"/>
        <v>1</v>
      </c>
      <c r="Y108" s="14">
        <f t="shared" si="31"/>
        <v>11.2</v>
      </c>
      <c r="AA108" t="str">
        <f t="shared" si="32"/>
        <v>&lt;Valeur name="no"&gt;96&lt;/Valeur&gt;</v>
      </c>
      <c r="AB108" t="str">
        <f t="shared" si="32"/>
        <v>&lt;Valeur name="banque"&gt;1&lt;/Valeur&gt;</v>
      </c>
      <c r="AC108" t="str">
        <f t="shared" si="34"/>
        <v>&lt;Valeur name="pointer"&gt;1&lt;/Valeur&gt;</v>
      </c>
      <c r="AD108" t="str">
        <f t="shared" si="35"/>
        <v>&lt;Valeur name="idbanque"&gt;300760283626261100200EUR201903071077519300&lt;/Valeur&gt;</v>
      </c>
      <c r="AE108" t="str">
        <f t="shared" si="36"/>
        <v>&lt;Valeur name="datevaleur"&gt;2019/03/07&lt;/Valeur&gt;</v>
      </c>
      <c r="AF108" t="str">
        <f t="shared" si="37"/>
        <v>&lt;Valeur name="intitule"&gt;CB 454106 L'AZIZA     59VILLENEU&lt;/Valeur&gt;</v>
      </c>
      <c r="AG108" t="str">
        <f t="shared" si="38"/>
        <v>&lt;Valeur name="description"&gt;&lt;/Valeur&gt;</v>
      </c>
      <c r="AH108" t="str">
        <f t="shared" si="39"/>
        <v>&lt;Valeur name="compte"&gt;27&lt;/Valeur&gt;</v>
      </c>
      <c r="AI108" t="str">
        <f t="shared" si="40"/>
        <v>&lt;Valeur name="solde"&gt;-14361.59&lt;/Valeur&gt;</v>
      </c>
      <c r="AJ108" t="str">
        <f t="shared" si="41"/>
        <v>&lt;Valeur name="ventiler"&gt;0&lt;/Valeur&gt;</v>
      </c>
      <c r="AK108" t="str">
        <f t="shared" si="42"/>
        <v>&lt;Valeur name="compta"&gt;1&lt;/Valeur&gt;</v>
      </c>
      <c r="AL108" t="str">
        <f t="shared" si="43"/>
        <v>&lt;Valeur name="valeur"&gt;11.2&lt;/Valeur&gt;</v>
      </c>
      <c r="AN108" t="str">
        <f t="shared" si="33"/>
        <v>&lt;Insert&gt;&lt;Valeur name="no"&gt;96&lt;/Valeur&gt;&lt;Valeur name="banque"&gt;1&lt;/Valeur&gt;&lt;Valeur name="pointer"&gt;1&lt;/Valeur&gt;&lt;Valeur name="idbanque"&gt;300760283626261100200EUR201903071077519300&lt;/Valeur&gt;&lt;Valeur name="datevaleur"&gt;2019/03/07&lt;/Valeur&gt;&lt;Valeur name="intitule"&gt;CB 454106 L'AZIZA     59VILLENEU&lt;/Valeur&gt;&lt;Valeur name="description"&gt;&lt;/Valeur&gt;&lt;Valeur name="compte"&gt;27&lt;/Valeur&gt;&lt;Valeur name="solde"&gt;-14361.59&lt;/Valeur&gt;&lt;Valeur name="ventiler"&gt;0&lt;/Valeur&gt;&lt;Valeur name="compta"&gt;1&lt;/Valeur&gt;&lt;Valeur name="valeur"&gt;11.2&lt;/Valeur&gt;&lt;/Insert&gt;</v>
      </c>
    </row>
    <row r="109" spans="1:40" x14ac:dyDescent="0.25">
      <c r="A109" t="s">
        <v>125</v>
      </c>
      <c r="B109">
        <v>97</v>
      </c>
      <c r="C109" s="1">
        <v>43531</v>
      </c>
      <c r="D109">
        <v>1</v>
      </c>
      <c r="E109" t="str">
        <f>IF(F109&lt;&gt;"",INDEX(Balance!A:A,MATCH(F109,Balance!B:B,0)),"")</f>
        <v>Depense</v>
      </c>
      <c r="F109" t="s">
        <v>254</v>
      </c>
      <c r="G109" t="s">
        <v>126</v>
      </c>
      <c r="I109" s="10">
        <v>9.5</v>
      </c>
      <c r="K109" s="11">
        <f t="shared" si="44"/>
        <v>1.583333333333333</v>
      </c>
      <c r="L109" s="10">
        <f t="shared" si="45"/>
        <v>-14371.09</v>
      </c>
      <c r="N109">
        <v>97</v>
      </c>
      <c r="O109">
        <v>1</v>
      </c>
      <c r="P109">
        <v>1</v>
      </c>
      <c r="Q109" t="str">
        <f t="shared" si="26"/>
        <v>300760283626261100200EUR201903071077519400</v>
      </c>
      <c r="R109" s="16" t="s">
        <v>961</v>
      </c>
      <c r="S109" t="str">
        <f t="shared" si="27"/>
        <v>CB 548222 DAVID JOACH 59BAVAY</v>
      </c>
      <c r="U109">
        <f>IFERROR(VLOOKUP(F109,tab!A:B,2,FALSE),1)</f>
        <v>27</v>
      </c>
      <c r="V109" s="14">
        <f t="shared" si="28"/>
        <v>-14371.09</v>
      </c>
      <c r="W109">
        <f t="shared" si="29"/>
        <v>0</v>
      </c>
      <c r="X109">
        <f t="shared" si="30"/>
        <v>1</v>
      </c>
      <c r="Y109" s="14">
        <f t="shared" si="31"/>
        <v>9.5</v>
      </c>
      <c r="AA109" t="str">
        <f t="shared" si="32"/>
        <v>&lt;Valeur name="no"&gt;97&lt;/Valeur&gt;</v>
      </c>
      <c r="AB109" t="str">
        <f t="shared" si="32"/>
        <v>&lt;Valeur name="banque"&gt;1&lt;/Valeur&gt;</v>
      </c>
      <c r="AC109" t="str">
        <f t="shared" si="34"/>
        <v>&lt;Valeur name="pointer"&gt;1&lt;/Valeur&gt;</v>
      </c>
      <c r="AD109" t="str">
        <f t="shared" si="35"/>
        <v>&lt;Valeur name="idbanque"&gt;300760283626261100200EUR201903071077519400&lt;/Valeur&gt;</v>
      </c>
      <c r="AE109" t="str">
        <f t="shared" si="36"/>
        <v>&lt;Valeur name="datevaleur"&gt;2019/03/07&lt;/Valeur&gt;</v>
      </c>
      <c r="AF109" t="str">
        <f t="shared" si="37"/>
        <v>&lt;Valeur name="intitule"&gt;CB 548222 DAVID JOACH 59BAVAY&lt;/Valeur&gt;</v>
      </c>
      <c r="AG109" t="str">
        <f t="shared" si="38"/>
        <v>&lt;Valeur name="description"&gt;&lt;/Valeur&gt;</v>
      </c>
      <c r="AH109" t="str">
        <f t="shared" si="39"/>
        <v>&lt;Valeur name="compte"&gt;27&lt;/Valeur&gt;</v>
      </c>
      <c r="AI109" t="str">
        <f t="shared" si="40"/>
        <v>&lt;Valeur name="solde"&gt;-14371.09&lt;/Valeur&gt;</v>
      </c>
      <c r="AJ109" t="str">
        <f t="shared" si="41"/>
        <v>&lt;Valeur name="ventiler"&gt;0&lt;/Valeur&gt;</v>
      </c>
      <c r="AK109" t="str">
        <f t="shared" si="42"/>
        <v>&lt;Valeur name="compta"&gt;1&lt;/Valeur&gt;</v>
      </c>
      <c r="AL109" t="str">
        <f t="shared" si="43"/>
        <v>&lt;Valeur name="valeur"&gt;9.5&lt;/Valeur&gt;</v>
      </c>
      <c r="AN109" t="str">
        <f t="shared" si="33"/>
        <v>&lt;Insert&gt;&lt;Valeur name="no"&gt;97&lt;/Valeur&gt;&lt;Valeur name="banque"&gt;1&lt;/Valeur&gt;&lt;Valeur name="pointer"&gt;1&lt;/Valeur&gt;&lt;Valeur name="idbanque"&gt;300760283626261100200EUR201903071077519400&lt;/Valeur&gt;&lt;Valeur name="datevaleur"&gt;2019/03/07&lt;/Valeur&gt;&lt;Valeur name="intitule"&gt;CB 548222 DAVID JOACH 59BAVAY&lt;/Valeur&gt;&lt;Valeur name="description"&gt;&lt;/Valeur&gt;&lt;Valeur name="compte"&gt;27&lt;/Valeur&gt;&lt;Valeur name="solde"&gt;-14371.09&lt;/Valeur&gt;&lt;Valeur name="ventiler"&gt;0&lt;/Valeur&gt;&lt;Valeur name="compta"&gt;1&lt;/Valeur&gt;&lt;Valeur name="valeur"&gt;9.5&lt;/Valeur&gt;&lt;/Insert&gt;</v>
      </c>
    </row>
    <row r="110" spans="1:40" x14ac:dyDescent="0.25">
      <c r="A110" t="s">
        <v>133</v>
      </c>
      <c r="B110">
        <v>98</v>
      </c>
      <c r="C110" s="1">
        <v>43531</v>
      </c>
      <c r="E110" t="str">
        <f>IF(F110&lt;&gt;"",INDEX(Balance!A:A,MATCH(F110,Balance!B:B,0)),"")</f>
        <v>Client</v>
      </c>
      <c r="F110" t="s">
        <v>379</v>
      </c>
      <c r="G110" t="s">
        <v>65</v>
      </c>
      <c r="H110" t="s">
        <v>134</v>
      </c>
      <c r="J110" s="10">
        <v>28744.53</v>
      </c>
      <c r="K110" s="11">
        <f t="shared" si="44"/>
        <v>-4790.7549999999974</v>
      </c>
      <c r="L110" s="10">
        <f t="shared" si="45"/>
        <v>14373.439999999999</v>
      </c>
      <c r="N110">
        <v>98</v>
      </c>
      <c r="O110">
        <v>1</v>
      </c>
      <c r="P110">
        <v>1</v>
      </c>
      <c r="Q110" t="str">
        <f t="shared" si="26"/>
        <v>300760283626261100200EUR201903076317939900</v>
      </c>
      <c r="R110" s="16" t="s">
        <v>961</v>
      </c>
      <c r="S110" t="str">
        <f t="shared" si="27"/>
        <v>VIR TRESORERIE ARRAS MUNICIP / FAC. situation 6 DU 25/02/2019PO</v>
      </c>
      <c r="U110">
        <f>IFERROR(VLOOKUP(F110,tab!A:B,2,FALSE),1)</f>
        <v>4</v>
      </c>
      <c r="V110" s="14">
        <f t="shared" si="28"/>
        <v>14373.439999999999</v>
      </c>
      <c r="W110">
        <f t="shared" si="29"/>
        <v>0</v>
      </c>
      <c r="X110" t="str">
        <f t="shared" si="30"/>
        <v/>
      </c>
      <c r="Y110" s="14">
        <f t="shared" si="31"/>
        <v>28744.53</v>
      </c>
      <c r="AA110" t="str">
        <f t="shared" si="32"/>
        <v>&lt;Valeur name="no"&gt;98&lt;/Valeur&gt;</v>
      </c>
      <c r="AB110" t="str">
        <f t="shared" si="32"/>
        <v>&lt;Valeur name="banque"&gt;1&lt;/Valeur&gt;</v>
      </c>
      <c r="AC110" t="str">
        <f t="shared" si="34"/>
        <v>&lt;Valeur name="pointer"&gt;1&lt;/Valeur&gt;</v>
      </c>
      <c r="AD110" t="str">
        <f t="shared" si="35"/>
        <v>&lt;Valeur name="idbanque"&gt;300760283626261100200EUR201903076317939900&lt;/Valeur&gt;</v>
      </c>
      <c r="AE110" t="str">
        <f t="shared" si="36"/>
        <v>&lt;Valeur name="datevaleur"&gt;2019/03/07&lt;/Valeur&gt;</v>
      </c>
      <c r="AF110" t="str">
        <f t="shared" si="37"/>
        <v>&lt;Valeur name="intitule"&gt;VIR TRESORERIE ARRAS MUNICIP / FAC. situation 6 DU 25/02/2019PO&lt;/Valeur&gt;</v>
      </c>
      <c r="AG110" t="str">
        <f t="shared" si="38"/>
        <v>&lt;Valeur name="description"&gt;&lt;/Valeur&gt;</v>
      </c>
      <c r="AH110" t="str">
        <f t="shared" si="39"/>
        <v>&lt;Valeur name="compte"&gt;4&lt;/Valeur&gt;</v>
      </c>
      <c r="AI110" t="str">
        <f t="shared" si="40"/>
        <v>&lt;Valeur name="solde"&gt;14373.44&lt;/Valeur&gt;</v>
      </c>
      <c r="AJ110" t="str">
        <f t="shared" si="41"/>
        <v>&lt;Valeur name="ventiler"&gt;0&lt;/Valeur&gt;</v>
      </c>
      <c r="AK110" t="str">
        <f t="shared" si="42"/>
        <v>&lt;Valeur name="compta"&gt;&lt;/Valeur&gt;</v>
      </c>
      <c r="AL110" t="str">
        <f t="shared" si="43"/>
        <v>&lt;Valeur name="valeur"&gt;28744.53&lt;/Valeur&gt;</v>
      </c>
      <c r="AN110" t="str">
        <f t="shared" si="33"/>
        <v>&lt;Insert&gt;&lt;Valeur name="no"&gt;98&lt;/Valeur&gt;&lt;Valeur name="banque"&gt;1&lt;/Valeur&gt;&lt;Valeur name="pointer"&gt;1&lt;/Valeur&gt;&lt;Valeur name="idbanque"&gt;300760283626261100200EUR201903076317939900&lt;/Valeur&gt;&lt;Valeur name="datevaleur"&gt;2019/03/07&lt;/Valeur&gt;&lt;Valeur name="intitule"&gt;VIR TRESORERIE ARRAS MUNICIP / FAC. situation 6 DU 25/02/2019PO&lt;/Valeur&gt;&lt;Valeur name="description"&gt;&lt;/Valeur&gt;&lt;Valeur name="compte"&gt;4&lt;/Valeur&gt;&lt;Valeur name="solde"&gt;14373.44&lt;/Valeur&gt;&lt;Valeur name="ventiler"&gt;0&lt;/Valeur&gt;&lt;Valeur name="compta"&gt;&lt;/Valeur&gt;&lt;Valeur name="valeur"&gt;28744.53&lt;/Valeur&gt;&lt;/Insert&gt;</v>
      </c>
    </row>
    <row r="111" spans="1:40" x14ac:dyDescent="0.25">
      <c r="A111" t="s">
        <v>116</v>
      </c>
      <c r="B111">
        <v>99</v>
      </c>
      <c r="C111" s="1">
        <v>43532</v>
      </c>
      <c r="D111">
        <v>1</v>
      </c>
      <c r="E111" t="str">
        <f>IF(F111&lt;&gt;"",INDEX(Balance!A:A,MATCH(F111,Balance!B:B,0)),"")</f>
        <v>Depense</v>
      </c>
      <c r="F111" t="s">
        <v>256</v>
      </c>
      <c r="G111" t="s">
        <v>117</v>
      </c>
      <c r="I111" s="10">
        <v>776.06</v>
      </c>
      <c r="K111" s="11">
        <f t="shared" si="44"/>
        <v>129.34333333333325</v>
      </c>
      <c r="L111" s="10">
        <f t="shared" si="45"/>
        <v>13597.38</v>
      </c>
      <c r="N111">
        <v>99</v>
      </c>
      <c r="O111">
        <v>1</v>
      </c>
      <c r="P111">
        <v>1</v>
      </c>
      <c r="Q111" t="str">
        <f t="shared" si="26"/>
        <v>300760283626261100200EUR201903080295108300</v>
      </c>
      <c r="R111" s="16" t="s">
        <v>962</v>
      </c>
      <c r="S111" t="str">
        <f t="shared" si="27"/>
        <v>E-VIR SEPA Salaire Alex 01/2019</v>
      </c>
      <c r="U111">
        <f>IFERROR(VLOOKUP(F111,tab!A:B,2,FALSE),1)</f>
        <v>28</v>
      </c>
      <c r="V111" s="14">
        <f t="shared" si="28"/>
        <v>13597.38</v>
      </c>
      <c r="W111">
        <f t="shared" si="29"/>
        <v>0</v>
      </c>
      <c r="X111">
        <f t="shared" si="30"/>
        <v>1</v>
      </c>
      <c r="Y111" s="14">
        <f t="shared" si="31"/>
        <v>776.06</v>
      </c>
      <c r="AA111" t="str">
        <f t="shared" si="32"/>
        <v>&lt;Valeur name="no"&gt;99&lt;/Valeur&gt;</v>
      </c>
      <c r="AB111" t="str">
        <f t="shared" si="32"/>
        <v>&lt;Valeur name="banque"&gt;1&lt;/Valeur&gt;</v>
      </c>
      <c r="AC111" t="str">
        <f t="shared" si="34"/>
        <v>&lt;Valeur name="pointer"&gt;1&lt;/Valeur&gt;</v>
      </c>
      <c r="AD111" t="str">
        <f t="shared" si="35"/>
        <v>&lt;Valeur name="idbanque"&gt;300760283626261100200EUR201903080295108300&lt;/Valeur&gt;</v>
      </c>
      <c r="AE111" t="str">
        <f t="shared" si="36"/>
        <v>&lt;Valeur name="datevaleur"&gt;2019/03/08&lt;/Valeur&gt;</v>
      </c>
      <c r="AF111" t="str">
        <f t="shared" si="37"/>
        <v>&lt;Valeur name="intitule"&gt;E-VIR SEPA Salaire Alex 01/2019&lt;/Valeur&gt;</v>
      </c>
      <c r="AG111" t="str">
        <f t="shared" si="38"/>
        <v>&lt;Valeur name="description"&gt;&lt;/Valeur&gt;</v>
      </c>
      <c r="AH111" t="str">
        <f t="shared" si="39"/>
        <v>&lt;Valeur name="compte"&gt;28&lt;/Valeur&gt;</v>
      </c>
      <c r="AI111" t="str">
        <f t="shared" si="40"/>
        <v>&lt;Valeur name="solde"&gt;13597.38&lt;/Valeur&gt;</v>
      </c>
      <c r="AJ111" t="str">
        <f t="shared" si="41"/>
        <v>&lt;Valeur name="ventiler"&gt;0&lt;/Valeur&gt;</v>
      </c>
      <c r="AK111" t="str">
        <f t="shared" si="42"/>
        <v>&lt;Valeur name="compta"&gt;1&lt;/Valeur&gt;</v>
      </c>
      <c r="AL111" t="str">
        <f t="shared" si="43"/>
        <v>&lt;Valeur name="valeur"&gt;776.06&lt;/Valeur&gt;</v>
      </c>
      <c r="AN111" t="str">
        <f t="shared" si="33"/>
        <v>&lt;Insert&gt;&lt;Valeur name="no"&gt;99&lt;/Valeur&gt;&lt;Valeur name="banque"&gt;1&lt;/Valeur&gt;&lt;Valeur name="pointer"&gt;1&lt;/Valeur&gt;&lt;Valeur name="idbanque"&gt;300760283626261100200EUR201903080295108300&lt;/Valeur&gt;&lt;Valeur name="datevaleur"&gt;2019/03/08&lt;/Valeur&gt;&lt;Valeur name="intitule"&gt;E-VIR SEPA Salaire Alex 01/2019&lt;/Valeur&gt;&lt;Valeur name="description"&gt;&lt;/Valeur&gt;&lt;Valeur name="compte"&gt;28&lt;/Valeur&gt;&lt;Valeur name="solde"&gt;13597.38&lt;/Valeur&gt;&lt;Valeur name="ventiler"&gt;0&lt;/Valeur&gt;&lt;Valeur name="compta"&gt;1&lt;/Valeur&gt;&lt;Valeur name="valeur"&gt;776.06&lt;/Valeur&gt;&lt;/Insert&gt;</v>
      </c>
    </row>
    <row r="112" spans="1:40" x14ac:dyDescent="0.25">
      <c r="A112" t="s">
        <v>123</v>
      </c>
      <c r="B112">
        <v>100</v>
      </c>
      <c r="C112" s="1">
        <v>43532</v>
      </c>
      <c r="E112" t="str">
        <f>IF(F112&lt;&gt;"",INDEX(Balance!A:A,MATCH(F112,Balance!B:B,0)),"")</f>
        <v>Fournisseurs</v>
      </c>
      <c r="F112" t="s">
        <v>277</v>
      </c>
      <c r="G112" t="s">
        <v>124</v>
      </c>
      <c r="I112" s="10">
        <v>19.82</v>
      </c>
      <c r="K112" s="11">
        <f t="shared" si="44"/>
        <v>3.303333333333331</v>
      </c>
      <c r="L112" s="10">
        <f t="shared" si="45"/>
        <v>13577.56</v>
      </c>
      <c r="N112">
        <v>100</v>
      </c>
      <c r="O112">
        <v>1</v>
      </c>
      <c r="P112">
        <v>1</v>
      </c>
      <c r="Q112" t="str">
        <f t="shared" si="26"/>
        <v>300760283626261100200EUR201903080910231000</v>
      </c>
      <c r="R112" s="16" t="s">
        <v>962</v>
      </c>
      <c r="S112" t="str">
        <f t="shared" si="27"/>
        <v>RELEVE LCR DU  010319  CONFORME</v>
      </c>
      <c r="U112">
        <f>IFERROR(VLOOKUP(F112,tab!A:B,2,FALSE),1)</f>
        <v>62</v>
      </c>
      <c r="V112" s="14">
        <f t="shared" si="28"/>
        <v>13577.56</v>
      </c>
      <c r="W112">
        <f t="shared" si="29"/>
        <v>0</v>
      </c>
      <c r="X112" t="str">
        <f t="shared" si="30"/>
        <v/>
      </c>
      <c r="Y112" s="14">
        <f t="shared" si="31"/>
        <v>19.82</v>
      </c>
      <c r="AA112" t="str">
        <f t="shared" si="32"/>
        <v>&lt;Valeur name="no"&gt;100&lt;/Valeur&gt;</v>
      </c>
      <c r="AB112" t="str">
        <f t="shared" si="32"/>
        <v>&lt;Valeur name="banque"&gt;1&lt;/Valeur&gt;</v>
      </c>
      <c r="AC112" t="str">
        <f t="shared" si="34"/>
        <v>&lt;Valeur name="pointer"&gt;1&lt;/Valeur&gt;</v>
      </c>
      <c r="AD112" t="str">
        <f t="shared" si="35"/>
        <v>&lt;Valeur name="idbanque"&gt;300760283626261100200EUR201903080910231000&lt;/Valeur&gt;</v>
      </c>
      <c r="AE112" t="str">
        <f t="shared" si="36"/>
        <v>&lt;Valeur name="datevaleur"&gt;2019/03/08&lt;/Valeur&gt;</v>
      </c>
      <c r="AF112" t="str">
        <f t="shared" si="37"/>
        <v>&lt;Valeur name="intitule"&gt;RELEVE LCR DU  010319  CONFORME&lt;/Valeur&gt;</v>
      </c>
      <c r="AG112" t="str">
        <f t="shared" si="38"/>
        <v>&lt;Valeur name="description"&gt;&lt;/Valeur&gt;</v>
      </c>
      <c r="AH112" t="str">
        <f t="shared" si="39"/>
        <v>&lt;Valeur name="compte"&gt;62&lt;/Valeur&gt;</v>
      </c>
      <c r="AI112" t="str">
        <f t="shared" si="40"/>
        <v>&lt;Valeur name="solde"&gt;13577.56&lt;/Valeur&gt;</v>
      </c>
      <c r="AJ112" t="str">
        <f t="shared" si="41"/>
        <v>&lt;Valeur name="ventiler"&gt;0&lt;/Valeur&gt;</v>
      </c>
      <c r="AK112" t="str">
        <f t="shared" si="42"/>
        <v>&lt;Valeur name="compta"&gt;&lt;/Valeur&gt;</v>
      </c>
      <c r="AL112" t="str">
        <f t="shared" si="43"/>
        <v>&lt;Valeur name="valeur"&gt;19.82&lt;/Valeur&gt;</v>
      </c>
      <c r="AN112" t="str">
        <f t="shared" si="33"/>
        <v>&lt;Insert&gt;&lt;Valeur name="no"&gt;100&lt;/Valeur&gt;&lt;Valeur name="banque"&gt;1&lt;/Valeur&gt;&lt;Valeur name="pointer"&gt;1&lt;/Valeur&gt;&lt;Valeur name="idbanque"&gt;300760283626261100200EUR201903080910231000&lt;/Valeur&gt;&lt;Valeur name="datevaleur"&gt;2019/03/08&lt;/Valeur&gt;&lt;Valeur name="intitule"&gt;RELEVE LCR DU  010319  CONFORME&lt;/Valeur&gt;&lt;Valeur name="description"&gt;&lt;/Valeur&gt;&lt;Valeur name="compte"&gt;62&lt;/Valeur&gt;&lt;Valeur name="solde"&gt;13577.56&lt;/Valeur&gt;&lt;Valeur name="ventiler"&gt;0&lt;/Valeur&gt;&lt;Valeur name="compta"&gt;&lt;/Valeur&gt;&lt;Valeur name="valeur"&gt;19.82&lt;/Valeur&gt;&lt;/Insert&gt;</v>
      </c>
    </row>
    <row r="113" spans="1:40" x14ac:dyDescent="0.25">
      <c r="A113" t="s">
        <v>121</v>
      </c>
      <c r="B113">
        <v>101</v>
      </c>
      <c r="C113" s="1">
        <v>43532</v>
      </c>
      <c r="D113">
        <v>1</v>
      </c>
      <c r="E113" t="str">
        <f>IF(F113&lt;&gt;"",INDEX(Balance!A:A,MATCH(F113,Balance!B:B,0)),"")</f>
        <v>Depense</v>
      </c>
      <c r="F113" t="s">
        <v>253</v>
      </c>
      <c r="G113" t="s">
        <v>122</v>
      </c>
      <c r="I113" s="10">
        <v>82.84</v>
      </c>
      <c r="K113" s="11">
        <f t="shared" si="44"/>
        <v>13.806666666666658</v>
      </c>
      <c r="L113" s="10">
        <f t="shared" si="45"/>
        <v>13494.72</v>
      </c>
      <c r="N113">
        <v>101</v>
      </c>
      <c r="O113">
        <v>1</v>
      </c>
      <c r="P113">
        <v>1</v>
      </c>
      <c r="Q113" t="str">
        <f t="shared" si="26"/>
        <v>300760283626261100200EUR201903081074604800</v>
      </c>
      <c r="R113" s="16" t="s">
        <v>962</v>
      </c>
      <c r="S113" t="str">
        <f t="shared" si="27"/>
        <v>CB 548222 DAC SM MATC 59BAVAY</v>
      </c>
      <c r="U113">
        <f>IFERROR(VLOOKUP(F113,tab!A:B,2,FALSE),1)</f>
        <v>13</v>
      </c>
      <c r="V113" s="14">
        <f t="shared" si="28"/>
        <v>13494.72</v>
      </c>
      <c r="W113">
        <f t="shared" si="29"/>
        <v>0</v>
      </c>
      <c r="X113">
        <f t="shared" si="30"/>
        <v>1</v>
      </c>
      <c r="Y113" s="14">
        <f t="shared" si="31"/>
        <v>82.84</v>
      </c>
      <c r="AA113" t="str">
        <f t="shared" si="32"/>
        <v>&lt;Valeur name="no"&gt;101&lt;/Valeur&gt;</v>
      </c>
      <c r="AB113" t="str">
        <f t="shared" si="32"/>
        <v>&lt;Valeur name="banque"&gt;1&lt;/Valeur&gt;</v>
      </c>
      <c r="AC113" t="str">
        <f t="shared" si="34"/>
        <v>&lt;Valeur name="pointer"&gt;1&lt;/Valeur&gt;</v>
      </c>
      <c r="AD113" t="str">
        <f t="shared" si="35"/>
        <v>&lt;Valeur name="idbanque"&gt;300760283626261100200EUR201903081074604800&lt;/Valeur&gt;</v>
      </c>
      <c r="AE113" t="str">
        <f t="shared" si="36"/>
        <v>&lt;Valeur name="datevaleur"&gt;2019/03/08&lt;/Valeur&gt;</v>
      </c>
      <c r="AF113" t="str">
        <f t="shared" si="37"/>
        <v>&lt;Valeur name="intitule"&gt;CB 548222 DAC SM MATC 59BAVAY&lt;/Valeur&gt;</v>
      </c>
      <c r="AG113" t="str">
        <f t="shared" si="38"/>
        <v>&lt;Valeur name="description"&gt;&lt;/Valeur&gt;</v>
      </c>
      <c r="AH113" t="str">
        <f t="shared" si="39"/>
        <v>&lt;Valeur name="compte"&gt;13&lt;/Valeur&gt;</v>
      </c>
      <c r="AI113" t="str">
        <f t="shared" si="40"/>
        <v>&lt;Valeur name="solde"&gt;13494.72&lt;/Valeur&gt;</v>
      </c>
      <c r="AJ113" t="str">
        <f t="shared" si="41"/>
        <v>&lt;Valeur name="ventiler"&gt;0&lt;/Valeur&gt;</v>
      </c>
      <c r="AK113" t="str">
        <f t="shared" si="42"/>
        <v>&lt;Valeur name="compta"&gt;1&lt;/Valeur&gt;</v>
      </c>
      <c r="AL113" t="str">
        <f t="shared" si="43"/>
        <v>&lt;Valeur name="valeur"&gt;82.84&lt;/Valeur&gt;</v>
      </c>
      <c r="AN113" t="str">
        <f t="shared" si="33"/>
        <v>&lt;Insert&gt;&lt;Valeur name="no"&gt;101&lt;/Valeur&gt;&lt;Valeur name="banque"&gt;1&lt;/Valeur&gt;&lt;Valeur name="pointer"&gt;1&lt;/Valeur&gt;&lt;Valeur name="idbanque"&gt;300760283626261100200EUR201903081074604800&lt;/Valeur&gt;&lt;Valeur name="datevaleur"&gt;2019/03/08&lt;/Valeur&gt;&lt;Valeur name="intitule"&gt;CB 548222 DAC SM MATC 59BAVAY&lt;/Valeur&gt;&lt;Valeur name="description"&gt;&lt;/Valeur&gt;&lt;Valeur name="compte"&gt;13&lt;/Valeur&gt;&lt;Valeur name="solde"&gt;13494.72&lt;/Valeur&gt;&lt;Valeur name="ventiler"&gt;0&lt;/Valeur&gt;&lt;Valeur name="compta"&gt;1&lt;/Valeur&gt;&lt;Valeur name="valeur"&gt;82.84&lt;/Valeur&gt;&lt;/Insert&gt;</v>
      </c>
    </row>
    <row r="114" spans="1:40" x14ac:dyDescent="0.25">
      <c r="A114" t="s">
        <v>118</v>
      </c>
      <c r="B114">
        <v>102</v>
      </c>
      <c r="C114" s="1">
        <v>43532</v>
      </c>
      <c r="D114">
        <v>1</v>
      </c>
      <c r="E114" t="str">
        <f>IF(F114&lt;&gt;"",INDEX(Balance!A:A,MATCH(F114,Balance!B:B,0)),"")</f>
        <v>Depense</v>
      </c>
      <c r="F114" t="s">
        <v>254</v>
      </c>
      <c r="G114" t="s">
        <v>119</v>
      </c>
      <c r="I114" s="10">
        <v>26.55</v>
      </c>
      <c r="K114" s="11">
        <f t="shared" si="44"/>
        <v>4.4250000000000007</v>
      </c>
      <c r="L114" s="10">
        <f t="shared" si="45"/>
        <v>13468.17</v>
      </c>
      <c r="N114">
        <v>102</v>
      </c>
      <c r="O114">
        <v>1</v>
      </c>
      <c r="P114">
        <v>1</v>
      </c>
      <c r="Q114" t="str">
        <f t="shared" si="26"/>
        <v>300760283626261100200EUR201903081074604900</v>
      </c>
      <c r="R114" s="16" t="s">
        <v>962</v>
      </c>
      <c r="S114" t="str">
        <f t="shared" si="27"/>
        <v>CB 548222 SMMATCH MAG 59BAVAY</v>
      </c>
      <c r="U114">
        <f>IFERROR(VLOOKUP(F114,tab!A:B,2,FALSE),1)</f>
        <v>27</v>
      </c>
      <c r="V114" s="14">
        <f t="shared" si="28"/>
        <v>13468.17</v>
      </c>
      <c r="W114">
        <f t="shared" si="29"/>
        <v>0</v>
      </c>
      <c r="X114">
        <f t="shared" si="30"/>
        <v>1</v>
      </c>
      <c r="Y114" s="14">
        <f t="shared" si="31"/>
        <v>26.55</v>
      </c>
      <c r="AA114" t="str">
        <f t="shared" si="32"/>
        <v>&lt;Valeur name="no"&gt;102&lt;/Valeur&gt;</v>
      </c>
      <c r="AB114" t="str">
        <f t="shared" si="32"/>
        <v>&lt;Valeur name="banque"&gt;1&lt;/Valeur&gt;</v>
      </c>
      <c r="AC114" t="str">
        <f t="shared" si="34"/>
        <v>&lt;Valeur name="pointer"&gt;1&lt;/Valeur&gt;</v>
      </c>
      <c r="AD114" t="str">
        <f t="shared" si="35"/>
        <v>&lt;Valeur name="idbanque"&gt;300760283626261100200EUR201903081074604900&lt;/Valeur&gt;</v>
      </c>
      <c r="AE114" t="str">
        <f t="shared" si="36"/>
        <v>&lt;Valeur name="datevaleur"&gt;2019/03/08&lt;/Valeur&gt;</v>
      </c>
      <c r="AF114" t="str">
        <f t="shared" si="37"/>
        <v>&lt;Valeur name="intitule"&gt;CB 548222 SMMATCH MAG 59BAVAY&lt;/Valeur&gt;</v>
      </c>
      <c r="AG114" t="str">
        <f t="shared" si="38"/>
        <v>&lt;Valeur name="description"&gt;&lt;/Valeur&gt;</v>
      </c>
      <c r="AH114" t="str">
        <f t="shared" si="39"/>
        <v>&lt;Valeur name="compte"&gt;27&lt;/Valeur&gt;</v>
      </c>
      <c r="AI114" t="str">
        <f t="shared" si="40"/>
        <v>&lt;Valeur name="solde"&gt;13468.17&lt;/Valeur&gt;</v>
      </c>
      <c r="AJ114" t="str">
        <f t="shared" si="41"/>
        <v>&lt;Valeur name="ventiler"&gt;0&lt;/Valeur&gt;</v>
      </c>
      <c r="AK114" t="str">
        <f t="shared" si="42"/>
        <v>&lt;Valeur name="compta"&gt;1&lt;/Valeur&gt;</v>
      </c>
      <c r="AL114" t="str">
        <f t="shared" si="43"/>
        <v>&lt;Valeur name="valeur"&gt;26.55&lt;/Valeur&gt;</v>
      </c>
      <c r="AN114" t="str">
        <f t="shared" si="33"/>
        <v>&lt;Insert&gt;&lt;Valeur name="no"&gt;102&lt;/Valeur&gt;&lt;Valeur name="banque"&gt;1&lt;/Valeur&gt;&lt;Valeur name="pointer"&gt;1&lt;/Valeur&gt;&lt;Valeur name="idbanque"&gt;300760283626261100200EUR201903081074604900&lt;/Valeur&gt;&lt;Valeur name="datevaleur"&gt;2019/03/08&lt;/Valeur&gt;&lt;Valeur name="intitule"&gt;CB 548222 SMMATCH MAG 59BAVAY&lt;/Valeur&gt;&lt;Valeur name="description"&gt;&lt;/Valeur&gt;&lt;Valeur name="compte"&gt;27&lt;/Valeur&gt;&lt;Valeur name="solde"&gt;13468.17&lt;/Valeur&gt;&lt;Valeur name="ventiler"&gt;0&lt;/Valeur&gt;&lt;Valeur name="compta"&gt;1&lt;/Valeur&gt;&lt;Valeur name="valeur"&gt;26.55&lt;/Valeur&gt;&lt;/Insert&gt;</v>
      </c>
    </row>
    <row r="115" spans="1:40" x14ac:dyDescent="0.25">
      <c r="A115" t="s">
        <v>120</v>
      </c>
      <c r="B115">
        <v>103</v>
      </c>
      <c r="C115" s="1">
        <v>43532</v>
      </c>
      <c r="D115">
        <v>1</v>
      </c>
      <c r="E115" t="str">
        <f>IF(F115&lt;&gt;"",INDEX(Balance!A:A,MATCH(F115,Balance!B:B,0)),"")</f>
        <v>Depense</v>
      </c>
      <c r="F115" t="s">
        <v>254</v>
      </c>
      <c r="G115" t="s">
        <v>33</v>
      </c>
      <c r="I115" s="10">
        <v>29</v>
      </c>
      <c r="K115" s="11">
        <f t="shared" si="44"/>
        <v>4.8333333333333321</v>
      </c>
      <c r="L115" s="10">
        <f t="shared" si="45"/>
        <v>13439.17</v>
      </c>
      <c r="N115">
        <v>103</v>
      </c>
      <c r="O115">
        <v>1</v>
      </c>
      <c r="P115">
        <v>1</v>
      </c>
      <c r="Q115" t="str">
        <f t="shared" si="26"/>
        <v>300760283626261100200EUR201903081074605000</v>
      </c>
      <c r="R115" s="16" t="s">
        <v>962</v>
      </c>
      <c r="S115" t="str">
        <f t="shared" si="27"/>
        <v>CB 454106 PIZZA NONNA 59VILLENEU</v>
      </c>
      <c r="U115">
        <f>IFERROR(VLOOKUP(F115,tab!A:B,2,FALSE),1)</f>
        <v>27</v>
      </c>
      <c r="V115" s="14">
        <f t="shared" si="28"/>
        <v>13439.17</v>
      </c>
      <c r="W115">
        <f t="shared" si="29"/>
        <v>0</v>
      </c>
      <c r="X115">
        <f t="shared" si="30"/>
        <v>1</v>
      </c>
      <c r="Y115" s="14">
        <f t="shared" si="31"/>
        <v>29</v>
      </c>
      <c r="AA115" t="str">
        <f t="shared" si="32"/>
        <v>&lt;Valeur name="no"&gt;103&lt;/Valeur&gt;</v>
      </c>
      <c r="AB115" t="str">
        <f t="shared" si="32"/>
        <v>&lt;Valeur name="banque"&gt;1&lt;/Valeur&gt;</v>
      </c>
      <c r="AC115" t="str">
        <f t="shared" si="34"/>
        <v>&lt;Valeur name="pointer"&gt;1&lt;/Valeur&gt;</v>
      </c>
      <c r="AD115" t="str">
        <f t="shared" si="35"/>
        <v>&lt;Valeur name="idbanque"&gt;300760283626261100200EUR201903081074605000&lt;/Valeur&gt;</v>
      </c>
      <c r="AE115" t="str">
        <f t="shared" si="36"/>
        <v>&lt;Valeur name="datevaleur"&gt;2019/03/08&lt;/Valeur&gt;</v>
      </c>
      <c r="AF115" t="str">
        <f t="shared" si="37"/>
        <v>&lt;Valeur name="intitule"&gt;CB 454106 PIZZA NONNA 59VILLENEU&lt;/Valeur&gt;</v>
      </c>
      <c r="AG115" t="str">
        <f t="shared" si="38"/>
        <v>&lt;Valeur name="description"&gt;&lt;/Valeur&gt;</v>
      </c>
      <c r="AH115" t="str">
        <f t="shared" si="39"/>
        <v>&lt;Valeur name="compte"&gt;27&lt;/Valeur&gt;</v>
      </c>
      <c r="AI115" t="str">
        <f t="shared" si="40"/>
        <v>&lt;Valeur name="solde"&gt;13439.17&lt;/Valeur&gt;</v>
      </c>
      <c r="AJ115" t="str">
        <f t="shared" si="41"/>
        <v>&lt;Valeur name="ventiler"&gt;0&lt;/Valeur&gt;</v>
      </c>
      <c r="AK115" t="str">
        <f t="shared" si="42"/>
        <v>&lt;Valeur name="compta"&gt;1&lt;/Valeur&gt;</v>
      </c>
      <c r="AL115" t="str">
        <f t="shared" si="43"/>
        <v>&lt;Valeur name="valeur"&gt;29&lt;/Valeur&gt;</v>
      </c>
      <c r="AN115" t="str">
        <f t="shared" si="33"/>
        <v>&lt;Insert&gt;&lt;Valeur name="no"&gt;103&lt;/Valeur&gt;&lt;Valeur name="banque"&gt;1&lt;/Valeur&gt;&lt;Valeur name="pointer"&gt;1&lt;/Valeur&gt;&lt;Valeur name="idbanque"&gt;300760283626261100200EUR201903081074605000&lt;/Valeur&gt;&lt;Valeur name="datevaleur"&gt;2019/03/08&lt;/Valeur&gt;&lt;Valeur name="intitule"&gt;CB 454106 PIZZA NONNA 59VILLENEU&lt;/Valeur&gt;&lt;Valeur name="description"&gt;&lt;/Valeur&gt;&lt;Valeur name="compte"&gt;27&lt;/Valeur&gt;&lt;Valeur name="solde"&gt;13439.17&lt;/Valeur&gt;&lt;Valeur name="ventiler"&gt;0&lt;/Valeur&gt;&lt;Valeur name="compta"&gt;1&lt;/Valeur&gt;&lt;Valeur name="valeur"&gt;29&lt;/Valeur&gt;&lt;/Insert&gt;</v>
      </c>
    </row>
    <row r="116" spans="1:40" x14ac:dyDescent="0.25">
      <c r="A116" t="s">
        <v>96</v>
      </c>
      <c r="B116">
        <v>104</v>
      </c>
      <c r="C116" s="1">
        <v>43535</v>
      </c>
      <c r="E116" t="str">
        <f>IF(F116&lt;&gt;"",INDEX(Balance!A:A,MATCH(F116,Balance!B:B,0)),"")</f>
        <v>Fournisseurs</v>
      </c>
      <c r="F116" t="s">
        <v>289</v>
      </c>
      <c r="G116" t="s">
        <v>97</v>
      </c>
      <c r="I116" s="10">
        <v>397.5</v>
      </c>
      <c r="K116" s="11">
        <f t="shared" si="44"/>
        <v>66.25</v>
      </c>
      <c r="L116" s="10">
        <f t="shared" si="45"/>
        <v>13041.67</v>
      </c>
      <c r="N116">
        <v>104</v>
      </c>
      <c r="O116">
        <v>1</v>
      </c>
      <c r="P116">
        <v>1</v>
      </c>
      <c r="Q116" t="str">
        <f t="shared" si="26"/>
        <v>300760283626261100200EUR201903110290944500</v>
      </c>
      <c r="R116" s="16" t="s">
        <v>898</v>
      </c>
      <c r="S116" t="str">
        <f t="shared" si="27"/>
        <v>E-VIR SEPA Dimatex 11/2018</v>
      </c>
      <c r="U116">
        <f>IFERROR(VLOOKUP(F116,tab!A:B,2,FALSE),1)</f>
        <v>57</v>
      </c>
      <c r="V116" s="14">
        <f t="shared" si="28"/>
        <v>13041.67</v>
      </c>
      <c r="W116">
        <f t="shared" si="29"/>
        <v>0</v>
      </c>
      <c r="X116" t="str">
        <f t="shared" si="30"/>
        <v/>
      </c>
      <c r="Y116" s="14">
        <f t="shared" si="31"/>
        <v>397.5</v>
      </c>
      <c r="AA116" t="str">
        <f t="shared" si="32"/>
        <v>&lt;Valeur name="no"&gt;104&lt;/Valeur&gt;</v>
      </c>
      <c r="AB116" t="str">
        <f t="shared" si="32"/>
        <v>&lt;Valeur name="banque"&gt;1&lt;/Valeur&gt;</v>
      </c>
      <c r="AC116" t="str">
        <f t="shared" si="34"/>
        <v>&lt;Valeur name="pointer"&gt;1&lt;/Valeur&gt;</v>
      </c>
      <c r="AD116" t="str">
        <f t="shared" si="35"/>
        <v>&lt;Valeur name="idbanque"&gt;300760283626261100200EUR201903110290944500&lt;/Valeur&gt;</v>
      </c>
      <c r="AE116" t="str">
        <f t="shared" si="36"/>
        <v>&lt;Valeur name="datevaleur"&gt;2019/03/11&lt;/Valeur&gt;</v>
      </c>
      <c r="AF116" t="str">
        <f t="shared" si="37"/>
        <v>&lt;Valeur name="intitule"&gt;E-VIR SEPA Dimatex 11/2018&lt;/Valeur&gt;</v>
      </c>
      <c r="AG116" t="str">
        <f t="shared" si="38"/>
        <v>&lt;Valeur name="description"&gt;&lt;/Valeur&gt;</v>
      </c>
      <c r="AH116" t="str">
        <f t="shared" si="39"/>
        <v>&lt;Valeur name="compte"&gt;57&lt;/Valeur&gt;</v>
      </c>
      <c r="AI116" t="str">
        <f t="shared" si="40"/>
        <v>&lt;Valeur name="solde"&gt;13041.67&lt;/Valeur&gt;</v>
      </c>
      <c r="AJ116" t="str">
        <f t="shared" si="41"/>
        <v>&lt;Valeur name="ventiler"&gt;0&lt;/Valeur&gt;</v>
      </c>
      <c r="AK116" t="str">
        <f t="shared" si="42"/>
        <v>&lt;Valeur name="compta"&gt;&lt;/Valeur&gt;</v>
      </c>
      <c r="AL116" t="str">
        <f t="shared" si="43"/>
        <v>&lt;Valeur name="valeur"&gt;397.5&lt;/Valeur&gt;</v>
      </c>
      <c r="AN116" t="str">
        <f t="shared" si="33"/>
        <v>&lt;Insert&gt;&lt;Valeur name="no"&gt;104&lt;/Valeur&gt;&lt;Valeur name="banque"&gt;1&lt;/Valeur&gt;&lt;Valeur name="pointer"&gt;1&lt;/Valeur&gt;&lt;Valeur name="idbanque"&gt;300760283626261100200EUR201903110290944500&lt;/Valeur&gt;&lt;Valeur name="datevaleur"&gt;2019/03/11&lt;/Valeur&gt;&lt;Valeur name="intitule"&gt;E-VIR SEPA Dimatex 11/2018&lt;/Valeur&gt;&lt;Valeur name="description"&gt;&lt;/Valeur&gt;&lt;Valeur name="compte"&gt;57&lt;/Valeur&gt;&lt;Valeur name="solde"&gt;13041.67&lt;/Valeur&gt;&lt;Valeur name="ventiler"&gt;0&lt;/Valeur&gt;&lt;Valeur name="compta"&gt;&lt;/Valeur&gt;&lt;Valeur name="valeur"&gt;397.5&lt;/Valeur&gt;&lt;/Insert&gt;</v>
      </c>
    </row>
    <row r="117" spans="1:40" x14ac:dyDescent="0.25">
      <c r="A117" t="s">
        <v>98</v>
      </c>
      <c r="B117">
        <v>105</v>
      </c>
      <c r="C117" s="1">
        <v>43535</v>
      </c>
      <c r="E117" t="str">
        <f>IF(F117&lt;&gt;"",INDEX(Balance!A:A,MATCH(F117,Balance!B:B,0)),"")</f>
        <v>Fournisseurs</v>
      </c>
      <c r="F117" t="s">
        <v>289</v>
      </c>
      <c r="G117" t="s">
        <v>99</v>
      </c>
      <c r="I117" s="10">
        <v>441.72</v>
      </c>
      <c r="K117" s="11">
        <f t="shared" si="44"/>
        <v>73.62</v>
      </c>
      <c r="L117" s="10">
        <f t="shared" si="45"/>
        <v>12599.95</v>
      </c>
      <c r="N117">
        <v>105</v>
      </c>
      <c r="O117">
        <v>1</v>
      </c>
      <c r="P117">
        <v>1</v>
      </c>
      <c r="Q117" t="str">
        <f t="shared" si="26"/>
        <v>300760283626261100200EUR201903110290944600</v>
      </c>
      <c r="R117" s="16" t="s">
        <v>898</v>
      </c>
      <c r="S117" t="str">
        <f t="shared" si="27"/>
        <v>E-VIR SEPA Dimatex 10/2018</v>
      </c>
      <c r="U117">
        <f>IFERROR(VLOOKUP(F117,tab!A:B,2,FALSE),1)</f>
        <v>57</v>
      </c>
      <c r="V117" s="14">
        <f t="shared" si="28"/>
        <v>12599.95</v>
      </c>
      <c r="W117">
        <f t="shared" si="29"/>
        <v>0</v>
      </c>
      <c r="X117" t="str">
        <f t="shared" si="30"/>
        <v/>
      </c>
      <c r="Y117" s="14">
        <f t="shared" si="31"/>
        <v>441.72</v>
      </c>
      <c r="AA117" t="str">
        <f t="shared" si="32"/>
        <v>&lt;Valeur name="no"&gt;105&lt;/Valeur&gt;</v>
      </c>
      <c r="AB117" t="str">
        <f t="shared" si="32"/>
        <v>&lt;Valeur name="banque"&gt;1&lt;/Valeur&gt;</v>
      </c>
      <c r="AC117" t="str">
        <f t="shared" si="34"/>
        <v>&lt;Valeur name="pointer"&gt;1&lt;/Valeur&gt;</v>
      </c>
      <c r="AD117" t="str">
        <f t="shared" si="35"/>
        <v>&lt;Valeur name="idbanque"&gt;300760283626261100200EUR201903110290944600&lt;/Valeur&gt;</v>
      </c>
      <c r="AE117" t="str">
        <f t="shared" si="36"/>
        <v>&lt;Valeur name="datevaleur"&gt;2019/03/11&lt;/Valeur&gt;</v>
      </c>
      <c r="AF117" t="str">
        <f t="shared" si="37"/>
        <v>&lt;Valeur name="intitule"&gt;E-VIR SEPA Dimatex 10/2018&lt;/Valeur&gt;</v>
      </c>
      <c r="AG117" t="str">
        <f t="shared" si="38"/>
        <v>&lt;Valeur name="description"&gt;&lt;/Valeur&gt;</v>
      </c>
      <c r="AH117" t="str">
        <f t="shared" si="39"/>
        <v>&lt;Valeur name="compte"&gt;57&lt;/Valeur&gt;</v>
      </c>
      <c r="AI117" t="str">
        <f t="shared" si="40"/>
        <v>&lt;Valeur name="solde"&gt;12599.95&lt;/Valeur&gt;</v>
      </c>
      <c r="AJ117" t="str">
        <f t="shared" si="41"/>
        <v>&lt;Valeur name="ventiler"&gt;0&lt;/Valeur&gt;</v>
      </c>
      <c r="AK117" t="str">
        <f t="shared" si="42"/>
        <v>&lt;Valeur name="compta"&gt;&lt;/Valeur&gt;</v>
      </c>
      <c r="AL117" t="str">
        <f t="shared" si="43"/>
        <v>&lt;Valeur name="valeur"&gt;441.72&lt;/Valeur&gt;</v>
      </c>
      <c r="AN117" t="str">
        <f t="shared" si="33"/>
        <v>&lt;Insert&gt;&lt;Valeur name="no"&gt;105&lt;/Valeur&gt;&lt;Valeur name="banque"&gt;1&lt;/Valeur&gt;&lt;Valeur name="pointer"&gt;1&lt;/Valeur&gt;&lt;Valeur name="idbanque"&gt;300760283626261100200EUR201903110290944600&lt;/Valeur&gt;&lt;Valeur name="datevaleur"&gt;2019/03/11&lt;/Valeur&gt;&lt;Valeur name="intitule"&gt;E-VIR SEPA Dimatex 10/2018&lt;/Valeur&gt;&lt;Valeur name="description"&gt;&lt;/Valeur&gt;&lt;Valeur name="compte"&gt;57&lt;/Valeur&gt;&lt;Valeur name="solde"&gt;12599.95&lt;/Valeur&gt;&lt;Valeur name="ventiler"&gt;0&lt;/Valeur&gt;&lt;Valeur name="compta"&gt;&lt;/Valeur&gt;&lt;Valeur name="valeur"&gt;441.72&lt;/Valeur&gt;&lt;/Insert&gt;</v>
      </c>
    </row>
    <row r="118" spans="1:40" x14ac:dyDescent="0.25">
      <c r="A118" t="s">
        <v>114</v>
      </c>
      <c r="B118">
        <v>106</v>
      </c>
      <c r="C118" s="1">
        <v>43535</v>
      </c>
      <c r="E118" t="str">
        <f>IF(F118&lt;&gt;"",INDEX(Balance!A:A,MATCH(F118,Balance!B:B,0)),"")</f>
        <v/>
      </c>
      <c r="G118" t="s">
        <v>115</v>
      </c>
      <c r="I118" s="10">
        <v>2358.19</v>
      </c>
      <c r="K118" s="11">
        <f t="shared" si="44"/>
        <v>393.03166666666652</v>
      </c>
      <c r="L118" s="10">
        <f t="shared" si="45"/>
        <v>10241.76</v>
      </c>
      <c r="N118">
        <v>106</v>
      </c>
      <c r="O118">
        <v>1</v>
      </c>
      <c r="P118">
        <v>1</v>
      </c>
      <c r="Q118" t="str">
        <f t="shared" si="26"/>
        <v>300760283626261100200EUR201903110910645100</v>
      </c>
      <c r="R118" s="16" t="s">
        <v>898</v>
      </c>
      <c r="S118" t="str">
        <f t="shared" si="27"/>
        <v>RELEVE LCR DU  040319  CONFORME</v>
      </c>
      <c r="U118">
        <f>IFERROR(VLOOKUP(F118,tab!A:B,2,FALSE),1)</f>
        <v>1</v>
      </c>
      <c r="V118" s="14">
        <f t="shared" si="28"/>
        <v>10241.76</v>
      </c>
      <c r="W118">
        <f t="shared" si="29"/>
        <v>1</v>
      </c>
      <c r="X118" t="str">
        <f t="shared" si="30"/>
        <v/>
      </c>
      <c r="Y118" s="14">
        <f t="shared" si="31"/>
        <v>2358.19</v>
      </c>
      <c r="AA118" t="str">
        <f t="shared" si="32"/>
        <v>&lt;Valeur name="no"&gt;106&lt;/Valeur&gt;</v>
      </c>
      <c r="AB118" t="str">
        <f t="shared" si="32"/>
        <v>&lt;Valeur name="banque"&gt;1&lt;/Valeur&gt;</v>
      </c>
      <c r="AC118" t="str">
        <f t="shared" si="34"/>
        <v>&lt;Valeur name="pointer"&gt;1&lt;/Valeur&gt;</v>
      </c>
      <c r="AD118" t="str">
        <f t="shared" si="35"/>
        <v>&lt;Valeur name="idbanque"&gt;300760283626261100200EUR201903110910645100&lt;/Valeur&gt;</v>
      </c>
      <c r="AE118" t="str">
        <f t="shared" si="36"/>
        <v>&lt;Valeur name="datevaleur"&gt;2019/03/11&lt;/Valeur&gt;</v>
      </c>
      <c r="AF118" t="str">
        <f t="shared" si="37"/>
        <v>&lt;Valeur name="intitule"&gt;RELEVE LCR DU  040319  CONFORME&lt;/Valeur&gt;</v>
      </c>
      <c r="AG118" t="str">
        <f t="shared" si="38"/>
        <v>&lt;Valeur name="description"&gt;&lt;/Valeur&gt;</v>
      </c>
      <c r="AH118" t="str">
        <f t="shared" si="39"/>
        <v>&lt;Valeur name="compte"&gt;1&lt;/Valeur&gt;</v>
      </c>
      <c r="AI118" t="str">
        <f t="shared" si="40"/>
        <v>&lt;Valeur name="solde"&gt;10241.76&lt;/Valeur&gt;</v>
      </c>
      <c r="AJ118" t="str">
        <f t="shared" si="41"/>
        <v>&lt;Valeur name="ventiler"&gt;1&lt;/Valeur&gt;</v>
      </c>
      <c r="AK118" t="str">
        <f t="shared" si="42"/>
        <v>&lt;Valeur name="compta"&gt;&lt;/Valeur&gt;</v>
      </c>
      <c r="AL118" t="str">
        <f t="shared" si="43"/>
        <v>&lt;Valeur name="valeur"&gt;2358.19&lt;/Valeur&gt;</v>
      </c>
      <c r="AN118" t="str">
        <f t="shared" si="33"/>
        <v>&lt;Insert&gt;&lt;Valeur name="no"&gt;106&lt;/Valeur&gt;&lt;Valeur name="banque"&gt;1&lt;/Valeur&gt;&lt;Valeur name="pointer"&gt;1&lt;/Valeur&gt;&lt;Valeur name="idbanque"&gt;300760283626261100200EUR201903110910645100&lt;/Valeur&gt;&lt;Valeur name="datevaleur"&gt;2019/03/11&lt;/Valeur&gt;&lt;Valeur name="intitule"&gt;RELEVE LCR DU  040319  CONFORME&lt;/Valeur&gt;&lt;Valeur name="description"&gt;&lt;/Valeur&gt;&lt;Valeur name="compte"&gt;1&lt;/Valeur&gt;&lt;Valeur name="solde"&gt;10241.76&lt;/Valeur&gt;&lt;Valeur name="ventiler"&gt;1&lt;/Valeur&gt;&lt;Valeur name="compta"&gt;&lt;/Valeur&gt;&lt;Valeur name="valeur"&gt;2358.19&lt;/Valeur&gt;&lt;/Insert&gt;</v>
      </c>
    </row>
    <row r="119" spans="1:40" x14ac:dyDescent="0.25">
      <c r="C119" s="1"/>
      <c r="E119" t="str">
        <f>IF(F119&lt;&gt;"",INDEX(Balance!A:A,MATCH(F119,Balance!B:B,0)),"")</f>
        <v>Fournisseurs</v>
      </c>
      <c r="F119" t="s">
        <v>288</v>
      </c>
      <c r="I119" s="10">
        <v>260.35000000000002</v>
      </c>
      <c r="O119">
        <v>1</v>
      </c>
      <c r="P119">
        <v>1</v>
      </c>
      <c r="Q119">
        <f t="shared" si="26"/>
        <v>0</v>
      </c>
      <c r="R119" s="16" t="s">
        <v>874</v>
      </c>
      <c r="S119" t="str">
        <f t="shared" si="27"/>
        <v/>
      </c>
      <c r="U119">
        <f>IFERROR(VLOOKUP(F119,tab!A:B,2,FALSE),1)</f>
        <v>120</v>
      </c>
      <c r="V119" s="14">
        <f t="shared" si="28"/>
        <v>0</v>
      </c>
      <c r="W119">
        <f t="shared" si="29"/>
        <v>1</v>
      </c>
      <c r="X119" t="str">
        <f t="shared" si="30"/>
        <v/>
      </c>
      <c r="Y119" s="14">
        <f t="shared" si="31"/>
        <v>260.35000000000002</v>
      </c>
      <c r="AA119" t="str">
        <f t="shared" si="32"/>
        <v/>
      </c>
      <c r="AB119" t="str">
        <f t="shared" si="32"/>
        <v/>
      </c>
      <c r="AC119" t="str">
        <f t="shared" si="34"/>
        <v/>
      </c>
      <c r="AD119" t="str">
        <f t="shared" si="35"/>
        <v/>
      </c>
      <c r="AE119" t="str">
        <f t="shared" si="36"/>
        <v/>
      </c>
      <c r="AF119" t="str">
        <f t="shared" si="37"/>
        <v/>
      </c>
      <c r="AG119" t="str">
        <f t="shared" si="38"/>
        <v/>
      </c>
      <c r="AH119" t="str">
        <f t="shared" si="39"/>
        <v/>
      </c>
      <c r="AI119" t="str">
        <f t="shared" si="40"/>
        <v/>
      </c>
      <c r="AJ119" t="str">
        <f t="shared" si="41"/>
        <v/>
      </c>
      <c r="AK119" t="str">
        <f t="shared" si="42"/>
        <v/>
      </c>
      <c r="AL119" t="str">
        <f t="shared" si="43"/>
        <v/>
      </c>
      <c r="AN119" t="str">
        <f t="shared" si="33"/>
        <v/>
      </c>
    </row>
    <row r="120" spans="1:40" x14ac:dyDescent="0.25">
      <c r="C120" s="1"/>
      <c r="E120" t="str">
        <f>IF(F120&lt;&gt;"",INDEX(Balance!A:A,MATCH(F120,Balance!B:B,0)),"")</f>
        <v>Fournisseurs</v>
      </c>
      <c r="F120" t="s">
        <v>270</v>
      </c>
      <c r="I120" s="10">
        <v>2097.84</v>
      </c>
      <c r="O120">
        <v>1</v>
      </c>
      <c r="P120">
        <v>1</v>
      </c>
      <c r="Q120">
        <f t="shared" si="26"/>
        <v>0</v>
      </c>
      <c r="R120" s="16" t="s">
        <v>874</v>
      </c>
      <c r="S120" t="str">
        <f t="shared" si="27"/>
        <v/>
      </c>
      <c r="U120">
        <f>IFERROR(VLOOKUP(F120,tab!A:B,2,FALSE),1)</f>
        <v>110</v>
      </c>
      <c r="V120" s="14">
        <f t="shared" si="28"/>
        <v>0</v>
      </c>
      <c r="W120">
        <f t="shared" si="29"/>
        <v>0</v>
      </c>
      <c r="X120" t="str">
        <f t="shared" si="30"/>
        <v/>
      </c>
      <c r="Y120" s="14">
        <f t="shared" si="31"/>
        <v>2097.84</v>
      </c>
      <c r="AA120" t="str">
        <f t="shared" si="32"/>
        <v/>
      </c>
      <c r="AB120" t="str">
        <f t="shared" si="32"/>
        <v/>
      </c>
      <c r="AC120" t="str">
        <f t="shared" si="34"/>
        <v/>
      </c>
      <c r="AD120" t="str">
        <f t="shared" si="35"/>
        <v/>
      </c>
      <c r="AE120" t="str">
        <f t="shared" si="36"/>
        <v/>
      </c>
      <c r="AF120" t="str">
        <f t="shared" si="37"/>
        <v/>
      </c>
      <c r="AG120" t="str">
        <f t="shared" si="38"/>
        <v/>
      </c>
      <c r="AH120" t="str">
        <f t="shared" si="39"/>
        <v/>
      </c>
      <c r="AI120" t="str">
        <f t="shared" si="40"/>
        <v/>
      </c>
      <c r="AJ120" t="str">
        <f t="shared" si="41"/>
        <v/>
      </c>
      <c r="AK120" t="str">
        <f t="shared" si="42"/>
        <v/>
      </c>
      <c r="AL120" t="str">
        <f t="shared" si="43"/>
        <v/>
      </c>
      <c r="AN120" t="str">
        <f t="shared" si="33"/>
        <v/>
      </c>
    </row>
    <row r="121" spans="1:40" x14ac:dyDescent="0.25">
      <c r="A121" t="s">
        <v>108</v>
      </c>
      <c r="B121">
        <v>107</v>
      </c>
      <c r="C121" s="1">
        <v>43535</v>
      </c>
      <c r="D121">
        <v>1</v>
      </c>
      <c r="E121" t="str">
        <f>IF(F121&lt;&gt;"",INDEX(Balance!A:A,MATCH(F121,Balance!B:B,0)),"")</f>
        <v>Depense</v>
      </c>
      <c r="F121" t="s">
        <v>254</v>
      </c>
      <c r="G121" t="s">
        <v>109</v>
      </c>
      <c r="I121" s="10">
        <v>50.1</v>
      </c>
      <c r="K121" s="11">
        <f t="shared" ref="K121:K155" si="46">IF(I121&gt;0,I121-(I121/TVA),-(J121-(J121/TVA)))</f>
        <v>8.3500000000000014</v>
      </c>
      <c r="L121" s="10">
        <f>L118-I121+J121</f>
        <v>10191.66</v>
      </c>
      <c r="N121">
        <v>107</v>
      </c>
      <c r="O121">
        <v>1</v>
      </c>
      <c r="P121">
        <v>1</v>
      </c>
      <c r="Q121" t="str">
        <f t="shared" si="26"/>
        <v>300760283626261100200EUR201903111077201100</v>
      </c>
      <c r="R121" s="16" t="s">
        <v>898</v>
      </c>
      <c r="S121" t="str">
        <f t="shared" si="27"/>
        <v>CB 454106 LE PEPLUM   59BAVAY</v>
      </c>
      <c r="U121">
        <f>IFERROR(VLOOKUP(F121,tab!A:B,2,FALSE),1)</f>
        <v>27</v>
      </c>
      <c r="V121" s="14">
        <f t="shared" si="28"/>
        <v>10191.66</v>
      </c>
      <c r="W121">
        <f t="shared" si="29"/>
        <v>0</v>
      </c>
      <c r="X121">
        <f t="shared" si="30"/>
        <v>1</v>
      </c>
      <c r="Y121" s="14">
        <f t="shared" si="31"/>
        <v>50.1</v>
      </c>
      <c r="AA121" t="str">
        <f t="shared" si="32"/>
        <v>&lt;Valeur name="no"&gt;107&lt;/Valeur&gt;</v>
      </c>
      <c r="AB121" t="str">
        <f t="shared" si="32"/>
        <v>&lt;Valeur name="banque"&gt;1&lt;/Valeur&gt;</v>
      </c>
      <c r="AC121" t="str">
        <f t="shared" si="34"/>
        <v>&lt;Valeur name="pointer"&gt;1&lt;/Valeur&gt;</v>
      </c>
      <c r="AD121" t="str">
        <f t="shared" si="35"/>
        <v>&lt;Valeur name="idbanque"&gt;300760283626261100200EUR201903111077201100&lt;/Valeur&gt;</v>
      </c>
      <c r="AE121" t="str">
        <f t="shared" si="36"/>
        <v>&lt;Valeur name="datevaleur"&gt;2019/03/11&lt;/Valeur&gt;</v>
      </c>
      <c r="AF121" t="str">
        <f t="shared" si="37"/>
        <v>&lt;Valeur name="intitule"&gt;CB 454106 LE PEPLUM   59BAVAY&lt;/Valeur&gt;</v>
      </c>
      <c r="AG121" t="str">
        <f t="shared" si="38"/>
        <v>&lt;Valeur name="description"&gt;&lt;/Valeur&gt;</v>
      </c>
      <c r="AH121" t="str">
        <f t="shared" si="39"/>
        <v>&lt;Valeur name="compte"&gt;27&lt;/Valeur&gt;</v>
      </c>
      <c r="AI121" t="str">
        <f t="shared" si="40"/>
        <v>&lt;Valeur name="solde"&gt;10191.66&lt;/Valeur&gt;</v>
      </c>
      <c r="AJ121" t="str">
        <f t="shared" si="41"/>
        <v>&lt;Valeur name="ventiler"&gt;0&lt;/Valeur&gt;</v>
      </c>
      <c r="AK121" t="str">
        <f t="shared" si="42"/>
        <v>&lt;Valeur name="compta"&gt;1&lt;/Valeur&gt;</v>
      </c>
      <c r="AL121" t="str">
        <f t="shared" si="43"/>
        <v>&lt;Valeur name="valeur"&gt;50.1&lt;/Valeur&gt;</v>
      </c>
      <c r="AN121" t="str">
        <f t="shared" si="33"/>
        <v>&lt;Insert&gt;&lt;Valeur name="no"&gt;107&lt;/Valeur&gt;&lt;Valeur name="banque"&gt;1&lt;/Valeur&gt;&lt;Valeur name="pointer"&gt;1&lt;/Valeur&gt;&lt;Valeur name="idbanque"&gt;300760283626261100200EUR201903111077201100&lt;/Valeur&gt;&lt;Valeur name="datevaleur"&gt;2019/03/11&lt;/Valeur&gt;&lt;Valeur name="intitule"&gt;CB 454106 LE PEPLUM   59BAVAY&lt;/Valeur&gt;&lt;Valeur name="description"&gt;&lt;/Valeur&gt;&lt;Valeur name="compte"&gt;27&lt;/Valeur&gt;&lt;Valeur name="solde"&gt;10191.66&lt;/Valeur&gt;&lt;Valeur name="ventiler"&gt;0&lt;/Valeur&gt;&lt;Valeur name="compta"&gt;1&lt;/Valeur&gt;&lt;Valeur name="valeur"&gt;50.1&lt;/Valeur&gt;&lt;/Insert&gt;</v>
      </c>
    </row>
    <row r="122" spans="1:40" x14ac:dyDescent="0.25">
      <c r="A122" t="s">
        <v>100</v>
      </c>
      <c r="B122">
        <v>108</v>
      </c>
      <c r="C122" s="1">
        <v>43535</v>
      </c>
      <c r="D122">
        <v>1</v>
      </c>
      <c r="E122" t="str">
        <f>IF(F122&lt;&gt;"",INDEX(Balance!A:A,MATCH(F122,Balance!B:B,0)),"")</f>
        <v>Depense</v>
      </c>
      <c r="F122" t="s">
        <v>257</v>
      </c>
      <c r="G122" t="s">
        <v>101</v>
      </c>
      <c r="I122" s="10">
        <v>1.6</v>
      </c>
      <c r="K122" s="11">
        <f t="shared" si="46"/>
        <v>0.26666666666666661</v>
      </c>
      <c r="L122" s="10">
        <f t="shared" ref="L122:L155" si="47">L121-I122+J122</f>
        <v>10190.06</v>
      </c>
      <c r="N122">
        <v>108</v>
      </c>
      <c r="O122">
        <v>1</v>
      </c>
      <c r="P122">
        <v>1</v>
      </c>
      <c r="Q122" t="str">
        <f t="shared" si="26"/>
        <v>300760283626261100200EUR201903112330963000</v>
      </c>
      <c r="R122" s="16" t="s">
        <v>898</v>
      </c>
      <c r="S122" t="str">
        <f t="shared" si="27"/>
        <v>FRAIS VIR SEPA PERMANENT</v>
      </c>
      <c r="U122">
        <f>IFERROR(VLOOKUP(F122,tab!A:B,2,FALSE),1)</f>
        <v>18</v>
      </c>
      <c r="V122" s="14">
        <f t="shared" si="28"/>
        <v>10190.06</v>
      </c>
      <c r="W122">
        <f t="shared" si="29"/>
        <v>0</v>
      </c>
      <c r="X122">
        <f t="shared" si="30"/>
        <v>1</v>
      </c>
      <c r="Y122" s="14">
        <f t="shared" si="31"/>
        <v>1.6</v>
      </c>
      <c r="AA122" t="str">
        <f t="shared" si="32"/>
        <v>&lt;Valeur name="no"&gt;108&lt;/Valeur&gt;</v>
      </c>
      <c r="AB122" t="str">
        <f t="shared" si="32"/>
        <v>&lt;Valeur name="banque"&gt;1&lt;/Valeur&gt;</v>
      </c>
      <c r="AC122" t="str">
        <f t="shared" si="34"/>
        <v>&lt;Valeur name="pointer"&gt;1&lt;/Valeur&gt;</v>
      </c>
      <c r="AD122" t="str">
        <f t="shared" si="35"/>
        <v>&lt;Valeur name="idbanque"&gt;300760283626261100200EUR201903112330963000&lt;/Valeur&gt;</v>
      </c>
      <c r="AE122" t="str">
        <f t="shared" si="36"/>
        <v>&lt;Valeur name="datevaleur"&gt;2019/03/11&lt;/Valeur&gt;</v>
      </c>
      <c r="AF122" t="str">
        <f t="shared" si="37"/>
        <v>&lt;Valeur name="intitule"&gt;FRAIS VIR SEPA PERMANENT&lt;/Valeur&gt;</v>
      </c>
      <c r="AG122" t="str">
        <f t="shared" si="38"/>
        <v>&lt;Valeur name="description"&gt;&lt;/Valeur&gt;</v>
      </c>
      <c r="AH122" t="str">
        <f t="shared" si="39"/>
        <v>&lt;Valeur name="compte"&gt;18&lt;/Valeur&gt;</v>
      </c>
      <c r="AI122" t="str">
        <f t="shared" si="40"/>
        <v>&lt;Valeur name="solde"&gt;10190.06&lt;/Valeur&gt;</v>
      </c>
      <c r="AJ122" t="str">
        <f t="shared" si="41"/>
        <v>&lt;Valeur name="ventiler"&gt;0&lt;/Valeur&gt;</v>
      </c>
      <c r="AK122" t="str">
        <f t="shared" si="42"/>
        <v>&lt;Valeur name="compta"&gt;1&lt;/Valeur&gt;</v>
      </c>
      <c r="AL122" t="str">
        <f t="shared" si="43"/>
        <v>&lt;Valeur name="valeur"&gt;1.6&lt;/Valeur&gt;</v>
      </c>
      <c r="AN122" t="str">
        <f t="shared" si="33"/>
        <v>&lt;Insert&gt;&lt;Valeur name="no"&gt;108&lt;/Valeur&gt;&lt;Valeur name="banque"&gt;1&lt;/Valeur&gt;&lt;Valeur name="pointer"&gt;1&lt;/Valeur&gt;&lt;Valeur name="idbanque"&gt;300760283626261100200EUR201903112330963000&lt;/Valeur&gt;&lt;Valeur name="datevaleur"&gt;2019/03/11&lt;/Valeur&gt;&lt;Valeur name="intitule"&gt;FRAIS VIR SEPA PERMANENT&lt;/Valeur&gt;&lt;Valeur name="description"&gt;&lt;/Valeur&gt;&lt;Valeur name="compte"&gt;18&lt;/Valeur&gt;&lt;Valeur name="solde"&gt;10190.06&lt;/Valeur&gt;&lt;Valeur name="ventiler"&gt;0&lt;/Valeur&gt;&lt;Valeur name="compta"&gt;1&lt;/Valeur&gt;&lt;Valeur name="valeur"&gt;1.6&lt;/Valeur&gt;&lt;/Insert&gt;</v>
      </c>
    </row>
    <row r="123" spans="1:40" x14ac:dyDescent="0.25">
      <c r="A123" t="s">
        <v>112</v>
      </c>
      <c r="B123">
        <v>109</v>
      </c>
      <c r="C123" s="1">
        <v>43535</v>
      </c>
      <c r="D123">
        <v>1</v>
      </c>
      <c r="E123" t="str">
        <f>IF(F123&lt;&gt;"",INDEX(Balance!A:A,MATCH(F123,Balance!B:B,0)),"")</f>
        <v>Depense</v>
      </c>
      <c r="F123" t="s">
        <v>255</v>
      </c>
      <c r="G123" t="s">
        <v>113</v>
      </c>
      <c r="I123" s="10">
        <v>1300</v>
      </c>
      <c r="K123" s="11">
        <f t="shared" si="46"/>
        <v>216.66666666666652</v>
      </c>
      <c r="L123" s="10">
        <f t="shared" si="47"/>
        <v>8890.06</v>
      </c>
      <c r="N123">
        <v>109</v>
      </c>
      <c r="O123">
        <v>1</v>
      </c>
      <c r="P123">
        <v>1</v>
      </c>
      <c r="Q123" t="str">
        <f t="shared" si="26"/>
        <v>300760283626261100200EUR201903112332920200</v>
      </c>
      <c r="R123" s="16" t="s">
        <v>898</v>
      </c>
      <c r="S123" t="str">
        <f t="shared" si="27"/>
        <v>VIR SEPA SCI LT DECO</v>
      </c>
      <c r="U123">
        <f>IFERROR(VLOOKUP(F123,tab!A:B,2,FALSE),1)</f>
        <v>20</v>
      </c>
      <c r="V123" s="14">
        <f t="shared" si="28"/>
        <v>8890.06</v>
      </c>
      <c r="W123">
        <f t="shared" si="29"/>
        <v>0</v>
      </c>
      <c r="X123">
        <f t="shared" si="30"/>
        <v>1</v>
      </c>
      <c r="Y123" s="14">
        <f t="shared" si="31"/>
        <v>1300</v>
      </c>
      <c r="AA123" t="str">
        <f t="shared" si="32"/>
        <v>&lt;Valeur name="no"&gt;109&lt;/Valeur&gt;</v>
      </c>
      <c r="AB123" t="str">
        <f t="shared" si="32"/>
        <v>&lt;Valeur name="banque"&gt;1&lt;/Valeur&gt;</v>
      </c>
      <c r="AC123" t="str">
        <f t="shared" si="34"/>
        <v>&lt;Valeur name="pointer"&gt;1&lt;/Valeur&gt;</v>
      </c>
      <c r="AD123" t="str">
        <f t="shared" si="35"/>
        <v>&lt;Valeur name="idbanque"&gt;300760283626261100200EUR201903112332920200&lt;/Valeur&gt;</v>
      </c>
      <c r="AE123" t="str">
        <f t="shared" si="36"/>
        <v>&lt;Valeur name="datevaleur"&gt;2019/03/11&lt;/Valeur&gt;</v>
      </c>
      <c r="AF123" t="str">
        <f t="shared" si="37"/>
        <v>&lt;Valeur name="intitule"&gt;VIR SEPA SCI LT DECO&lt;/Valeur&gt;</v>
      </c>
      <c r="AG123" t="str">
        <f t="shared" si="38"/>
        <v>&lt;Valeur name="description"&gt;&lt;/Valeur&gt;</v>
      </c>
      <c r="AH123" t="str">
        <f t="shared" si="39"/>
        <v>&lt;Valeur name="compte"&gt;20&lt;/Valeur&gt;</v>
      </c>
      <c r="AI123" t="str">
        <f t="shared" si="40"/>
        <v>&lt;Valeur name="solde"&gt;8890.06&lt;/Valeur&gt;</v>
      </c>
      <c r="AJ123" t="str">
        <f t="shared" si="41"/>
        <v>&lt;Valeur name="ventiler"&gt;0&lt;/Valeur&gt;</v>
      </c>
      <c r="AK123" t="str">
        <f t="shared" si="42"/>
        <v>&lt;Valeur name="compta"&gt;1&lt;/Valeur&gt;</v>
      </c>
      <c r="AL123" t="str">
        <f t="shared" si="43"/>
        <v>&lt;Valeur name="valeur"&gt;1300&lt;/Valeur&gt;</v>
      </c>
      <c r="AN123" t="str">
        <f t="shared" si="33"/>
        <v>&lt;Insert&gt;&lt;Valeur name="no"&gt;109&lt;/Valeur&gt;&lt;Valeur name="banque"&gt;1&lt;/Valeur&gt;&lt;Valeur name="pointer"&gt;1&lt;/Valeur&gt;&lt;Valeur name="idbanque"&gt;300760283626261100200EUR201903112332920200&lt;/Valeur&gt;&lt;Valeur name="datevaleur"&gt;2019/03/11&lt;/Valeur&gt;&lt;Valeur name="intitule"&gt;VIR SEPA SCI LT DECO&lt;/Valeur&gt;&lt;Valeur name="description"&gt;&lt;/Valeur&gt;&lt;Valeur name="compte"&gt;20&lt;/Valeur&gt;&lt;Valeur name="solde"&gt;8890.06&lt;/Valeur&gt;&lt;Valeur name="ventiler"&gt;0&lt;/Valeur&gt;&lt;Valeur name="compta"&gt;1&lt;/Valeur&gt;&lt;Valeur name="valeur"&gt;1300&lt;/Valeur&gt;&lt;/Insert&gt;</v>
      </c>
    </row>
    <row r="124" spans="1:40" x14ac:dyDescent="0.25">
      <c r="A124" t="s">
        <v>110</v>
      </c>
      <c r="B124">
        <v>110</v>
      </c>
      <c r="C124" s="1">
        <v>43535</v>
      </c>
      <c r="E124" t="str">
        <f>IF(F124&lt;&gt;"",INDEX(Balance!A:A,MATCH(F124,Balance!B:B,0)),"")</f>
        <v>Fournisseurs</v>
      </c>
      <c r="F124" t="s">
        <v>434</v>
      </c>
      <c r="G124" t="s">
        <v>111</v>
      </c>
      <c r="H124" t="s">
        <v>435</v>
      </c>
      <c r="I124" s="10">
        <v>6910</v>
      </c>
      <c r="K124" s="11">
        <f t="shared" si="46"/>
        <v>1151.6666666666661</v>
      </c>
      <c r="L124" s="10">
        <f t="shared" si="47"/>
        <v>1980.0599999999995</v>
      </c>
      <c r="N124">
        <v>110</v>
      </c>
      <c r="O124">
        <v>1</v>
      </c>
      <c r="P124">
        <v>1</v>
      </c>
      <c r="Q124" t="str">
        <f t="shared" si="26"/>
        <v>300760283626261100200EUR201903113361810200</v>
      </c>
      <c r="R124" s="16" t="s">
        <v>898</v>
      </c>
      <c r="S124" t="str">
        <f t="shared" si="27"/>
        <v>CHEQUE  N 1000065 / Rbst Acompte Cloture Arras</v>
      </c>
      <c r="U124">
        <f>IFERROR(VLOOKUP(F124,tab!A:B,2,FALSE),1)</f>
        <v>89</v>
      </c>
      <c r="V124" s="14">
        <f t="shared" si="28"/>
        <v>1980.0599999999995</v>
      </c>
      <c r="W124">
        <f t="shared" si="29"/>
        <v>0</v>
      </c>
      <c r="X124" t="str">
        <f t="shared" si="30"/>
        <v/>
      </c>
      <c r="Y124" s="14">
        <f t="shared" si="31"/>
        <v>6910</v>
      </c>
      <c r="AA124" t="str">
        <f t="shared" si="32"/>
        <v>&lt;Valeur name="no"&gt;110&lt;/Valeur&gt;</v>
      </c>
      <c r="AB124" t="str">
        <f t="shared" si="32"/>
        <v>&lt;Valeur name="banque"&gt;1&lt;/Valeur&gt;</v>
      </c>
      <c r="AC124" t="str">
        <f t="shared" si="34"/>
        <v>&lt;Valeur name="pointer"&gt;1&lt;/Valeur&gt;</v>
      </c>
      <c r="AD124" t="str">
        <f t="shared" si="35"/>
        <v>&lt;Valeur name="idbanque"&gt;300760283626261100200EUR201903113361810200&lt;/Valeur&gt;</v>
      </c>
      <c r="AE124" t="str">
        <f t="shared" si="36"/>
        <v>&lt;Valeur name="datevaleur"&gt;2019/03/11&lt;/Valeur&gt;</v>
      </c>
      <c r="AF124" t="str">
        <f t="shared" si="37"/>
        <v>&lt;Valeur name="intitule"&gt;CHEQUE  N 1000065 / Rbst Acompte Cloture Arras&lt;/Valeur&gt;</v>
      </c>
      <c r="AG124" t="str">
        <f t="shared" si="38"/>
        <v>&lt;Valeur name="description"&gt;&lt;/Valeur&gt;</v>
      </c>
      <c r="AH124" t="str">
        <f t="shared" si="39"/>
        <v>&lt;Valeur name="compte"&gt;89&lt;/Valeur&gt;</v>
      </c>
      <c r="AI124" t="str">
        <f t="shared" si="40"/>
        <v>&lt;Valeur name="solde"&gt;1980.06&lt;/Valeur&gt;</v>
      </c>
      <c r="AJ124" t="str">
        <f t="shared" si="41"/>
        <v>&lt;Valeur name="ventiler"&gt;0&lt;/Valeur&gt;</v>
      </c>
      <c r="AK124" t="str">
        <f t="shared" si="42"/>
        <v>&lt;Valeur name="compta"&gt;&lt;/Valeur&gt;</v>
      </c>
      <c r="AL124" t="str">
        <f t="shared" si="43"/>
        <v>&lt;Valeur name="valeur"&gt;6910&lt;/Valeur&gt;</v>
      </c>
      <c r="AN124" t="str">
        <f t="shared" si="33"/>
        <v>&lt;Insert&gt;&lt;Valeur name="no"&gt;110&lt;/Valeur&gt;&lt;Valeur name="banque"&gt;1&lt;/Valeur&gt;&lt;Valeur name="pointer"&gt;1&lt;/Valeur&gt;&lt;Valeur name="idbanque"&gt;300760283626261100200EUR201903113361810200&lt;/Valeur&gt;&lt;Valeur name="datevaleur"&gt;2019/03/11&lt;/Valeur&gt;&lt;Valeur name="intitule"&gt;CHEQUE  N 1000065 / Rbst Acompte Cloture Arras&lt;/Valeur&gt;&lt;Valeur name="description"&gt;&lt;/Valeur&gt;&lt;Valeur name="compte"&gt;89&lt;/Valeur&gt;&lt;Valeur name="solde"&gt;1980.06&lt;/Valeur&gt;&lt;Valeur name="ventiler"&gt;0&lt;/Valeur&gt;&lt;Valeur name="compta"&gt;&lt;/Valeur&gt;&lt;Valeur name="valeur"&gt;6910&lt;/Valeur&gt;&lt;/Insert&gt;</v>
      </c>
    </row>
    <row r="125" spans="1:40" x14ac:dyDescent="0.25">
      <c r="A125" t="s">
        <v>106</v>
      </c>
      <c r="B125">
        <v>111</v>
      </c>
      <c r="C125" s="1">
        <v>43535</v>
      </c>
      <c r="D125">
        <v>1</v>
      </c>
      <c r="E125" t="str">
        <f>IF(F125&lt;&gt;"",INDEX(Balance!A:A,MATCH(F125,Balance!B:B,0)),"")</f>
        <v>Depense</v>
      </c>
      <c r="F125" t="s">
        <v>380</v>
      </c>
      <c r="G125" t="s">
        <v>107</v>
      </c>
      <c r="I125" s="10">
        <v>380</v>
      </c>
      <c r="K125" s="11">
        <f t="shared" si="46"/>
        <v>63.333333333333314</v>
      </c>
      <c r="L125" s="10">
        <f t="shared" si="47"/>
        <v>1600.0599999999995</v>
      </c>
      <c r="N125">
        <v>111</v>
      </c>
      <c r="O125">
        <v>1</v>
      </c>
      <c r="P125">
        <v>1</v>
      </c>
      <c r="Q125" t="str">
        <f t="shared" si="26"/>
        <v>300760283626261100200EUR201903115812177300</v>
      </c>
      <c r="R125" s="16" t="s">
        <v>898</v>
      </c>
      <c r="S125" t="str">
        <f t="shared" si="27"/>
        <v>02836 262611 0138 00FIN DE PRET:</v>
      </c>
      <c r="U125">
        <f>IFERROR(VLOOKUP(F125,tab!A:B,2,FALSE),1)</f>
        <v>24</v>
      </c>
      <c r="V125" s="14">
        <f t="shared" si="28"/>
        <v>1600.0599999999995</v>
      </c>
      <c r="W125">
        <f t="shared" si="29"/>
        <v>0</v>
      </c>
      <c r="X125">
        <f t="shared" si="30"/>
        <v>1</v>
      </c>
      <c r="Y125" s="14">
        <f t="shared" si="31"/>
        <v>380</v>
      </c>
      <c r="AA125" t="str">
        <f t="shared" si="32"/>
        <v>&lt;Valeur name="no"&gt;111&lt;/Valeur&gt;</v>
      </c>
      <c r="AB125" t="str">
        <f t="shared" si="32"/>
        <v>&lt;Valeur name="banque"&gt;1&lt;/Valeur&gt;</v>
      </c>
      <c r="AC125" t="str">
        <f t="shared" si="34"/>
        <v>&lt;Valeur name="pointer"&gt;1&lt;/Valeur&gt;</v>
      </c>
      <c r="AD125" t="str">
        <f t="shared" si="35"/>
        <v>&lt;Valeur name="idbanque"&gt;300760283626261100200EUR201903115812177300&lt;/Valeur&gt;</v>
      </c>
      <c r="AE125" t="str">
        <f t="shared" si="36"/>
        <v>&lt;Valeur name="datevaleur"&gt;2019/03/11&lt;/Valeur&gt;</v>
      </c>
      <c r="AF125" t="str">
        <f t="shared" si="37"/>
        <v>&lt;Valeur name="intitule"&gt;02836 262611 0138 00FIN DE PRET:&lt;/Valeur&gt;</v>
      </c>
      <c r="AG125" t="str">
        <f t="shared" si="38"/>
        <v>&lt;Valeur name="description"&gt;&lt;/Valeur&gt;</v>
      </c>
      <c r="AH125" t="str">
        <f t="shared" si="39"/>
        <v>&lt;Valeur name="compte"&gt;24&lt;/Valeur&gt;</v>
      </c>
      <c r="AI125" t="str">
        <f t="shared" si="40"/>
        <v>&lt;Valeur name="solde"&gt;1600.06&lt;/Valeur&gt;</v>
      </c>
      <c r="AJ125" t="str">
        <f t="shared" si="41"/>
        <v>&lt;Valeur name="ventiler"&gt;0&lt;/Valeur&gt;</v>
      </c>
      <c r="AK125" t="str">
        <f t="shared" si="42"/>
        <v>&lt;Valeur name="compta"&gt;1&lt;/Valeur&gt;</v>
      </c>
      <c r="AL125" t="str">
        <f t="shared" si="43"/>
        <v>&lt;Valeur name="valeur"&gt;380&lt;/Valeur&gt;</v>
      </c>
      <c r="AN125" t="str">
        <f t="shared" si="33"/>
        <v>&lt;Insert&gt;&lt;Valeur name="no"&gt;111&lt;/Valeur&gt;&lt;Valeur name="banque"&gt;1&lt;/Valeur&gt;&lt;Valeur name="pointer"&gt;1&lt;/Valeur&gt;&lt;Valeur name="idbanque"&gt;300760283626261100200EUR201903115812177300&lt;/Valeur&gt;&lt;Valeur name="datevaleur"&gt;2019/03/11&lt;/Valeur&gt;&lt;Valeur name="intitule"&gt;02836 262611 0138 00FIN DE PRET:&lt;/Valeur&gt;&lt;Valeur name="description"&gt;&lt;/Valeur&gt;&lt;Valeur name="compte"&gt;24&lt;/Valeur&gt;&lt;Valeur name="solde"&gt;1600.06&lt;/Valeur&gt;&lt;Valeur name="ventiler"&gt;0&lt;/Valeur&gt;&lt;Valeur name="compta"&gt;1&lt;/Valeur&gt;&lt;Valeur name="valeur"&gt;380&lt;/Valeur&gt;&lt;/Insert&gt;</v>
      </c>
    </row>
    <row r="126" spans="1:40" x14ac:dyDescent="0.25">
      <c r="A126" t="s">
        <v>102</v>
      </c>
      <c r="B126">
        <v>112</v>
      </c>
      <c r="C126" s="1">
        <v>43535</v>
      </c>
      <c r="D126">
        <v>1</v>
      </c>
      <c r="E126" t="str">
        <f>IF(F126&lt;&gt;"",INDEX(Balance!A:A,MATCH(F126,Balance!B:B,0)),"")</f>
        <v>Depense</v>
      </c>
      <c r="F126" t="s">
        <v>381</v>
      </c>
      <c r="G126" t="s">
        <v>103</v>
      </c>
      <c r="I126" s="10">
        <v>237.15</v>
      </c>
      <c r="K126" s="11">
        <f t="shared" si="46"/>
        <v>39.525000000000006</v>
      </c>
      <c r="L126" s="10">
        <f t="shared" si="47"/>
        <v>1362.9099999999994</v>
      </c>
      <c r="N126">
        <v>112</v>
      </c>
      <c r="O126">
        <v>1</v>
      </c>
      <c r="P126">
        <v>1</v>
      </c>
      <c r="Q126" t="str">
        <f t="shared" si="26"/>
        <v>300760283626261100200EUR201903115812177500</v>
      </c>
      <c r="R126" s="16" t="s">
        <v>898</v>
      </c>
      <c r="S126" t="str">
        <f t="shared" si="27"/>
        <v>02836 262611 0138 01FIN DE PRET:</v>
      </c>
      <c r="U126">
        <f>IFERROR(VLOOKUP(F126,tab!A:B,2,FALSE),1)</f>
        <v>22</v>
      </c>
      <c r="V126" s="14">
        <f t="shared" si="28"/>
        <v>1362.9099999999994</v>
      </c>
      <c r="W126">
        <f t="shared" si="29"/>
        <v>0</v>
      </c>
      <c r="X126">
        <f t="shared" si="30"/>
        <v>1</v>
      </c>
      <c r="Y126" s="14">
        <f t="shared" si="31"/>
        <v>237.15</v>
      </c>
      <c r="AA126" t="str">
        <f t="shared" si="32"/>
        <v>&lt;Valeur name="no"&gt;112&lt;/Valeur&gt;</v>
      </c>
      <c r="AB126" t="str">
        <f t="shared" si="32"/>
        <v>&lt;Valeur name="banque"&gt;1&lt;/Valeur&gt;</v>
      </c>
      <c r="AC126" t="str">
        <f t="shared" si="34"/>
        <v>&lt;Valeur name="pointer"&gt;1&lt;/Valeur&gt;</v>
      </c>
      <c r="AD126" t="str">
        <f t="shared" si="35"/>
        <v>&lt;Valeur name="idbanque"&gt;300760283626261100200EUR201903115812177500&lt;/Valeur&gt;</v>
      </c>
      <c r="AE126" t="str">
        <f t="shared" si="36"/>
        <v>&lt;Valeur name="datevaleur"&gt;2019/03/11&lt;/Valeur&gt;</v>
      </c>
      <c r="AF126" t="str">
        <f t="shared" si="37"/>
        <v>&lt;Valeur name="intitule"&gt;02836 262611 0138 01FIN DE PRET:&lt;/Valeur&gt;</v>
      </c>
      <c r="AG126" t="str">
        <f t="shared" si="38"/>
        <v>&lt;Valeur name="description"&gt;&lt;/Valeur&gt;</v>
      </c>
      <c r="AH126" t="str">
        <f t="shared" si="39"/>
        <v>&lt;Valeur name="compte"&gt;22&lt;/Valeur&gt;</v>
      </c>
      <c r="AI126" t="str">
        <f t="shared" si="40"/>
        <v>&lt;Valeur name="solde"&gt;1362.91&lt;/Valeur&gt;</v>
      </c>
      <c r="AJ126" t="str">
        <f t="shared" si="41"/>
        <v>&lt;Valeur name="ventiler"&gt;0&lt;/Valeur&gt;</v>
      </c>
      <c r="AK126" t="str">
        <f t="shared" si="42"/>
        <v>&lt;Valeur name="compta"&gt;1&lt;/Valeur&gt;</v>
      </c>
      <c r="AL126" t="str">
        <f t="shared" si="43"/>
        <v>&lt;Valeur name="valeur"&gt;237.15&lt;/Valeur&gt;</v>
      </c>
      <c r="AN126" t="str">
        <f t="shared" si="33"/>
        <v>&lt;Insert&gt;&lt;Valeur name="no"&gt;112&lt;/Valeur&gt;&lt;Valeur name="banque"&gt;1&lt;/Valeur&gt;&lt;Valeur name="pointer"&gt;1&lt;/Valeur&gt;&lt;Valeur name="idbanque"&gt;300760283626261100200EUR201903115812177500&lt;/Valeur&gt;&lt;Valeur name="datevaleur"&gt;2019/03/11&lt;/Valeur&gt;&lt;Valeur name="intitule"&gt;02836 262611 0138 01FIN DE PRET:&lt;/Valeur&gt;&lt;Valeur name="description"&gt;&lt;/Valeur&gt;&lt;Valeur name="compte"&gt;22&lt;/Valeur&gt;&lt;Valeur name="solde"&gt;1362.91&lt;/Valeur&gt;&lt;Valeur name="ventiler"&gt;0&lt;/Valeur&gt;&lt;Valeur name="compta"&gt;1&lt;/Valeur&gt;&lt;Valeur name="valeur"&gt;237.15&lt;/Valeur&gt;&lt;/Insert&gt;</v>
      </c>
    </row>
    <row r="127" spans="1:40" x14ac:dyDescent="0.25">
      <c r="A127" t="s">
        <v>104</v>
      </c>
      <c r="B127">
        <v>113</v>
      </c>
      <c r="C127" s="1">
        <v>43535</v>
      </c>
      <c r="D127">
        <v>1</v>
      </c>
      <c r="E127" t="str">
        <f>IF(F127&lt;&gt;"",INDEX(Balance!A:A,MATCH(F127,Balance!B:B,0)),"")</f>
        <v>Depense</v>
      </c>
      <c r="F127" t="s">
        <v>382</v>
      </c>
      <c r="G127" t="s">
        <v>105</v>
      </c>
      <c r="I127" s="10">
        <v>260</v>
      </c>
      <c r="K127" s="11">
        <f t="shared" si="46"/>
        <v>43.333333333333314</v>
      </c>
      <c r="L127" s="10">
        <f t="shared" si="47"/>
        <v>1102.9099999999994</v>
      </c>
      <c r="N127">
        <v>113</v>
      </c>
      <c r="O127">
        <v>1</v>
      </c>
      <c r="P127">
        <v>1</v>
      </c>
      <c r="Q127" t="str">
        <f t="shared" si="26"/>
        <v>300760283626261100200EUR201903115812939000</v>
      </c>
      <c r="R127" s="16" t="s">
        <v>898</v>
      </c>
      <c r="S127" t="str">
        <f t="shared" si="27"/>
        <v>02836 262611 0104 00  6 068,29 E</v>
      </c>
      <c r="U127">
        <f>IFERROR(VLOOKUP(F127,tab!A:B,2,FALSE),1)</f>
        <v>23</v>
      </c>
      <c r="V127" s="14">
        <f t="shared" si="28"/>
        <v>1102.9099999999994</v>
      </c>
      <c r="W127">
        <f t="shared" si="29"/>
        <v>0</v>
      </c>
      <c r="X127">
        <f t="shared" si="30"/>
        <v>1</v>
      </c>
      <c r="Y127" s="14">
        <f t="shared" si="31"/>
        <v>260</v>
      </c>
      <c r="AA127" t="str">
        <f t="shared" si="32"/>
        <v>&lt;Valeur name="no"&gt;113&lt;/Valeur&gt;</v>
      </c>
      <c r="AB127" t="str">
        <f t="shared" si="32"/>
        <v>&lt;Valeur name="banque"&gt;1&lt;/Valeur&gt;</v>
      </c>
      <c r="AC127" t="str">
        <f t="shared" si="34"/>
        <v>&lt;Valeur name="pointer"&gt;1&lt;/Valeur&gt;</v>
      </c>
      <c r="AD127" t="str">
        <f t="shared" si="35"/>
        <v>&lt;Valeur name="idbanque"&gt;300760283626261100200EUR201903115812939000&lt;/Valeur&gt;</v>
      </c>
      <c r="AE127" t="str">
        <f t="shared" si="36"/>
        <v>&lt;Valeur name="datevaleur"&gt;2019/03/11&lt;/Valeur&gt;</v>
      </c>
      <c r="AF127" t="str">
        <f t="shared" si="37"/>
        <v>&lt;Valeur name="intitule"&gt;02836 262611 0104 00  6 068,29 E&lt;/Valeur&gt;</v>
      </c>
      <c r="AG127" t="str">
        <f t="shared" si="38"/>
        <v>&lt;Valeur name="description"&gt;&lt;/Valeur&gt;</v>
      </c>
      <c r="AH127" t="str">
        <f t="shared" si="39"/>
        <v>&lt;Valeur name="compte"&gt;23&lt;/Valeur&gt;</v>
      </c>
      <c r="AI127" t="str">
        <f t="shared" si="40"/>
        <v>&lt;Valeur name="solde"&gt;1102.91&lt;/Valeur&gt;</v>
      </c>
      <c r="AJ127" t="str">
        <f t="shared" si="41"/>
        <v>&lt;Valeur name="ventiler"&gt;0&lt;/Valeur&gt;</v>
      </c>
      <c r="AK127" t="str">
        <f t="shared" si="42"/>
        <v>&lt;Valeur name="compta"&gt;1&lt;/Valeur&gt;</v>
      </c>
      <c r="AL127" t="str">
        <f t="shared" si="43"/>
        <v>&lt;Valeur name="valeur"&gt;260&lt;/Valeur&gt;</v>
      </c>
      <c r="AN127" t="str">
        <f t="shared" si="33"/>
        <v>&lt;Insert&gt;&lt;Valeur name="no"&gt;113&lt;/Valeur&gt;&lt;Valeur name="banque"&gt;1&lt;/Valeur&gt;&lt;Valeur name="pointer"&gt;1&lt;/Valeur&gt;&lt;Valeur name="idbanque"&gt;300760283626261100200EUR201903115812939000&lt;/Valeur&gt;&lt;Valeur name="datevaleur"&gt;2019/03/11&lt;/Valeur&gt;&lt;Valeur name="intitule"&gt;02836 262611 0104 00  6 068,29 E&lt;/Valeur&gt;&lt;Valeur name="description"&gt;&lt;/Valeur&gt;&lt;Valeur name="compte"&gt;23&lt;/Valeur&gt;&lt;Valeur name="solde"&gt;1102.91&lt;/Valeur&gt;&lt;Valeur name="ventiler"&gt;0&lt;/Valeur&gt;&lt;Valeur name="compta"&gt;1&lt;/Valeur&gt;&lt;Valeur name="valeur"&gt;260&lt;/Valeur&gt;&lt;/Insert&gt;</v>
      </c>
    </row>
    <row r="128" spans="1:40" x14ac:dyDescent="0.25">
      <c r="A128" t="s">
        <v>80</v>
      </c>
      <c r="B128">
        <v>114</v>
      </c>
      <c r="C128" s="1">
        <v>43536</v>
      </c>
      <c r="E128" t="str">
        <f>IF(F128&lt;&gt;"",INDEX(Balance!A:A,MATCH(F128,Balance!B:B,0)),"")</f>
        <v>Fournisseurs</v>
      </c>
      <c r="F128" t="s">
        <v>374</v>
      </c>
      <c r="G128" t="s">
        <v>81</v>
      </c>
      <c r="I128" s="10">
        <v>78.16</v>
      </c>
      <c r="K128" s="11">
        <f t="shared" si="46"/>
        <v>13.026666666666657</v>
      </c>
      <c r="L128" s="10">
        <f t="shared" si="47"/>
        <v>1024.7499999999993</v>
      </c>
      <c r="N128">
        <v>114</v>
      </c>
      <c r="O128">
        <v>1</v>
      </c>
      <c r="P128">
        <v>1</v>
      </c>
      <c r="Q128" t="str">
        <f t="shared" si="26"/>
        <v>300760283626261100200EUR201903120292948700</v>
      </c>
      <c r="R128" s="16" t="s">
        <v>901</v>
      </c>
      <c r="S128" t="str">
        <f t="shared" si="27"/>
        <v>E-VIR SEPA Atelier du Verre</v>
      </c>
      <c r="U128">
        <f>IFERROR(VLOOKUP(F128,tab!A:B,2,FALSE),1)</f>
        <v>34</v>
      </c>
      <c r="V128" s="14">
        <f t="shared" si="28"/>
        <v>1024.7499999999993</v>
      </c>
      <c r="W128">
        <f t="shared" si="29"/>
        <v>0</v>
      </c>
      <c r="X128" t="str">
        <f t="shared" si="30"/>
        <v/>
      </c>
      <c r="Y128" s="14">
        <f t="shared" si="31"/>
        <v>78.16</v>
      </c>
      <c r="AA128" t="str">
        <f t="shared" si="32"/>
        <v>&lt;Valeur name="no"&gt;114&lt;/Valeur&gt;</v>
      </c>
      <c r="AB128" t="str">
        <f t="shared" si="32"/>
        <v>&lt;Valeur name="banque"&gt;1&lt;/Valeur&gt;</v>
      </c>
      <c r="AC128" t="str">
        <f t="shared" si="34"/>
        <v>&lt;Valeur name="pointer"&gt;1&lt;/Valeur&gt;</v>
      </c>
      <c r="AD128" t="str">
        <f t="shared" si="35"/>
        <v>&lt;Valeur name="idbanque"&gt;300760283626261100200EUR201903120292948700&lt;/Valeur&gt;</v>
      </c>
      <c r="AE128" t="str">
        <f t="shared" si="36"/>
        <v>&lt;Valeur name="datevaleur"&gt;2019/03/12&lt;/Valeur&gt;</v>
      </c>
      <c r="AF128" t="str">
        <f t="shared" si="37"/>
        <v>&lt;Valeur name="intitule"&gt;E-VIR SEPA Atelier du Verre&lt;/Valeur&gt;</v>
      </c>
      <c r="AG128" t="str">
        <f t="shared" si="38"/>
        <v>&lt;Valeur name="description"&gt;&lt;/Valeur&gt;</v>
      </c>
      <c r="AH128" t="str">
        <f t="shared" si="39"/>
        <v>&lt;Valeur name="compte"&gt;34&lt;/Valeur&gt;</v>
      </c>
      <c r="AI128" t="str">
        <f t="shared" si="40"/>
        <v>&lt;Valeur name="solde"&gt;1024.75&lt;/Valeur&gt;</v>
      </c>
      <c r="AJ128" t="str">
        <f t="shared" si="41"/>
        <v>&lt;Valeur name="ventiler"&gt;0&lt;/Valeur&gt;</v>
      </c>
      <c r="AK128" t="str">
        <f t="shared" si="42"/>
        <v>&lt;Valeur name="compta"&gt;&lt;/Valeur&gt;</v>
      </c>
      <c r="AL128" t="str">
        <f t="shared" si="43"/>
        <v>&lt;Valeur name="valeur"&gt;78.16&lt;/Valeur&gt;</v>
      </c>
      <c r="AN128" t="str">
        <f t="shared" si="33"/>
        <v>&lt;Insert&gt;&lt;Valeur name="no"&gt;114&lt;/Valeur&gt;&lt;Valeur name="banque"&gt;1&lt;/Valeur&gt;&lt;Valeur name="pointer"&gt;1&lt;/Valeur&gt;&lt;Valeur name="idbanque"&gt;300760283626261100200EUR201903120292948700&lt;/Valeur&gt;&lt;Valeur name="datevaleur"&gt;2019/03/12&lt;/Valeur&gt;&lt;Valeur name="intitule"&gt;E-VIR SEPA Atelier du Verre&lt;/Valeur&gt;&lt;Valeur name="description"&gt;&lt;/Valeur&gt;&lt;Valeur name="compte"&gt;34&lt;/Valeur&gt;&lt;Valeur name="solde"&gt;1024.75&lt;/Valeur&gt;&lt;Valeur name="ventiler"&gt;0&lt;/Valeur&gt;&lt;Valeur name="compta"&gt;&lt;/Valeur&gt;&lt;Valeur name="valeur"&gt;78.16&lt;/Valeur&gt;&lt;/Insert&gt;</v>
      </c>
    </row>
    <row r="129" spans="1:40" x14ac:dyDescent="0.25">
      <c r="A129" t="s">
        <v>78</v>
      </c>
      <c r="B129">
        <v>115</v>
      </c>
      <c r="C129" s="1">
        <v>43536</v>
      </c>
      <c r="E129" t="str">
        <f>IF(F129&lt;&gt;"",INDEX(Balance!A:A,MATCH(F129,Balance!B:B,0)),"")</f>
        <v>Fournisseurs</v>
      </c>
      <c r="F129" t="s">
        <v>291</v>
      </c>
      <c r="G129" t="s">
        <v>79</v>
      </c>
      <c r="I129" s="10">
        <v>55.2</v>
      </c>
      <c r="K129" s="11">
        <f t="shared" si="46"/>
        <v>9.1999999999999957</v>
      </c>
      <c r="L129" s="10">
        <f t="shared" si="47"/>
        <v>969.54999999999927</v>
      </c>
      <c r="N129">
        <v>115</v>
      </c>
      <c r="O129">
        <v>1</v>
      </c>
      <c r="P129">
        <v>1</v>
      </c>
      <c r="Q129" t="str">
        <f t="shared" si="26"/>
        <v>300760283626261100200EUR201903120292948800</v>
      </c>
      <c r="R129" s="16" t="s">
        <v>901</v>
      </c>
      <c r="S129" t="str">
        <f t="shared" si="27"/>
        <v>E-VIR SEPA Hoorneart</v>
      </c>
      <c r="U129">
        <f>IFERROR(VLOOKUP(F129,tab!A:B,2,FALSE),1)</f>
        <v>71</v>
      </c>
      <c r="V129" s="14">
        <f t="shared" si="28"/>
        <v>969.54999999999927</v>
      </c>
      <c r="W129">
        <f t="shared" si="29"/>
        <v>0</v>
      </c>
      <c r="X129" t="str">
        <f t="shared" si="30"/>
        <v/>
      </c>
      <c r="Y129" s="14">
        <f t="shared" si="31"/>
        <v>55.2</v>
      </c>
      <c r="AA129" t="str">
        <f t="shared" si="32"/>
        <v>&lt;Valeur name="no"&gt;115&lt;/Valeur&gt;</v>
      </c>
      <c r="AB129" t="str">
        <f t="shared" si="32"/>
        <v>&lt;Valeur name="banque"&gt;1&lt;/Valeur&gt;</v>
      </c>
      <c r="AC129" t="str">
        <f t="shared" si="34"/>
        <v>&lt;Valeur name="pointer"&gt;1&lt;/Valeur&gt;</v>
      </c>
      <c r="AD129" t="str">
        <f t="shared" si="35"/>
        <v>&lt;Valeur name="idbanque"&gt;300760283626261100200EUR201903120292948800&lt;/Valeur&gt;</v>
      </c>
      <c r="AE129" t="str">
        <f t="shared" si="36"/>
        <v>&lt;Valeur name="datevaleur"&gt;2019/03/12&lt;/Valeur&gt;</v>
      </c>
      <c r="AF129" t="str">
        <f t="shared" si="37"/>
        <v>&lt;Valeur name="intitule"&gt;E-VIR SEPA Hoorneart&lt;/Valeur&gt;</v>
      </c>
      <c r="AG129" t="str">
        <f t="shared" si="38"/>
        <v>&lt;Valeur name="description"&gt;&lt;/Valeur&gt;</v>
      </c>
      <c r="AH129" t="str">
        <f t="shared" si="39"/>
        <v>&lt;Valeur name="compte"&gt;71&lt;/Valeur&gt;</v>
      </c>
      <c r="AI129" t="str">
        <f t="shared" si="40"/>
        <v>&lt;Valeur name="solde"&gt;969.549999999999&lt;/Valeur&gt;</v>
      </c>
      <c r="AJ129" t="str">
        <f t="shared" si="41"/>
        <v>&lt;Valeur name="ventiler"&gt;0&lt;/Valeur&gt;</v>
      </c>
      <c r="AK129" t="str">
        <f t="shared" si="42"/>
        <v>&lt;Valeur name="compta"&gt;&lt;/Valeur&gt;</v>
      </c>
      <c r="AL129" t="str">
        <f t="shared" si="43"/>
        <v>&lt;Valeur name="valeur"&gt;55.2&lt;/Valeur&gt;</v>
      </c>
      <c r="AN129" t="str">
        <f t="shared" si="33"/>
        <v>&lt;Insert&gt;&lt;Valeur name="no"&gt;115&lt;/Valeur&gt;&lt;Valeur name="banque"&gt;1&lt;/Valeur&gt;&lt;Valeur name="pointer"&gt;1&lt;/Valeur&gt;&lt;Valeur name="idbanque"&gt;300760283626261100200EUR201903120292948800&lt;/Valeur&gt;&lt;Valeur name="datevaleur"&gt;2019/03/12&lt;/Valeur&gt;&lt;Valeur name="intitule"&gt;E-VIR SEPA Hoorneart&lt;/Valeur&gt;&lt;Valeur name="description"&gt;&lt;/Valeur&gt;&lt;Valeur name="compte"&gt;71&lt;/Valeur&gt;&lt;Valeur name="solde"&gt;969.549999999999&lt;/Valeur&gt;&lt;Valeur name="ventiler"&gt;0&lt;/Valeur&gt;&lt;Valeur name="compta"&gt;&lt;/Valeur&gt;&lt;Valeur name="valeur"&gt;55.2&lt;/Valeur&gt;&lt;/Insert&gt;</v>
      </c>
    </row>
    <row r="130" spans="1:40" x14ac:dyDescent="0.25">
      <c r="A130" t="s">
        <v>85</v>
      </c>
      <c r="B130">
        <v>116</v>
      </c>
      <c r="C130" s="1">
        <v>43536</v>
      </c>
      <c r="E130" t="str">
        <f>IF(F130&lt;&gt;"",INDEX(Balance!A:A,MATCH(F130,Balance!B:B,0)),"")</f>
        <v>Fournisseurs</v>
      </c>
      <c r="F130" t="s">
        <v>293</v>
      </c>
      <c r="G130" t="s">
        <v>86</v>
      </c>
      <c r="I130" s="10">
        <v>405</v>
      </c>
      <c r="K130" s="11">
        <f t="shared" si="46"/>
        <v>67.5</v>
      </c>
      <c r="L130" s="10">
        <f t="shared" si="47"/>
        <v>564.54999999999927</v>
      </c>
      <c r="N130">
        <v>116</v>
      </c>
      <c r="O130">
        <v>1</v>
      </c>
      <c r="P130">
        <v>1</v>
      </c>
      <c r="Q130" t="str">
        <f t="shared" si="26"/>
        <v>300760283626261100200EUR201903120292948900</v>
      </c>
      <c r="R130" s="16" t="s">
        <v>901</v>
      </c>
      <c r="S130" t="str">
        <f t="shared" si="27"/>
        <v>E-VIR SEPA Unsteel</v>
      </c>
      <c r="U130">
        <f>IFERROR(VLOOKUP(F130,tab!A:B,2,FALSE),1)</f>
        <v>118</v>
      </c>
      <c r="V130" s="14">
        <f t="shared" si="28"/>
        <v>564.54999999999927</v>
      </c>
      <c r="W130">
        <f t="shared" si="29"/>
        <v>0</v>
      </c>
      <c r="X130" t="str">
        <f t="shared" si="30"/>
        <v/>
      </c>
      <c r="Y130" s="14">
        <f t="shared" si="31"/>
        <v>405</v>
      </c>
      <c r="AA130" t="str">
        <f t="shared" si="32"/>
        <v>&lt;Valeur name="no"&gt;116&lt;/Valeur&gt;</v>
      </c>
      <c r="AB130" t="str">
        <f t="shared" si="32"/>
        <v>&lt;Valeur name="banque"&gt;1&lt;/Valeur&gt;</v>
      </c>
      <c r="AC130" t="str">
        <f t="shared" si="34"/>
        <v>&lt;Valeur name="pointer"&gt;1&lt;/Valeur&gt;</v>
      </c>
      <c r="AD130" t="str">
        <f t="shared" si="35"/>
        <v>&lt;Valeur name="idbanque"&gt;300760283626261100200EUR201903120292948900&lt;/Valeur&gt;</v>
      </c>
      <c r="AE130" t="str">
        <f t="shared" si="36"/>
        <v>&lt;Valeur name="datevaleur"&gt;2019/03/12&lt;/Valeur&gt;</v>
      </c>
      <c r="AF130" t="str">
        <f t="shared" si="37"/>
        <v>&lt;Valeur name="intitule"&gt;E-VIR SEPA Unsteel&lt;/Valeur&gt;</v>
      </c>
      <c r="AG130" t="str">
        <f t="shared" si="38"/>
        <v>&lt;Valeur name="description"&gt;&lt;/Valeur&gt;</v>
      </c>
      <c r="AH130" t="str">
        <f t="shared" si="39"/>
        <v>&lt;Valeur name="compte"&gt;118&lt;/Valeur&gt;</v>
      </c>
      <c r="AI130" t="str">
        <f t="shared" si="40"/>
        <v>&lt;Valeur name="solde"&gt;564.549999999999&lt;/Valeur&gt;</v>
      </c>
      <c r="AJ130" t="str">
        <f t="shared" si="41"/>
        <v>&lt;Valeur name="ventiler"&gt;0&lt;/Valeur&gt;</v>
      </c>
      <c r="AK130" t="str">
        <f t="shared" si="42"/>
        <v>&lt;Valeur name="compta"&gt;&lt;/Valeur&gt;</v>
      </c>
      <c r="AL130" t="str">
        <f t="shared" si="43"/>
        <v>&lt;Valeur name="valeur"&gt;405&lt;/Valeur&gt;</v>
      </c>
      <c r="AN130" t="str">
        <f t="shared" si="33"/>
        <v>&lt;Insert&gt;&lt;Valeur name="no"&gt;116&lt;/Valeur&gt;&lt;Valeur name="banque"&gt;1&lt;/Valeur&gt;&lt;Valeur name="pointer"&gt;1&lt;/Valeur&gt;&lt;Valeur name="idbanque"&gt;300760283626261100200EUR201903120292948900&lt;/Valeur&gt;&lt;Valeur name="datevaleur"&gt;2019/03/12&lt;/Valeur&gt;&lt;Valeur name="intitule"&gt;E-VIR SEPA Unsteel&lt;/Valeur&gt;&lt;Valeur name="description"&gt;&lt;/Valeur&gt;&lt;Valeur name="compte"&gt;118&lt;/Valeur&gt;&lt;Valeur name="solde"&gt;564.549999999999&lt;/Valeur&gt;&lt;Valeur name="ventiler"&gt;0&lt;/Valeur&gt;&lt;Valeur name="compta"&gt;&lt;/Valeur&gt;&lt;Valeur name="valeur"&gt;405&lt;/Valeur&gt;&lt;/Insert&gt;</v>
      </c>
    </row>
    <row r="131" spans="1:40" x14ac:dyDescent="0.25">
      <c r="A131" t="s">
        <v>84</v>
      </c>
      <c r="B131">
        <v>117</v>
      </c>
      <c r="C131" s="1">
        <v>43536</v>
      </c>
      <c r="E131" t="str">
        <f>IF(F131&lt;&gt;"",INDEX(Balance!A:A,MATCH(F131,Balance!B:B,0)),"")</f>
        <v>Fournisseurs</v>
      </c>
      <c r="F131" t="s">
        <v>261</v>
      </c>
      <c r="G131" t="s">
        <v>83</v>
      </c>
      <c r="I131" s="10">
        <v>168</v>
      </c>
      <c r="K131" s="11">
        <f t="shared" si="46"/>
        <v>28</v>
      </c>
      <c r="L131" s="10">
        <f t="shared" si="47"/>
        <v>396.54999999999927</v>
      </c>
      <c r="N131">
        <v>117</v>
      </c>
      <c r="O131">
        <v>1</v>
      </c>
      <c r="P131">
        <v>1</v>
      </c>
      <c r="Q131" t="str">
        <f t="shared" ref="Q131:Q194" si="48">A131</f>
        <v>300760283626261100200EUR201903120292949000</v>
      </c>
      <c r="R131" s="16" t="s">
        <v>901</v>
      </c>
      <c r="S131" t="str">
        <f t="shared" ref="S131:S194" si="49">G131&amp;IF(ISBLANK(H131),""," / "&amp;H131)</f>
        <v>E-VIR SEPA Dessenne</v>
      </c>
      <c r="U131">
        <f>IFERROR(VLOOKUP(F131,tab!A:B,2,FALSE),1)</f>
        <v>53</v>
      </c>
      <c r="V131" s="14">
        <f t="shared" ref="V131:V194" si="50">L131</f>
        <v>396.54999999999927</v>
      </c>
      <c r="W131">
        <f t="shared" ref="W131:W194" si="51">IF(ISBLANK(A132),1,0)</f>
        <v>0</v>
      </c>
      <c r="X131" t="str">
        <f t="shared" ref="X131:X194" si="52">IF(D131=1,1,"")</f>
        <v/>
      </c>
      <c r="Y131" s="14">
        <f t="shared" ref="Y131:Y194" si="53">SUM(I131:J131)</f>
        <v>168</v>
      </c>
      <c r="AA131" t="str">
        <f t="shared" ref="AA131:AB194" si="54">IF(ISBLANK($N131),"",N$1&amp;N131&amp;"&lt;/Valeur&gt;")</f>
        <v>&lt;Valeur name="no"&gt;117&lt;/Valeur&gt;</v>
      </c>
      <c r="AB131" t="str">
        <f t="shared" si="54"/>
        <v>&lt;Valeur name="banque"&gt;1&lt;/Valeur&gt;</v>
      </c>
      <c r="AC131" t="str">
        <f t="shared" si="34"/>
        <v>&lt;Valeur name="pointer"&gt;1&lt;/Valeur&gt;</v>
      </c>
      <c r="AD131" t="str">
        <f t="shared" si="35"/>
        <v>&lt;Valeur name="idbanque"&gt;300760283626261100200EUR201903120292949000&lt;/Valeur&gt;</v>
      </c>
      <c r="AE131" t="str">
        <f t="shared" si="36"/>
        <v>&lt;Valeur name="datevaleur"&gt;2019/03/12&lt;/Valeur&gt;</v>
      </c>
      <c r="AF131" t="str">
        <f t="shared" si="37"/>
        <v>&lt;Valeur name="intitule"&gt;E-VIR SEPA Dessenne&lt;/Valeur&gt;</v>
      </c>
      <c r="AG131" t="str">
        <f t="shared" si="38"/>
        <v>&lt;Valeur name="description"&gt;&lt;/Valeur&gt;</v>
      </c>
      <c r="AH131" t="str">
        <f t="shared" si="39"/>
        <v>&lt;Valeur name="compte"&gt;53&lt;/Valeur&gt;</v>
      </c>
      <c r="AI131" t="str">
        <f t="shared" si="40"/>
        <v>&lt;Valeur name="solde"&gt;396.549999999999&lt;/Valeur&gt;</v>
      </c>
      <c r="AJ131" t="str">
        <f t="shared" si="41"/>
        <v>&lt;Valeur name="ventiler"&gt;0&lt;/Valeur&gt;</v>
      </c>
      <c r="AK131" t="str">
        <f t="shared" si="42"/>
        <v>&lt;Valeur name="compta"&gt;&lt;/Valeur&gt;</v>
      </c>
      <c r="AL131" t="str">
        <f t="shared" si="43"/>
        <v>&lt;Valeur name="valeur"&gt;168&lt;/Valeur&gt;</v>
      </c>
      <c r="AN131" t="str">
        <f t="shared" ref="AN131:AN194" si="55">IF(ISBLANK(N131),"",CONCATENATE("&lt;Insert&gt;",AA131,AB131,AC131,AD131,AE131,AF131,AG131,AH131,AI131,AJ131,AK131,AL131,"&lt;/Insert&gt;"))</f>
        <v>&lt;Insert&gt;&lt;Valeur name="no"&gt;117&lt;/Valeur&gt;&lt;Valeur name="banque"&gt;1&lt;/Valeur&gt;&lt;Valeur name="pointer"&gt;1&lt;/Valeur&gt;&lt;Valeur name="idbanque"&gt;300760283626261100200EUR201903120292949000&lt;/Valeur&gt;&lt;Valeur name="datevaleur"&gt;2019/03/12&lt;/Valeur&gt;&lt;Valeur name="intitule"&gt;E-VIR SEPA Dessenne&lt;/Valeur&gt;&lt;Valeur name="description"&gt;&lt;/Valeur&gt;&lt;Valeur name="compte"&gt;53&lt;/Valeur&gt;&lt;Valeur name="solde"&gt;396.549999999999&lt;/Valeur&gt;&lt;Valeur name="ventiler"&gt;0&lt;/Valeur&gt;&lt;Valeur name="compta"&gt;&lt;/Valeur&gt;&lt;Valeur name="valeur"&gt;168&lt;/Valeur&gt;&lt;/Insert&gt;</v>
      </c>
    </row>
    <row r="132" spans="1:40" x14ac:dyDescent="0.25">
      <c r="A132" t="s">
        <v>82</v>
      </c>
      <c r="B132">
        <v>118</v>
      </c>
      <c r="C132" s="1">
        <v>43536</v>
      </c>
      <c r="E132" t="str">
        <f>IF(F132&lt;&gt;"",INDEX(Balance!A:A,MATCH(F132,Balance!B:B,0)),"")</f>
        <v>Fournisseurs</v>
      </c>
      <c r="F132" t="s">
        <v>261</v>
      </c>
      <c r="G132" t="s">
        <v>83</v>
      </c>
      <c r="I132" s="10">
        <v>110.4</v>
      </c>
      <c r="K132" s="11">
        <f t="shared" si="46"/>
        <v>18.399999999999991</v>
      </c>
      <c r="L132" s="10">
        <f t="shared" si="47"/>
        <v>286.1499999999993</v>
      </c>
      <c r="N132">
        <v>118</v>
      </c>
      <c r="O132">
        <v>1</v>
      </c>
      <c r="P132">
        <v>1</v>
      </c>
      <c r="Q132" t="str">
        <f t="shared" si="48"/>
        <v>300760283626261100200EUR201903120292949100</v>
      </c>
      <c r="R132" s="16" t="s">
        <v>901</v>
      </c>
      <c r="S132" t="str">
        <f t="shared" si="49"/>
        <v>E-VIR SEPA Dessenne</v>
      </c>
      <c r="U132">
        <f>IFERROR(VLOOKUP(F132,tab!A:B,2,FALSE),1)</f>
        <v>53</v>
      </c>
      <c r="V132" s="14">
        <f t="shared" si="50"/>
        <v>286.1499999999993</v>
      </c>
      <c r="W132">
        <f t="shared" si="51"/>
        <v>0</v>
      </c>
      <c r="X132" t="str">
        <f t="shared" si="52"/>
        <v/>
      </c>
      <c r="Y132" s="14">
        <f t="shared" si="53"/>
        <v>110.4</v>
      </c>
      <c r="AA132" t="str">
        <f t="shared" si="54"/>
        <v>&lt;Valeur name="no"&gt;118&lt;/Valeur&gt;</v>
      </c>
      <c r="AB132" t="str">
        <f t="shared" si="54"/>
        <v>&lt;Valeur name="banque"&gt;1&lt;/Valeur&gt;</v>
      </c>
      <c r="AC132" t="str">
        <f t="shared" si="34"/>
        <v>&lt;Valeur name="pointer"&gt;1&lt;/Valeur&gt;</v>
      </c>
      <c r="AD132" t="str">
        <f t="shared" si="35"/>
        <v>&lt;Valeur name="idbanque"&gt;300760283626261100200EUR201903120292949100&lt;/Valeur&gt;</v>
      </c>
      <c r="AE132" t="str">
        <f t="shared" si="36"/>
        <v>&lt;Valeur name="datevaleur"&gt;2019/03/12&lt;/Valeur&gt;</v>
      </c>
      <c r="AF132" t="str">
        <f t="shared" si="37"/>
        <v>&lt;Valeur name="intitule"&gt;E-VIR SEPA Dessenne&lt;/Valeur&gt;</v>
      </c>
      <c r="AG132" t="str">
        <f t="shared" si="38"/>
        <v>&lt;Valeur name="description"&gt;&lt;/Valeur&gt;</v>
      </c>
      <c r="AH132" t="str">
        <f t="shared" si="39"/>
        <v>&lt;Valeur name="compte"&gt;53&lt;/Valeur&gt;</v>
      </c>
      <c r="AI132" t="str">
        <f t="shared" si="40"/>
        <v>&lt;Valeur name="solde"&gt;286.149999999999&lt;/Valeur&gt;</v>
      </c>
      <c r="AJ132" t="str">
        <f t="shared" si="41"/>
        <v>&lt;Valeur name="ventiler"&gt;0&lt;/Valeur&gt;</v>
      </c>
      <c r="AK132" t="str">
        <f t="shared" si="42"/>
        <v>&lt;Valeur name="compta"&gt;&lt;/Valeur&gt;</v>
      </c>
      <c r="AL132" t="str">
        <f t="shared" si="43"/>
        <v>&lt;Valeur name="valeur"&gt;110.4&lt;/Valeur&gt;</v>
      </c>
      <c r="AN132" t="str">
        <f t="shared" si="55"/>
        <v>&lt;Insert&gt;&lt;Valeur name="no"&gt;118&lt;/Valeur&gt;&lt;Valeur name="banque"&gt;1&lt;/Valeur&gt;&lt;Valeur name="pointer"&gt;1&lt;/Valeur&gt;&lt;Valeur name="idbanque"&gt;300760283626261100200EUR201903120292949100&lt;/Valeur&gt;&lt;Valeur name="datevaleur"&gt;2019/03/12&lt;/Valeur&gt;&lt;Valeur name="intitule"&gt;E-VIR SEPA Dessenne&lt;/Valeur&gt;&lt;Valeur name="description"&gt;&lt;/Valeur&gt;&lt;Valeur name="compte"&gt;53&lt;/Valeur&gt;&lt;Valeur name="solde"&gt;286.149999999999&lt;/Valeur&gt;&lt;Valeur name="ventiler"&gt;0&lt;/Valeur&gt;&lt;Valeur name="compta"&gt;&lt;/Valeur&gt;&lt;Valeur name="valeur"&gt;110.4&lt;/Valeur&gt;&lt;/Insert&gt;</v>
      </c>
    </row>
    <row r="133" spans="1:40" x14ac:dyDescent="0.25">
      <c r="A133" t="s">
        <v>88</v>
      </c>
      <c r="B133">
        <v>119</v>
      </c>
      <c r="C133" s="1">
        <v>43536</v>
      </c>
      <c r="E133" t="str">
        <f>IF(F133&lt;&gt;"",INDEX(Balance!A:A,MATCH(F133,Balance!B:B,0)),"")</f>
        <v>Fournisseurs</v>
      </c>
      <c r="F133" t="s">
        <v>261</v>
      </c>
      <c r="G133" t="s">
        <v>83</v>
      </c>
      <c r="I133" s="10">
        <v>660</v>
      </c>
      <c r="K133" s="11">
        <f t="shared" si="46"/>
        <v>110</v>
      </c>
      <c r="L133" s="10">
        <f t="shared" si="47"/>
        <v>-373.8500000000007</v>
      </c>
      <c r="N133">
        <v>119</v>
      </c>
      <c r="O133">
        <v>1</v>
      </c>
      <c r="P133">
        <v>1</v>
      </c>
      <c r="Q133" t="str">
        <f t="shared" si="48"/>
        <v>300760283626261100200EUR201903120292949200</v>
      </c>
      <c r="R133" s="16" t="s">
        <v>901</v>
      </c>
      <c r="S133" t="str">
        <f t="shared" si="49"/>
        <v>E-VIR SEPA Dessenne</v>
      </c>
      <c r="U133">
        <f>IFERROR(VLOOKUP(F133,tab!A:B,2,FALSE),1)</f>
        <v>53</v>
      </c>
      <c r="V133" s="14">
        <f t="shared" si="50"/>
        <v>-373.8500000000007</v>
      </c>
      <c r="W133">
        <f t="shared" si="51"/>
        <v>0</v>
      </c>
      <c r="X133" t="str">
        <f t="shared" si="52"/>
        <v/>
      </c>
      <c r="Y133" s="14">
        <f t="shared" si="53"/>
        <v>660</v>
      </c>
      <c r="AA133" t="str">
        <f t="shared" si="54"/>
        <v>&lt;Valeur name="no"&gt;119&lt;/Valeur&gt;</v>
      </c>
      <c r="AB133" t="str">
        <f t="shared" si="54"/>
        <v>&lt;Valeur name="banque"&gt;1&lt;/Valeur&gt;</v>
      </c>
      <c r="AC133" t="str">
        <f t="shared" si="34"/>
        <v>&lt;Valeur name="pointer"&gt;1&lt;/Valeur&gt;</v>
      </c>
      <c r="AD133" t="str">
        <f t="shared" si="35"/>
        <v>&lt;Valeur name="idbanque"&gt;300760283626261100200EUR201903120292949200&lt;/Valeur&gt;</v>
      </c>
      <c r="AE133" t="str">
        <f t="shared" si="36"/>
        <v>&lt;Valeur name="datevaleur"&gt;2019/03/12&lt;/Valeur&gt;</v>
      </c>
      <c r="AF133" t="str">
        <f t="shared" si="37"/>
        <v>&lt;Valeur name="intitule"&gt;E-VIR SEPA Dessenne&lt;/Valeur&gt;</v>
      </c>
      <c r="AG133" t="str">
        <f t="shared" si="38"/>
        <v>&lt;Valeur name="description"&gt;&lt;/Valeur&gt;</v>
      </c>
      <c r="AH133" t="str">
        <f t="shared" si="39"/>
        <v>&lt;Valeur name="compte"&gt;53&lt;/Valeur&gt;</v>
      </c>
      <c r="AI133" t="str">
        <f t="shared" si="40"/>
        <v>&lt;Valeur name="solde"&gt;-373.850000000001&lt;/Valeur&gt;</v>
      </c>
      <c r="AJ133" t="str">
        <f t="shared" si="41"/>
        <v>&lt;Valeur name="ventiler"&gt;0&lt;/Valeur&gt;</v>
      </c>
      <c r="AK133" t="str">
        <f t="shared" si="42"/>
        <v>&lt;Valeur name="compta"&gt;&lt;/Valeur&gt;</v>
      </c>
      <c r="AL133" t="str">
        <f t="shared" si="43"/>
        <v>&lt;Valeur name="valeur"&gt;660&lt;/Valeur&gt;</v>
      </c>
      <c r="AN133" t="str">
        <f t="shared" si="55"/>
        <v>&lt;Insert&gt;&lt;Valeur name="no"&gt;119&lt;/Valeur&gt;&lt;Valeur name="banque"&gt;1&lt;/Valeur&gt;&lt;Valeur name="pointer"&gt;1&lt;/Valeur&gt;&lt;Valeur name="idbanque"&gt;300760283626261100200EUR201903120292949200&lt;/Valeur&gt;&lt;Valeur name="datevaleur"&gt;2019/03/12&lt;/Valeur&gt;&lt;Valeur name="intitule"&gt;E-VIR SEPA Dessenne&lt;/Valeur&gt;&lt;Valeur name="description"&gt;&lt;/Valeur&gt;&lt;Valeur name="compte"&gt;53&lt;/Valeur&gt;&lt;Valeur name="solde"&gt;-373.850000000001&lt;/Valeur&gt;&lt;Valeur name="ventiler"&gt;0&lt;/Valeur&gt;&lt;Valeur name="compta"&gt;&lt;/Valeur&gt;&lt;Valeur name="valeur"&gt;660&lt;/Valeur&gt;&lt;/Insert&gt;</v>
      </c>
    </row>
    <row r="134" spans="1:40" x14ac:dyDescent="0.25">
      <c r="A134" t="s">
        <v>87</v>
      </c>
      <c r="B134">
        <v>120</v>
      </c>
      <c r="C134" s="1">
        <v>43536</v>
      </c>
      <c r="E134" t="str">
        <f>IF(F134&lt;&gt;"",INDEX(Balance!A:A,MATCH(F134,Balance!B:B,0)),"")</f>
        <v>Fournisseurs</v>
      </c>
      <c r="F134" t="s">
        <v>261</v>
      </c>
      <c r="G134" t="s">
        <v>83</v>
      </c>
      <c r="I134" s="10">
        <v>576</v>
      </c>
      <c r="K134" s="11">
        <f t="shared" si="46"/>
        <v>96</v>
      </c>
      <c r="L134" s="10">
        <f t="shared" si="47"/>
        <v>-949.8500000000007</v>
      </c>
      <c r="N134">
        <v>120</v>
      </c>
      <c r="O134">
        <v>1</v>
      </c>
      <c r="P134">
        <v>1</v>
      </c>
      <c r="Q134" t="str">
        <f t="shared" si="48"/>
        <v>300760283626261100200EUR201903120292949300</v>
      </c>
      <c r="R134" s="16" t="s">
        <v>901</v>
      </c>
      <c r="S134" t="str">
        <f t="shared" si="49"/>
        <v>E-VIR SEPA Dessenne</v>
      </c>
      <c r="U134">
        <f>IFERROR(VLOOKUP(F134,tab!A:B,2,FALSE),1)</f>
        <v>53</v>
      </c>
      <c r="V134" s="14">
        <f t="shared" si="50"/>
        <v>-949.8500000000007</v>
      </c>
      <c r="W134">
        <f t="shared" si="51"/>
        <v>0</v>
      </c>
      <c r="X134" t="str">
        <f t="shared" si="52"/>
        <v/>
      </c>
      <c r="Y134" s="14">
        <f t="shared" si="53"/>
        <v>576</v>
      </c>
      <c r="AA134" t="str">
        <f t="shared" si="54"/>
        <v>&lt;Valeur name="no"&gt;120&lt;/Valeur&gt;</v>
      </c>
      <c r="AB134" t="str">
        <f t="shared" si="54"/>
        <v>&lt;Valeur name="banque"&gt;1&lt;/Valeur&gt;</v>
      </c>
      <c r="AC134" t="str">
        <f t="shared" si="34"/>
        <v>&lt;Valeur name="pointer"&gt;1&lt;/Valeur&gt;</v>
      </c>
      <c r="AD134" t="str">
        <f t="shared" si="35"/>
        <v>&lt;Valeur name="idbanque"&gt;300760283626261100200EUR201903120292949300&lt;/Valeur&gt;</v>
      </c>
      <c r="AE134" t="str">
        <f t="shared" si="36"/>
        <v>&lt;Valeur name="datevaleur"&gt;2019/03/12&lt;/Valeur&gt;</v>
      </c>
      <c r="AF134" t="str">
        <f t="shared" si="37"/>
        <v>&lt;Valeur name="intitule"&gt;E-VIR SEPA Dessenne&lt;/Valeur&gt;</v>
      </c>
      <c r="AG134" t="str">
        <f t="shared" si="38"/>
        <v>&lt;Valeur name="description"&gt;&lt;/Valeur&gt;</v>
      </c>
      <c r="AH134" t="str">
        <f t="shared" si="39"/>
        <v>&lt;Valeur name="compte"&gt;53&lt;/Valeur&gt;</v>
      </c>
      <c r="AI134" t="str">
        <f t="shared" si="40"/>
        <v>&lt;Valeur name="solde"&gt;-949.850000000001&lt;/Valeur&gt;</v>
      </c>
      <c r="AJ134" t="str">
        <f t="shared" si="41"/>
        <v>&lt;Valeur name="ventiler"&gt;0&lt;/Valeur&gt;</v>
      </c>
      <c r="AK134" t="str">
        <f t="shared" si="42"/>
        <v>&lt;Valeur name="compta"&gt;&lt;/Valeur&gt;</v>
      </c>
      <c r="AL134" t="str">
        <f t="shared" si="43"/>
        <v>&lt;Valeur name="valeur"&gt;576&lt;/Valeur&gt;</v>
      </c>
      <c r="AN134" t="str">
        <f t="shared" si="55"/>
        <v>&lt;Insert&gt;&lt;Valeur name="no"&gt;120&lt;/Valeur&gt;&lt;Valeur name="banque"&gt;1&lt;/Valeur&gt;&lt;Valeur name="pointer"&gt;1&lt;/Valeur&gt;&lt;Valeur name="idbanque"&gt;300760283626261100200EUR201903120292949300&lt;/Valeur&gt;&lt;Valeur name="datevaleur"&gt;2019/03/12&lt;/Valeur&gt;&lt;Valeur name="intitule"&gt;E-VIR SEPA Dessenne&lt;/Valeur&gt;&lt;Valeur name="description"&gt;&lt;/Valeur&gt;&lt;Valeur name="compte"&gt;53&lt;/Valeur&gt;&lt;Valeur name="solde"&gt;-949.850000000001&lt;/Valeur&gt;&lt;Valeur name="ventiler"&gt;0&lt;/Valeur&gt;&lt;Valeur name="compta"&gt;&lt;/Valeur&gt;&lt;Valeur name="valeur"&gt;576&lt;/Valeur&gt;&lt;/Insert&gt;</v>
      </c>
    </row>
    <row r="135" spans="1:40" x14ac:dyDescent="0.25">
      <c r="A135" t="s">
        <v>92</v>
      </c>
      <c r="B135">
        <v>121</v>
      </c>
      <c r="C135" s="1">
        <v>43536</v>
      </c>
      <c r="D135">
        <v>1</v>
      </c>
      <c r="E135" t="str">
        <f>IF(F135&lt;&gt;"",INDEX(Balance!A:A,MATCH(F135,Balance!B:B,0)),"")</f>
        <v>Depense</v>
      </c>
      <c r="F135" t="s">
        <v>254</v>
      </c>
      <c r="G135" t="s">
        <v>93</v>
      </c>
      <c r="I135" s="10">
        <v>22.3</v>
      </c>
      <c r="K135" s="11">
        <f t="shared" si="46"/>
        <v>3.716666666666665</v>
      </c>
      <c r="L135" s="10">
        <f t="shared" si="47"/>
        <v>-972.15000000000066</v>
      </c>
      <c r="N135">
        <v>121</v>
      </c>
      <c r="O135">
        <v>1</v>
      </c>
      <c r="P135">
        <v>1</v>
      </c>
      <c r="Q135" t="str">
        <f t="shared" si="48"/>
        <v>300760283626261100200EUR201903121070484100</v>
      </c>
      <c r="R135" s="16" t="s">
        <v>901</v>
      </c>
      <c r="S135" t="str">
        <f t="shared" si="49"/>
        <v>CB 454106 BLONDES A C 59LESQUIN</v>
      </c>
      <c r="U135">
        <f>IFERROR(VLOOKUP(F135,tab!A:B,2,FALSE),1)</f>
        <v>27</v>
      </c>
      <c r="V135" s="14">
        <f t="shared" si="50"/>
        <v>-972.15000000000066</v>
      </c>
      <c r="W135">
        <f t="shared" si="51"/>
        <v>0</v>
      </c>
      <c r="X135">
        <f t="shared" si="52"/>
        <v>1</v>
      </c>
      <c r="Y135" s="14">
        <f t="shared" si="53"/>
        <v>22.3</v>
      </c>
      <c r="AA135" t="str">
        <f t="shared" si="54"/>
        <v>&lt;Valeur name="no"&gt;121&lt;/Valeur&gt;</v>
      </c>
      <c r="AB135" t="str">
        <f t="shared" si="54"/>
        <v>&lt;Valeur name="banque"&gt;1&lt;/Valeur&gt;</v>
      </c>
      <c r="AC135" t="str">
        <f t="shared" si="34"/>
        <v>&lt;Valeur name="pointer"&gt;1&lt;/Valeur&gt;</v>
      </c>
      <c r="AD135" t="str">
        <f t="shared" si="35"/>
        <v>&lt;Valeur name="idbanque"&gt;300760283626261100200EUR201903121070484100&lt;/Valeur&gt;</v>
      </c>
      <c r="AE135" t="str">
        <f t="shared" si="36"/>
        <v>&lt;Valeur name="datevaleur"&gt;2019/03/12&lt;/Valeur&gt;</v>
      </c>
      <c r="AF135" t="str">
        <f t="shared" si="37"/>
        <v>&lt;Valeur name="intitule"&gt;CB 454106 BLONDES A C 59LESQUIN&lt;/Valeur&gt;</v>
      </c>
      <c r="AG135" t="str">
        <f t="shared" si="38"/>
        <v>&lt;Valeur name="description"&gt;&lt;/Valeur&gt;</v>
      </c>
      <c r="AH135" t="str">
        <f t="shared" si="39"/>
        <v>&lt;Valeur name="compte"&gt;27&lt;/Valeur&gt;</v>
      </c>
      <c r="AI135" t="str">
        <f t="shared" si="40"/>
        <v>&lt;Valeur name="solde"&gt;-972.150000000001&lt;/Valeur&gt;</v>
      </c>
      <c r="AJ135" t="str">
        <f t="shared" si="41"/>
        <v>&lt;Valeur name="ventiler"&gt;0&lt;/Valeur&gt;</v>
      </c>
      <c r="AK135" t="str">
        <f t="shared" si="42"/>
        <v>&lt;Valeur name="compta"&gt;1&lt;/Valeur&gt;</v>
      </c>
      <c r="AL135" t="str">
        <f t="shared" si="43"/>
        <v>&lt;Valeur name="valeur"&gt;22.3&lt;/Valeur&gt;</v>
      </c>
      <c r="AN135" t="str">
        <f t="shared" si="55"/>
        <v>&lt;Insert&gt;&lt;Valeur name="no"&gt;121&lt;/Valeur&gt;&lt;Valeur name="banque"&gt;1&lt;/Valeur&gt;&lt;Valeur name="pointer"&gt;1&lt;/Valeur&gt;&lt;Valeur name="idbanque"&gt;300760283626261100200EUR201903121070484100&lt;/Valeur&gt;&lt;Valeur name="datevaleur"&gt;2019/03/12&lt;/Valeur&gt;&lt;Valeur name="intitule"&gt;CB 454106 BLONDES A C 59LESQUIN&lt;/Valeur&gt;&lt;Valeur name="description"&gt;&lt;/Valeur&gt;&lt;Valeur name="compte"&gt;27&lt;/Valeur&gt;&lt;Valeur name="solde"&gt;-972.150000000001&lt;/Valeur&gt;&lt;Valeur name="ventiler"&gt;0&lt;/Valeur&gt;&lt;Valeur name="compta"&gt;1&lt;/Valeur&gt;&lt;Valeur name="valeur"&gt;22.3&lt;/Valeur&gt;&lt;/Insert&gt;</v>
      </c>
    </row>
    <row r="136" spans="1:40" x14ac:dyDescent="0.25">
      <c r="A136" t="s">
        <v>94</v>
      </c>
      <c r="B136">
        <v>122</v>
      </c>
      <c r="C136" s="1">
        <v>43536</v>
      </c>
      <c r="D136">
        <v>1</v>
      </c>
      <c r="E136" t="str">
        <f>IF(F136&lt;&gt;"",INDEX(Balance!A:A,MATCH(F136,Balance!B:B,0)),"")</f>
        <v>Depense</v>
      </c>
      <c r="F136" t="s">
        <v>253</v>
      </c>
      <c r="G136" t="s">
        <v>95</v>
      </c>
      <c r="I136" s="10">
        <v>80.87</v>
      </c>
      <c r="K136" s="11">
        <f t="shared" si="46"/>
        <v>13.478333333333325</v>
      </c>
      <c r="L136" s="10">
        <f t="shared" si="47"/>
        <v>-1053.0200000000007</v>
      </c>
      <c r="N136">
        <v>122</v>
      </c>
      <c r="O136">
        <v>1</v>
      </c>
      <c r="P136">
        <v>1</v>
      </c>
      <c r="Q136" t="str">
        <f t="shared" si="48"/>
        <v>300760283626261100200EUR201903121079341300</v>
      </c>
      <c r="R136" s="16" t="s">
        <v>901</v>
      </c>
      <c r="S136" t="str">
        <f t="shared" si="49"/>
        <v>CB 454106 CARREFOUR D 59WASQUEHA</v>
      </c>
      <c r="U136">
        <f>IFERROR(VLOOKUP(F136,tab!A:B,2,FALSE),1)</f>
        <v>13</v>
      </c>
      <c r="V136" s="14">
        <f t="shared" si="50"/>
        <v>-1053.0200000000007</v>
      </c>
      <c r="W136">
        <f t="shared" si="51"/>
        <v>0</v>
      </c>
      <c r="X136">
        <f t="shared" si="52"/>
        <v>1</v>
      </c>
      <c r="Y136" s="14">
        <f t="shared" si="53"/>
        <v>80.87</v>
      </c>
      <c r="AA136" t="str">
        <f t="shared" si="54"/>
        <v>&lt;Valeur name="no"&gt;122&lt;/Valeur&gt;</v>
      </c>
      <c r="AB136" t="str">
        <f t="shared" si="54"/>
        <v>&lt;Valeur name="banque"&gt;1&lt;/Valeur&gt;</v>
      </c>
      <c r="AC136" t="str">
        <f t="shared" si="34"/>
        <v>&lt;Valeur name="pointer"&gt;1&lt;/Valeur&gt;</v>
      </c>
      <c r="AD136" t="str">
        <f t="shared" si="35"/>
        <v>&lt;Valeur name="idbanque"&gt;300760283626261100200EUR201903121079341300&lt;/Valeur&gt;</v>
      </c>
      <c r="AE136" t="str">
        <f t="shared" si="36"/>
        <v>&lt;Valeur name="datevaleur"&gt;2019/03/12&lt;/Valeur&gt;</v>
      </c>
      <c r="AF136" t="str">
        <f t="shared" si="37"/>
        <v>&lt;Valeur name="intitule"&gt;CB 454106 CARREFOUR D 59WASQUEHA&lt;/Valeur&gt;</v>
      </c>
      <c r="AG136" t="str">
        <f t="shared" si="38"/>
        <v>&lt;Valeur name="description"&gt;&lt;/Valeur&gt;</v>
      </c>
      <c r="AH136" t="str">
        <f t="shared" si="39"/>
        <v>&lt;Valeur name="compte"&gt;13&lt;/Valeur&gt;</v>
      </c>
      <c r="AI136" t="str">
        <f t="shared" si="40"/>
        <v>&lt;Valeur name="solde"&gt;-1053.02&lt;/Valeur&gt;</v>
      </c>
      <c r="AJ136" t="str">
        <f t="shared" si="41"/>
        <v>&lt;Valeur name="ventiler"&gt;0&lt;/Valeur&gt;</v>
      </c>
      <c r="AK136" t="str">
        <f t="shared" si="42"/>
        <v>&lt;Valeur name="compta"&gt;1&lt;/Valeur&gt;</v>
      </c>
      <c r="AL136" t="str">
        <f t="shared" si="43"/>
        <v>&lt;Valeur name="valeur"&gt;80.87&lt;/Valeur&gt;</v>
      </c>
      <c r="AN136" t="str">
        <f t="shared" si="55"/>
        <v>&lt;Insert&gt;&lt;Valeur name="no"&gt;122&lt;/Valeur&gt;&lt;Valeur name="banque"&gt;1&lt;/Valeur&gt;&lt;Valeur name="pointer"&gt;1&lt;/Valeur&gt;&lt;Valeur name="idbanque"&gt;300760283626261100200EUR201903121079341300&lt;/Valeur&gt;&lt;Valeur name="datevaleur"&gt;2019/03/12&lt;/Valeur&gt;&lt;Valeur name="intitule"&gt;CB 454106 CARREFOUR D 59WASQUEHA&lt;/Valeur&gt;&lt;Valeur name="description"&gt;&lt;/Valeur&gt;&lt;Valeur name="compte"&gt;13&lt;/Valeur&gt;&lt;Valeur name="solde"&gt;-1053.02&lt;/Valeur&gt;&lt;Valeur name="ventiler"&gt;0&lt;/Valeur&gt;&lt;Valeur name="compta"&gt;1&lt;/Valeur&gt;&lt;Valeur name="valeur"&gt;80.87&lt;/Valeur&gt;&lt;/Insert&gt;</v>
      </c>
    </row>
    <row r="137" spans="1:40" x14ac:dyDescent="0.25">
      <c r="A137" t="s">
        <v>89</v>
      </c>
      <c r="B137">
        <v>123</v>
      </c>
      <c r="C137" s="1">
        <v>43536</v>
      </c>
      <c r="D137">
        <v>1</v>
      </c>
      <c r="E137" t="str">
        <f>IF(F137&lt;&gt;"",INDEX(Balance!A:A,MATCH(F137,Balance!B:B,0)),"")</f>
        <v>Depense</v>
      </c>
      <c r="F137" t="s">
        <v>257</v>
      </c>
      <c r="G137" t="s">
        <v>31</v>
      </c>
      <c r="I137" s="10">
        <v>0.21</v>
      </c>
      <c r="K137" s="11">
        <f t="shared" si="46"/>
        <v>3.5000000000000003E-2</v>
      </c>
      <c r="L137" s="10">
        <f t="shared" si="47"/>
        <v>-1053.2300000000007</v>
      </c>
      <c r="N137">
        <v>123</v>
      </c>
      <c r="O137">
        <v>1</v>
      </c>
      <c r="P137">
        <v>1</v>
      </c>
      <c r="Q137" t="str">
        <f t="shared" si="48"/>
        <v>300760283626261100200EUR201903129223924100</v>
      </c>
      <c r="R137" s="16" t="s">
        <v>901</v>
      </c>
      <c r="S137" t="str">
        <f t="shared" si="49"/>
        <v>FRAIS E-VIR SEPA VERS EEE</v>
      </c>
      <c r="U137">
        <f>IFERROR(VLOOKUP(F137,tab!A:B,2,FALSE),1)</f>
        <v>18</v>
      </c>
      <c r="V137" s="14">
        <f t="shared" si="50"/>
        <v>-1053.2300000000007</v>
      </c>
      <c r="W137">
        <f t="shared" si="51"/>
        <v>0</v>
      </c>
      <c r="X137">
        <f t="shared" si="52"/>
        <v>1</v>
      </c>
      <c r="Y137" s="14">
        <f t="shared" si="53"/>
        <v>0.21</v>
      </c>
      <c r="AA137" t="str">
        <f t="shared" si="54"/>
        <v>&lt;Valeur name="no"&gt;123&lt;/Valeur&gt;</v>
      </c>
      <c r="AB137" t="str">
        <f t="shared" si="54"/>
        <v>&lt;Valeur name="banque"&gt;1&lt;/Valeur&gt;</v>
      </c>
      <c r="AC137" t="str">
        <f t="shared" si="34"/>
        <v>&lt;Valeur name="pointer"&gt;1&lt;/Valeur&gt;</v>
      </c>
      <c r="AD137" t="str">
        <f t="shared" si="35"/>
        <v>&lt;Valeur name="idbanque"&gt;300760283626261100200EUR201903129223924100&lt;/Valeur&gt;</v>
      </c>
      <c r="AE137" t="str">
        <f t="shared" si="36"/>
        <v>&lt;Valeur name="datevaleur"&gt;2019/03/12&lt;/Valeur&gt;</v>
      </c>
      <c r="AF137" t="str">
        <f t="shared" si="37"/>
        <v>&lt;Valeur name="intitule"&gt;FRAIS E-VIR SEPA VERS EEE&lt;/Valeur&gt;</v>
      </c>
      <c r="AG137" t="str">
        <f t="shared" si="38"/>
        <v>&lt;Valeur name="description"&gt;&lt;/Valeur&gt;</v>
      </c>
      <c r="AH137" t="str">
        <f t="shared" si="39"/>
        <v>&lt;Valeur name="compte"&gt;18&lt;/Valeur&gt;</v>
      </c>
      <c r="AI137" t="str">
        <f t="shared" si="40"/>
        <v>&lt;Valeur name="solde"&gt;-1053.23&lt;/Valeur&gt;</v>
      </c>
      <c r="AJ137" t="str">
        <f t="shared" si="41"/>
        <v>&lt;Valeur name="ventiler"&gt;0&lt;/Valeur&gt;</v>
      </c>
      <c r="AK137" t="str">
        <f t="shared" si="42"/>
        <v>&lt;Valeur name="compta"&gt;1&lt;/Valeur&gt;</v>
      </c>
      <c r="AL137" t="str">
        <f t="shared" si="43"/>
        <v>&lt;Valeur name="valeur"&gt;0.21&lt;/Valeur&gt;</v>
      </c>
      <c r="AN137" t="str">
        <f t="shared" si="55"/>
        <v>&lt;Insert&gt;&lt;Valeur name="no"&gt;123&lt;/Valeur&gt;&lt;Valeur name="banque"&gt;1&lt;/Valeur&gt;&lt;Valeur name="pointer"&gt;1&lt;/Valeur&gt;&lt;Valeur name="idbanque"&gt;300760283626261100200EUR201903129223924100&lt;/Valeur&gt;&lt;Valeur name="datevaleur"&gt;2019/03/12&lt;/Valeur&gt;&lt;Valeur name="intitule"&gt;FRAIS E-VIR SEPA VERS EEE&lt;/Valeur&gt;&lt;Valeur name="description"&gt;&lt;/Valeur&gt;&lt;Valeur name="compte"&gt;18&lt;/Valeur&gt;&lt;Valeur name="solde"&gt;-1053.23&lt;/Valeur&gt;&lt;Valeur name="ventiler"&gt;0&lt;/Valeur&gt;&lt;Valeur name="compta"&gt;1&lt;/Valeur&gt;&lt;Valeur name="valeur"&gt;0.21&lt;/Valeur&gt;&lt;/Insert&gt;</v>
      </c>
    </row>
    <row r="138" spans="1:40" x14ac:dyDescent="0.25">
      <c r="A138" t="s">
        <v>90</v>
      </c>
      <c r="B138">
        <v>124</v>
      </c>
      <c r="C138" s="1">
        <v>43536</v>
      </c>
      <c r="D138">
        <v>1</v>
      </c>
      <c r="E138" t="str">
        <f>IF(F138&lt;&gt;"",INDEX(Balance!A:A,MATCH(F138,Balance!B:B,0)),"")</f>
        <v>Depense</v>
      </c>
      <c r="F138" t="s">
        <v>257</v>
      </c>
      <c r="G138" t="s">
        <v>31</v>
      </c>
      <c r="I138" s="10">
        <v>0.21</v>
      </c>
      <c r="K138" s="11">
        <f t="shared" si="46"/>
        <v>3.5000000000000003E-2</v>
      </c>
      <c r="L138" s="10">
        <f t="shared" si="47"/>
        <v>-1053.4400000000007</v>
      </c>
      <c r="N138">
        <v>124</v>
      </c>
      <c r="O138">
        <v>1</v>
      </c>
      <c r="P138">
        <v>1</v>
      </c>
      <c r="Q138" t="str">
        <f t="shared" si="48"/>
        <v>300760283626261100200EUR201903129223924200</v>
      </c>
      <c r="R138" s="16" t="s">
        <v>901</v>
      </c>
      <c r="S138" t="str">
        <f t="shared" si="49"/>
        <v>FRAIS E-VIR SEPA VERS EEE</v>
      </c>
      <c r="U138">
        <f>IFERROR(VLOOKUP(F138,tab!A:B,2,FALSE),1)</f>
        <v>18</v>
      </c>
      <c r="V138" s="14">
        <f t="shared" si="50"/>
        <v>-1053.4400000000007</v>
      </c>
      <c r="W138">
        <f t="shared" si="51"/>
        <v>0</v>
      </c>
      <c r="X138">
        <f t="shared" si="52"/>
        <v>1</v>
      </c>
      <c r="Y138" s="14">
        <f t="shared" si="53"/>
        <v>0.21</v>
      </c>
      <c r="AA138" t="str">
        <f t="shared" si="54"/>
        <v>&lt;Valeur name="no"&gt;124&lt;/Valeur&gt;</v>
      </c>
      <c r="AB138" t="str">
        <f t="shared" si="54"/>
        <v>&lt;Valeur name="banque"&gt;1&lt;/Valeur&gt;</v>
      </c>
      <c r="AC138" t="str">
        <f t="shared" si="34"/>
        <v>&lt;Valeur name="pointer"&gt;1&lt;/Valeur&gt;</v>
      </c>
      <c r="AD138" t="str">
        <f t="shared" si="35"/>
        <v>&lt;Valeur name="idbanque"&gt;300760283626261100200EUR201903129223924200&lt;/Valeur&gt;</v>
      </c>
      <c r="AE138" t="str">
        <f t="shared" si="36"/>
        <v>&lt;Valeur name="datevaleur"&gt;2019/03/12&lt;/Valeur&gt;</v>
      </c>
      <c r="AF138" t="str">
        <f t="shared" si="37"/>
        <v>&lt;Valeur name="intitule"&gt;FRAIS E-VIR SEPA VERS EEE&lt;/Valeur&gt;</v>
      </c>
      <c r="AG138" t="str">
        <f t="shared" si="38"/>
        <v>&lt;Valeur name="description"&gt;&lt;/Valeur&gt;</v>
      </c>
      <c r="AH138" t="str">
        <f t="shared" si="39"/>
        <v>&lt;Valeur name="compte"&gt;18&lt;/Valeur&gt;</v>
      </c>
      <c r="AI138" t="str">
        <f t="shared" si="40"/>
        <v>&lt;Valeur name="solde"&gt;-1053.44&lt;/Valeur&gt;</v>
      </c>
      <c r="AJ138" t="str">
        <f t="shared" si="41"/>
        <v>&lt;Valeur name="ventiler"&gt;0&lt;/Valeur&gt;</v>
      </c>
      <c r="AK138" t="str">
        <f t="shared" si="42"/>
        <v>&lt;Valeur name="compta"&gt;1&lt;/Valeur&gt;</v>
      </c>
      <c r="AL138" t="str">
        <f t="shared" si="43"/>
        <v>&lt;Valeur name="valeur"&gt;0.21&lt;/Valeur&gt;</v>
      </c>
      <c r="AN138" t="str">
        <f t="shared" si="55"/>
        <v>&lt;Insert&gt;&lt;Valeur name="no"&gt;124&lt;/Valeur&gt;&lt;Valeur name="banque"&gt;1&lt;/Valeur&gt;&lt;Valeur name="pointer"&gt;1&lt;/Valeur&gt;&lt;Valeur name="idbanque"&gt;300760283626261100200EUR201903129223924200&lt;/Valeur&gt;&lt;Valeur name="datevaleur"&gt;2019/03/12&lt;/Valeur&gt;&lt;Valeur name="intitule"&gt;FRAIS E-VIR SEPA VERS EEE&lt;/Valeur&gt;&lt;Valeur name="description"&gt;&lt;/Valeur&gt;&lt;Valeur name="compte"&gt;18&lt;/Valeur&gt;&lt;Valeur name="solde"&gt;-1053.44&lt;/Valeur&gt;&lt;Valeur name="ventiler"&gt;0&lt;/Valeur&gt;&lt;Valeur name="compta"&gt;1&lt;/Valeur&gt;&lt;Valeur name="valeur"&gt;0.21&lt;/Valeur&gt;&lt;/Insert&gt;</v>
      </c>
    </row>
    <row r="139" spans="1:40" x14ac:dyDescent="0.25">
      <c r="A139" t="s">
        <v>91</v>
      </c>
      <c r="B139">
        <v>125</v>
      </c>
      <c r="C139" s="1">
        <v>43536</v>
      </c>
      <c r="D139">
        <v>1</v>
      </c>
      <c r="E139" t="str">
        <f>IF(F139&lt;&gt;"",INDEX(Balance!A:A,MATCH(F139,Balance!B:B,0)),"")</f>
        <v>Depense</v>
      </c>
      <c r="F139" t="s">
        <v>257</v>
      </c>
      <c r="G139" t="s">
        <v>31</v>
      </c>
      <c r="I139" s="10">
        <v>0.21</v>
      </c>
      <c r="K139" s="11">
        <f t="shared" si="46"/>
        <v>3.5000000000000003E-2</v>
      </c>
      <c r="L139" s="10">
        <f t="shared" si="47"/>
        <v>-1053.6500000000008</v>
      </c>
      <c r="N139">
        <v>125</v>
      </c>
      <c r="O139">
        <v>1</v>
      </c>
      <c r="P139">
        <v>1</v>
      </c>
      <c r="Q139" t="str">
        <f t="shared" si="48"/>
        <v>300760283626261100200EUR201903129223924300</v>
      </c>
      <c r="R139" s="16" t="s">
        <v>901</v>
      </c>
      <c r="S139" t="str">
        <f t="shared" si="49"/>
        <v>FRAIS E-VIR SEPA VERS EEE</v>
      </c>
      <c r="U139">
        <f>IFERROR(VLOOKUP(F139,tab!A:B,2,FALSE),1)</f>
        <v>18</v>
      </c>
      <c r="V139" s="14">
        <f t="shared" si="50"/>
        <v>-1053.6500000000008</v>
      </c>
      <c r="W139">
        <f t="shared" si="51"/>
        <v>0</v>
      </c>
      <c r="X139">
        <f t="shared" si="52"/>
        <v>1</v>
      </c>
      <c r="Y139" s="14">
        <f t="shared" si="53"/>
        <v>0.21</v>
      </c>
      <c r="AA139" t="str">
        <f t="shared" si="54"/>
        <v>&lt;Valeur name="no"&gt;125&lt;/Valeur&gt;</v>
      </c>
      <c r="AB139" t="str">
        <f t="shared" si="54"/>
        <v>&lt;Valeur name="banque"&gt;1&lt;/Valeur&gt;</v>
      </c>
      <c r="AC139" t="str">
        <f t="shared" si="34"/>
        <v>&lt;Valeur name="pointer"&gt;1&lt;/Valeur&gt;</v>
      </c>
      <c r="AD139" t="str">
        <f t="shared" si="35"/>
        <v>&lt;Valeur name="idbanque"&gt;300760283626261100200EUR201903129223924300&lt;/Valeur&gt;</v>
      </c>
      <c r="AE139" t="str">
        <f t="shared" si="36"/>
        <v>&lt;Valeur name="datevaleur"&gt;2019/03/12&lt;/Valeur&gt;</v>
      </c>
      <c r="AF139" t="str">
        <f t="shared" si="37"/>
        <v>&lt;Valeur name="intitule"&gt;FRAIS E-VIR SEPA VERS EEE&lt;/Valeur&gt;</v>
      </c>
      <c r="AG139" t="str">
        <f t="shared" si="38"/>
        <v>&lt;Valeur name="description"&gt;&lt;/Valeur&gt;</v>
      </c>
      <c r="AH139" t="str">
        <f t="shared" si="39"/>
        <v>&lt;Valeur name="compte"&gt;18&lt;/Valeur&gt;</v>
      </c>
      <c r="AI139" t="str">
        <f t="shared" si="40"/>
        <v>&lt;Valeur name="solde"&gt;-1053.65&lt;/Valeur&gt;</v>
      </c>
      <c r="AJ139" t="str">
        <f t="shared" si="41"/>
        <v>&lt;Valeur name="ventiler"&gt;0&lt;/Valeur&gt;</v>
      </c>
      <c r="AK139" t="str">
        <f t="shared" si="42"/>
        <v>&lt;Valeur name="compta"&gt;1&lt;/Valeur&gt;</v>
      </c>
      <c r="AL139" t="str">
        <f t="shared" si="43"/>
        <v>&lt;Valeur name="valeur"&gt;0.21&lt;/Valeur&gt;</v>
      </c>
      <c r="AN139" t="str">
        <f t="shared" si="55"/>
        <v>&lt;Insert&gt;&lt;Valeur name="no"&gt;125&lt;/Valeur&gt;&lt;Valeur name="banque"&gt;1&lt;/Valeur&gt;&lt;Valeur name="pointer"&gt;1&lt;/Valeur&gt;&lt;Valeur name="idbanque"&gt;300760283626261100200EUR201903129223924300&lt;/Valeur&gt;&lt;Valeur name="datevaleur"&gt;2019/03/12&lt;/Valeur&gt;&lt;Valeur name="intitule"&gt;FRAIS E-VIR SEPA VERS EEE&lt;/Valeur&gt;&lt;Valeur name="description"&gt;&lt;/Valeur&gt;&lt;Valeur name="compte"&gt;18&lt;/Valeur&gt;&lt;Valeur name="solde"&gt;-1053.65&lt;/Valeur&gt;&lt;Valeur name="ventiler"&gt;0&lt;/Valeur&gt;&lt;Valeur name="compta"&gt;1&lt;/Valeur&gt;&lt;Valeur name="valeur"&gt;0.21&lt;/Valeur&gt;&lt;/Insert&gt;</v>
      </c>
    </row>
    <row r="140" spans="1:40" x14ac:dyDescent="0.25">
      <c r="A140" t="s">
        <v>67</v>
      </c>
      <c r="B140">
        <v>126</v>
      </c>
      <c r="C140" s="1">
        <v>43537</v>
      </c>
      <c r="E140" t="str">
        <f>IF(F140&lt;&gt;"",INDEX(Balance!A:A,MATCH(F140,Balance!B:B,0)),"")</f>
        <v>Fournisseurs</v>
      </c>
      <c r="F140" t="s">
        <v>289</v>
      </c>
      <c r="G140" t="s">
        <v>68</v>
      </c>
      <c r="I140" s="10">
        <v>2728.92</v>
      </c>
      <c r="K140" s="11">
        <f t="shared" si="46"/>
        <v>454.81999999999971</v>
      </c>
      <c r="L140" s="10">
        <f t="shared" si="47"/>
        <v>-3782.5700000000006</v>
      </c>
      <c r="N140">
        <v>126</v>
      </c>
      <c r="O140">
        <v>1</v>
      </c>
      <c r="P140">
        <v>1</v>
      </c>
      <c r="Q140" t="str">
        <f t="shared" si="48"/>
        <v>300760283626261100200EUR201903130292603500</v>
      </c>
      <c r="R140" s="16" t="s">
        <v>902</v>
      </c>
      <c r="S140" t="str">
        <f t="shared" si="49"/>
        <v>E-VIR SEPA Dimatex</v>
      </c>
      <c r="U140">
        <f>IFERROR(VLOOKUP(F140,tab!A:B,2,FALSE),1)</f>
        <v>57</v>
      </c>
      <c r="V140" s="14">
        <f t="shared" si="50"/>
        <v>-3782.5700000000006</v>
      </c>
      <c r="W140">
        <f t="shared" si="51"/>
        <v>0</v>
      </c>
      <c r="X140" t="str">
        <f t="shared" si="52"/>
        <v/>
      </c>
      <c r="Y140" s="14">
        <f t="shared" si="53"/>
        <v>2728.92</v>
      </c>
      <c r="AA140" t="str">
        <f t="shared" si="54"/>
        <v>&lt;Valeur name="no"&gt;126&lt;/Valeur&gt;</v>
      </c>
      <c r="AB140" t="str">
        <f t="shared" si="54"/>
        <v>&lt;Valeur name="banque"&gt;1&lt;/Valeur&gt;</v>
      </c>
      <c r="AC140" t="str">
        <f t="shared" si="34"/>
        <v>&lt;Valeur name="pointer"&gt;1&lt;/Valeur&gt;</v>
      </c>
      <c r="AD140" t="str">
        <f t="shared" si="35"/>
        <v>&lt;Valeur name="idbanque"&gt;300760283626261100200EUR201903130292603500&lt;/Valeur&gt;</v>
      </c>
      <c r="AE140" t="str">
        <f t="shared" si="36"/>
        <v>&lt;Valeur name="datevaleur"&gt;2019/03/13&lt;/Valeur&gt;</v>
      </c>
      <c r="AF140" t="str">
        <f t="shared" si="37"/>
        <v>&lt;Valeur name="intitule"&gt;E-VIR SEPA Dimatex&lt;/Valeur&gt;</v>
      </c>
      <c r="AG140" t="str">
        <f t="shared" si="38"/>
        <v>&lt;Valeur name="description"&gt;&lt;/Valeur&gt;</v>
      </c>
      <c r="AH140" t="str">
        <f t="shared" si="39"/>
        <v>&lt;Valeur name="compte"&gt;57&lt;/Valeur&gt;</v>
      </c>
      <c r="AI140" t="str">
        <f t="shared" si="40"/>
        <v>&lt;Valeur name="solde"&gt;-3782.57&lt;/Valeur&gt;</v>
      </c>
      <c r="AJ140" t="str">
        <f t="shared" si="41"/>
        <v>&lt;Valeur name="ventiler"&gt;0&lt;/Valeur&gt;</v>
      </c>
      <c r="AK140" t="str">
        <f t="shared" si="42"/>
        <v>&lt;Valeur name="compta"&gt;&lt;/Valeur&gt;</v>
      </c>
      <c r="AL140" t="str">
        <f t="shared" si="43"/>
        <v>&lt;Valeur name="valeur"&gt;2728.92&lt;/Valeur&gt;</v>
      </c>
      <c r="AN140" t="str">
        <f t="shared" si="55"/>
        <v>&lt;Insert&gt;&lt;Valeur name="no"&gt;126&lt;/Valeur&gt;&lt;Valeur name="banque"&gt;1&lt;/Valeur&gt;&lt;Valeur name="pointer"&gt;1&lt;/Valeur&gt;&lt;Valeur name="idbanque"&gt;300760283626261100200EUR201903130292603500&lt;/Valeur&gt;&lt;Valeur name="datevaleur"&gt;2019/03/13&lt;/Valeur&gt;&lt;Valeur name="intitule"&gt;E-VIR SEPA Dimatex&lt;/Valeur&gt;&lt;Valeur name="description"&gt;&lt;/Valeur&gt;&lt;Valeur name="compte"&gt;57&lt;/Valeur&gt;&lt;Valeur name="solde"&gt;-3782.57&lt;/Valeur&gt;&lt;Valeur name="ventiler"&gt;0&lt;/Valeur&gt;&lt;Valeur name="compta"&gt;&lt;/Valeur&gt;&lt;Valeur name="valeur"&gt;2728.92&lt;/Valeur&gt;&lt;/Insert&gt;</v>
      </c>
    </row>
    <row r="141" spans="1:40" x14ac:dyDescent="0.25">
      <c r="A141" t="s">
        <v>76</v>
      </c>
      <c r="B141">
        <v>127</v>
      </c>
      <c r="C141" s="1">
        <v>43537</v>
      </c>
      <c r="E141" t="str">
        <f>IF(F141&lt;&gt;"",INDEX(Balance!A:A,MATCH(F141,Balance!B:B,0)),"")</f>
        <v>Fournisseurs</v>
      </c>
      <c r="F141" t="s">
        <v>375</v>
      </c>
      <c r="G141" t="s">
        <v>77</v>
      </c>
      <c r="I141" s="10">
        <v>505.43</v>
      </c>
      <c r="K141" s="11">
        <f t="shared" si="46"/>
        <v>84.238333333333344</v>
      </c>
      <c r="L141" s="10">
        <f t="shared" si="47"/>
        <v>-4288.0000000000009</v>
      </c>
      <c r="N141">
        <v>127</v>
      </c>
      <c r="O141">
        <v>1</v>
      </c>
      <c r="P141">
        <v>1</v>
      </c>
      <c r="Q141" t="str">
        <f t="shared" si="48"/>
        <v>300760283626261100200EUR201903131077341400</v>
      </c>
      <c r="R141" s="16" t="s">
        <v>902</v>
      </c>
      <c r="S141" t="str">
        <f t="shared" si="49"/>
        <v>CB 548222 DESIGN PROD 14TROARN</v>
      </c>
      <c r="U141">
        <f>IFERROR(VLOOKUP(F141,tab!A:B,2,FALSE),1)</f>
        <v>52</v>
      </c>
      <c r="V141" s="14">
        <f t="shared" si="50"/>
        <v>-4288.0000000000009</v>
      </c>
      <c r="W141">
        <f t="shared" si="51"/>
        <v>0</v>
      </c>
      <c r="X141" t="str">
        <f t="shared" si="52"/>
        <v/>
      </c>
      <c r="Y141" s="14">
        <f t="shared" si="53"/>
        <v>505.43</v>
      </c>
      <c r="AA141" t="str">
        <f t="shared" si="54"/>
        <v>&lt;Valeur name="no"&gt;127&lt;/Valeur&gt;</v>
      </c>
      <c r="AB141" t="str">
        <f t="shared" si="54"/>
        <v>&lt;Valeur name="banque"&gt;1&lt;/Valeur&gt;</v>
      </c>
      <c r="AC141" t="str">
        <f t="shared" si="34"/>
        <v>&lt;Valeur name="pointer"&gt;1&lt;/Valeur&gt;</v>
      </c>
      <c r="AD141" t="str">
        <f t="shared" si="35"/>
        <v>&lt;Valeur name="idbanque"&gt;300760283626261100200EUR201903131077341400&lt;/Valeur&gt;</v>
      </c>
      <c r="AE141" t="str">
        <f t="shared" si="36"/>
        <v>&lt;Valeur name="datevaleur"&gt;2019/03/13&lt;/Valeur&gt;</v>
      </c>
      <c r="AF141" t="str">
        <f t="shared" si="37"/>
        <v>&lt;Valeur name="intitule"&gt;CB 548222 DESIGN PROD 14TROARN&lt;/Valeur&gt;</v>
      </c>
      <c r="AG141" t="str">
        <f t="shared" si="38"/>
        <v>&lt;Valeur name="description"&gt;&lt;/Valeur&gt;</v>
      </c>
      <c r="AH141" t="str">
        <f t="shared" si="39"/>
        <v>&lt;Valeur name="compte"&gt;52&lt;/Valeur&gt;</v>
      </c>
      <c r="AI141" t="str">
        <f t="shared" si="40"/>
        <v>&lt;Valeur name="solde"&gt;-4288&lt;/Valeur&gt;</v>
      </c>
      <c r="AJ141" t="str">
        <f t="shared" si="41"/>
        <v>&lt;Valeur name="ventiler"&gt;0&lt;/Valeur&gt;</v>
      </c>
      <c r="AK141" t="str">
        <f t="shared" si="42"/>
        <v>&lt;Valeur name="compta"&gt;&lt;/Valeur&gt;</v>
      </c>
      <c r="AL141" t="str">
        <f t="shared" si="43"/>
        <v>&lt;Valeur name="valeur"&gt;505.43&lt;/Valeur&gt;</v>
      </c>
      <c r="AN141" t="str">
        <f t="shared" si="55"/>
        <v>&lt;Insert&gt;&lt;Valeur name="no"&gt;127&lt;/Valeur&gt;&lt;Valeur name="banque"&gt;1&lt;/Valeur&gt;&lt;Valeur name="pointer"&gt;1&lt;/Valeur&gt;&lt;Valeur name="idbanque"&gt;300760283626261100200EUR201903131077341400&lt;/Valeur&gt;&lt;Valeur name="datevaleur"&gt;2019/03/13&lt;/Valeur&gt;&lt;Valeur name="intitule"&gt;CB 548222 DESIGN PROD 14TROARN&lt;/Valeur&gt;&lt;Valeur name="description"&gt;&lt;/Valeur&gt;&lt;Valeur name="compte"&gt;52&lt;/Valeur&gt;&lt;Valeur name="solde"&gt;-4288&lt;/Valeur&gt;&lt;Valeur name="ventiler"&gt;0&lt;/Valeur&gt;&lt;Valeur name="compta"&gt;&lt;/Valeur&gt;&lt;Valeur name="valeur"&gt;505.43&lt;/Valeur&gt;&lt;/Insert&gt;</v>
      </c>
    </row>
    <row r="142" spans="1:40" x14ac:dyDescent="0.25">
      <c r="A142" t="s">
        <v>69</v>
      </c>
      <c r="B142">
        <v>128</v>
      </c>
      <c r="C142" s="1">
        <v>43537</v>
      </c>
      <c r="D142">
        <v>1</v>
      </c>
      <c r="E142" t="str">
        <f>IF(F142&lt;&gt;"",INDEX(Balance!A:A,MATCH(F142,Balance!B:B,0)),"")</f>
        <v>Depense</v>
      </c>
      <c r="F142" t="s">
        <v>257</v>
      </c>
      <c r="G142" t="s">
        <v>31</v>
      </c>
      <c r="I142" s="10">
        <v>0.21</v>
      </c>
      <c r="K142" s="11">
        <f t="shared" si="46"/>
        <v>3.5000000000000003E-2</v>
      </c>
      <c r="L142" s="10">
        <f t="shared" si="47"/>
        <v>-4288.2100000000009</v>
      </c>
      <c r="N142">
        <v>128</v>
      </c>
      <c r="O142">
        <v>1</v>
      </c>
      <c r="P142">
        <v>1</v>
      </c>
      <c r="Q142" t="str">
        <f t="shared" si="48"/>
        <v>300760283626261100200EUR201903139222665800</v>
      </c>
      <c r="R142" s="16" t="s">
        <v>902</v>
      </c>
      <c r="S142" t="str">
        <f t="shared" si="49"/>
        <v>FRAIS E-VIR SEPA VERS EEE</v>
      </c>
      <c r="U142">
        <f>IFERROR(VLOOKUP(F142,tab!A:B,2,FALSE),1)</f>
        <v>18</v>
      </c>
      <c r="V142" s="14">
        <f t="shared" si="50"/>
        <v>-4288.2100000000009</v>
      </c>
      <c r="W142">
        <f t="shared" si="51"/>
        <v>0</v>
      </c>
      <c r="X142">
        <f t="shared" si="52"/>
        <v>1</v>
      </c>
      <c r="Y142" s="14">
        <f t="shared" si="53"/>
        <v>0.21</v>
      </c>
      <c r="AA142" t="str">
        <f t="shared" si="54"/>
        <v>&lt;Valeur name="no"&gt;128&lt;/Valeur&gt;</v>
      </c>
      <c r="AB142" t="str">
        <f t="shared" si="54"/>
        <v>&lt;Valeur name="banque"&gt;1&lt;/Valeur&gt;</v>
      </c>
      <c r="AC142" t="str">
        <f t="shared" si="34"/>
        <v>&lt;Valeur name="pointer"&gt;1&lt;/Valeur&gt;</v>
      </c>
      <c r="AD142" t="str">
        <f t="shared" si="35"/>
        <v>&lt;Valeur name="idbanque"&gt;300760283626261100200EUR201903139222665800&lt;/Valeur&gt;</v>
      </c>
      <c r="AE142" t="str">
        <f t="shared" si="36"/>
        <v>&lt;Valeur name="datevaleur"&gt;2019/03/13&lt;/Valeur&gt;</v>
      </c>
      <c r="AF142" t="str">
        <f t="shared" si="37"/>
        <v>&lt;Valeur name="intitule"&gt;FRAIS E-VIR SEPA VERS EEE&lt;/Valeur&gt;</v>
      </c>
      <c r="AG142" t="str">
        <f t="shared" si="38"/>
        <v>&lt;Valeur name="description"&gt;&lt;/Valeur&gt;</v>
      </c>
      <c r="AH142" t="str">
        <f t="shared" si="39"/>
        <v>&lt;Valeur name="compte"&gt;18&lt;/Valeur&gt;</v>
      </c>
      <c r="AI142" t="str">
        <f t="shared" si="40"/>
        <v>&lt;Valeur name="solde"&gt;-4288.21&lt;/Valeur&gt;</v>
      </c>
      <c r="AJ142" t="str">
        <f t="shared" si="41"/>
        <v>&lt;Valeur name="ventiler"&gt;0&lt;/Valeur&gt;</v>
      </c>
      <c r="AK142" t="str">
        <f t="shared" si="42"/>
        <v>&lt;Valeur name="compta"&gt;1&lt;/Valeur&gt;</v>
      </c>
      <c r="AL142" t="str">
        <f t="shared" si="43"/>
        <v>&lt;Valeur name="valeur"&gt;0.21&lt;/Valeur&gt;</v>
      </c>
      <c r="AN142" t="str">
        <f t="shared" si="55"/>
        <v>&lt;Insert&gt;&lt;Valeur name="no"&gt;128&lt;/Valeur&gt;&lt;Valeur name="banque"&gt;1&lt;/Valeur&gt;&lt;Valeur name="pointer"&gt;1&lt;/Valeur&gt;&lt;Valeur name="idbanque"&gt;300760283626261100200EUR201903139222665800&lt;/Valeur&gt;&lt;Valeur name="datevaleur"&gt;2019/03/13&lt;/Valeur&gt;&lt;Valeur name="intitule"&gt;FRAIS E-VIR SEPA VERS EEE&lt;/Valeur&gt;&lt;Valeur name="description"&gt;&lt;/Valeur&gt;&lt;Valeur name="compte"&gt;18&lt;/Valeur&gt;&lt;Valeur name="solde"&gt;-4288.21&lt;/Valeur&gt;&lt;Valeur name="ventiler"&gt;0&lt;/Valeur&gt;&lt;Valeur name="compta"&gt;1&lt;/Valeur&gt;&lt;Valeur name="valeur"&gt;0.21&lt;/Valeur&gt;&lt;/Insert&gt;</v>
      </c>
    </row>
    <row r="143" spans="1:40" x14ac:dyDescent="0.25">
      <c r="A143" t="s">
        <v>70</v>
      </c>
      <c r="B143">
        <v>129</v>
      </c>
      <c r="C143" s="1">
        <v>43537</v>
      </c>
      <c r="D143">
        <v>1</v>
      </c>
      <c r="E143" t="str">
        <f>IF(F143&lt;&gt;"",INDEX(Balance!A:A,MATCH(F143,Balance!B:B,0)),"")</f>
        <v>Depense</v>
      </c>
      <c r="F143" t="s">
        <v>257</v>
      </c>
      <c r="G143" t="s">
        <v>31</v>
      </c>
      <c r="I143" s="10">
        <v>0.21</v>
      </c>
      <c r="K143" s="11">
        <f t="shared" si="46"/>
        <v>3.5000000000000003E-2</v>
      </c>
      <c r="L143" s="10">
        <f t="shared" si="47"/>
        <v>-4288.420000000001</v>
      </c>
      <c r="N143">
        <v>129</v>
      </c>
      <c r="O143">
        <v>1</v>
      </c>
      <c r="P143">
        <v>1</v>
      </c>
      <c r="Q143" t="str">
        <f t="shared" si="48"/>
        <v>300760283626261100200EUR201903139222665900</v>
      </c>
      <c r="R143" s="16" t="s">
        <v>902</v>
      </c>
      <c r="S143" t="str">
        <f t="shared" si="49"/>
        <v>FRAIS E-VIR SEPA VERS EEE</v>
      </c>
      <c r="U143">
        <f>IFERROR(VLOOKUP(F143,tab!A:B,2,FALSE),1)</f>
        <v>18</v>
      </c>
      <c r="V143" s="14">
        <f t="shared" si="50"/>
        <v>-4288.420000000001</v>
      </c>
      <c r="W143">
        <f t="shared" si="51"/>
        <v>0</v>
      </c>
      <c r="X143">
        <f t="shared" si="52"/>
        <v>1</v>
      </c>
      <c r="Y143" s="14">
        <f t="shared" si="53"/>
        <v>0.21</v>
      </c>
      <c r="AA143" t="str">
        <f t="shared" si="54"/>
        <v>&lt;Valeur name="no"&gt;129&lt;/Valeur&gt;</v>
      </c>
      <c r="AB143" t="str">
        <f t="shared" si="54"/>
        <v>&lt;Valeur name="banque"&gt;1&lt;/Valeur&gt;</v>
      </c>
      <c r="AC143" t="str">
        <f t="shared" si="34"/>
        <v>&lt;Valeur name="pointer"&gt;1&lt;/Valeur&gt;</v>
      </c>
      <c r="AD143" t="str">
        <f t="shared" si="35"/>
        <v>&lt;Valeur name="idbanque"&gt;300760283626261100200EUR201903139222665900&lt;/Valeur&gt;</v>
      </c>
      <c r="AE143" t="str">
        <f t="shared" si="36"/>
        <v>&lt;Valeur name="datevaleur"&gt;2019/03/13&lt;/Valeur&gt;</v>
      </c>
      <c r="AF143" t="str">
        <f t="shared" si="37"/>
        <v>&lt;Valeur name="intitule"&gt;FRAIS E-VIR SEPA VERS EEE&lt;/Valeur&gt;</v>
      </c>
      <c r="AG143" t="str">
        <f t="shared" si="38"/>
        <v>&lt;Valeur name="description"&gt;&lt;/Valeur&gt;</v>
      </c>
      <c r="AH143" t="str">
        <f t="shared" si="39"/>
        <v>&lt;Valeur name="compte"&gt;18&lt;/Valeur&gt;</v>
      </c>
      <c r="AI143" t="str">
        <f t="shared" si="40"/>
        <v>&lt;Valeur name="solde"&gt;-4288.42&lt;/Valeur&gt;</v>
      </c>
      <c r="AJ143" t="str">
        <f t="shared" si="41"/>
        <v>&lt;Valeur name="ventiler"&gt;0&lt;/Valeur&gt;</v>
      </c>
      <c r="AK143" t="str">
        <f t="shared" si="42"/>
        <v>&lt;Valeur name="compta"&gt;1&lt;/Valeur&gt;</v>
      </c>
      <c r="AL143" t="str">
        <f t="shared" si="43"/>
        <v>&lt;Valeur name="valeur"&gt;0.21&lt;/Valeur&gt;</v>
      </c>
      <c r="AN143" t="str">
        <f t="shared" si="55"/>
        <v>&lt;Insert&gt;&lt;Valeur name="no"&gt;129&lt;/Valeur&gt;&lt;Valeur name="banque"&gt;1&lt;/Valeur&gt;&lt;Valeur name="pointer"&gt;1&lt;/Valeur&gt;&lt;Valeur name="idbanque"&gt;300760283626261100200EUR201903139222665900&lt;/Valeur&gt;&lt;Valeur name="datevaleur"&gt;2019/03/13&lt;/Valeur&gt;&lt;Valeur name="intitule"&gt;FRAIS E-VIR SEPA VERS EEE&lt;/Valeur&gt;&lt;Valeur name="description"&gt;&lt;/Valeur&gt;&lt;Valeur name="compte"&gt;18&lt;/Valeur&gt;&lt;Valeur name="solde"&gt;-4288.42&lt;/Valeur&gt;&lt;Valeur name="ventiler"&gt;0&lt;/Valeur&gt;&lt;Valeur name="compta"&gt;1&lt;/Valeur&gt;&lt;Valeur name="valeur"&gt;0.21&lt;/Valeur&gt;&lt;/Insert&gt;</v>
      </c>
    </row>
    <row r="144" spans="1:40" x14ac:dyDescent="0.25">
      <c r="A144" t="s">
        <v>71</v>
      </c>
      <c r="B144">
        <v>130</v>
      </c>
      <c r="C144" s="1">
        <v>43537</v>
      </c>
      <c r="D144">
        <v>1</v>
      </c>
      <c r="E144" t="str">
        <f>IF(F144&lt;&gt;"",INDEX(Balance!A:A,MATCH(F144,Balance!B:B,0)),"")</f>
        <v>Depense</v>
      </c>
      <c r="F144" t="s">
        <v>257</v>
      </c>
      <c r="G144" t="s">
        <v>31</v>
      </c>
      <c r="I144" s="10">
        <v>0.21</v>
      </c>
      <c r="K144" s="11">
        <f t="shared" si="46"/>
        <v>3.5000000000000003E-2</v>
      </c>
      <c r="L144" s="10">
        <f t="shared" si="47"/>
        <v>-4288.630000000001</v>
      </c>
      <c r="N144">
        <v>130</v>
      </c>
      <c r="O144">
        <v>1</v>
      </c>
      <c r="P144">
        <v>1</v>
      </c>
      <c r="Q144" t="str">
        <f t="shared" si="48"/>
        <v>300760283626261100200EUR201903139222666000</v>
      </c>
      <c r="R144" s="16" t="s">
        <v>902</v>
      </c>
      <c r="S144" t="str">
        <f t="shared" si="49"/>
        <v>FRAIS E-VIR SEPA VERS EEE</v>
      </c>
      <c r="U144">
        <f>IFERROR(VLOOKUP(F144,tab!A:B,2,FALSE),1)</f>
        <v>18</v>
      </c>
      <c r="V144" s="14">
        <f t="shared" si="50"/>
        <v>-4288.630000000001</v>
      </c>
      <c r="W144">
        <f t="shared" si="51"/>
        <v>0</v>
      </c>
      <c r="X144">
        <f t="shared" si="52"/>
        <v>1</v>
      </c>
      <c r="Y144" s="14">
        <f t="shared" si="53"/>
        <v>0.21</v>
      </c>
      <c r="AA144" t="str">
        <f t="shared" si="54"/>
        <v>&lt;Valeur name="no"&gt;130&lt;/Valeur&gt;</v>
      </c>
      <c r="AB144" t="str">
        <f t="shared" si="54"/>
        <v>&lt;Valeur name="banque"&gt;1&lt;/Valeur&gt;</v>
      </c>
      <c r="AC144" t="str">
        <f t="shared" si="34"/>
        <v>&lt;Valeur name="pointer"&gt;1&lt;/Valeur&gt;</v>
      </c>
      <c r="AD144" t="str">
        <f t="shared" si="35"/>
        <v>&lt;Valeur name="idbanque"&gt;300760283626261100200EUR201903139222666000&lt;/Valeur&gt;</v>
      </c>
      <c r="AE144" t="str">
        <f t="shared" si="36"/>
        <v>&lt;Valeur name="datevaleur"&gt;2019/03/13&lt;/Valeur&gt;</v>
      </c>
      <c r="AF144" t="str">
        <f t="shared" si="37"/>
        <v>&lt;Valeur name="intitule"&gt;FRAIS E-VIR SEPA VERS EEE&lt;/Valeur&gt;</v>
      </c>
      <c r="AG144" t="str">
        <f t="shared" si="38"/>
        <v>&lt;Valeur name="description"&gt;&lt;/Valeur&gt;</v>
      </c>
      <c r="AH144" t="str">
        <f t="shared" si="39"/>
        <v>&lt;Valeur name="compte"&gt;18&lt;/Valeur&gt;</v>
      </c>
      <c r="AI144" t="str">
        <f t="shared" si="40"/>
        <v>&lt;Valeur name="solde"&gt;-4288.63&lt;/Valeur&gt;</v>
      </c>
      <c r="AJ144" t="str">
        <f t="shared" si="41"/>
        <v>&lt;Valeur name="ventiler"&gt;0&lt;/Valeur&gt;</v>
      </c>
      <c r="AK144" t="str">
        <f t="shared" si="42"/>
        <v>&lt;Valeur name="compta"&gt;1&lt;/Valeur&gt;</v>
      </c>
      <c r="AL144" t="str">
        <f t="shared" si="43"/>
        <v>&lt;Valeur name="valeur"&gt;0.21&lt;/Valeur&gt;</v>
      </c>
      <c r="AN144" t="str">
        <f t="shared" si="55"/>
        <v>&lt;Insert&gt;&lt;Valeur name="no"&gt;130&lt;/Valeur&gt;&lt;Valeur name="banque"&gt;1&lt;/Valeur&gt;&lt;Valeur name="pointer"&gt;1&lt;/Valeur&gt;&lt;Valeur name="idbanque"&gt;300760283626261100200EUR201903139222666000&lt;/Valeur&gt;&lt;Valeur name="datevaleur"&gt;2019/03/13&lt;/Valeur&gt;&lt;Valeur name="intitule"&gt;FRAIS E-VIR SEPA VERS EEE&lt;/Valeur&gt;&lt;Valeur name="description"&gt;&lt;/Valeur&gt;&lt;Valeur name="compte"&gt;18&lt;/Valeur&gt;&lt;Valeur name="solde"&gt;-4288.63&lt;/Valeur&gt;&lt;Valeur name="ventiler"&gt;0&lt;/Valeur&gt;&lt;Valeur name="compta"&gt;1&lt;/Valeur&gt;&lt;Valeur name="valeur"&gt;0.21&lt;/Valeur&gt;&lt;/Insert&gt;</v>
      </c>
    </row>
    <row r="145" spans="1:40" x14ac:dyDescent="0.25">
      <c r="A145" t="s">
        <v>72</v>
      </c>
      <c r="B145">
        <v>131</v>
      </c>
      <c r="C145" s="1">
        <v>43537</v>
      </c>
      <c r="D145">
        <v>1</v>
      </c>
      <c r="E145" t="str">
        <f>IF(F145&lt;&gt;"",INDEX(Balance!A:A,MATCH(F145,Balance!B:B,0)),"")</f>
        <v>Depense</v>
      </c>
      <c r="F145" t="s">
        <v>257</v>
      </c>
      <c r="G145" t="s">
        <v>31</v>
      </c>
      <c r="I145" s="10">
        <v>0.21</v>
      </c>
      <c r="K145" s="11">
        <f t="shared" si="46"/>
        <v>3.5000000000000003E-2</v>
      </c>
      <c r="L145" s="10">
        <f t="shared" si="47"/>
        <v>-4288.8400000000011</v>
      </c>
      <c r="N145">
        <v>131</v>
      </c>
      <c r="O145">
        <v>1</v>
      </c>
      <c r="P145">
        <v>1</v>
      </c>
      <c r="Q145" t="str">
        <f t="shared" si="48"/>
        <v>300760283626261100200EUR201903139222666100</v>
      </c>
      <c r="R145" s="16" t="s">
        <v>902</v>
      </c>
      <c r="S145" t="str">
        <f t="shared" si="49"/>
        <v>FRAIS E-VIR SEPA VERS EEE</v>
      </c>
      <c r="U145">
        <f>IFERROR(VLOOKUP(F145,tab!A:B,2,FALSE),1)</f>
        <v>18</v>
      </c>
      <c r="V145" s="14">
        <f t="shared" si="50"/>
        <v>-4288.8400000000011</v>
      </c>
      <c r="W145">
        <f t="shared" si="51"/>
        <v>0</v>
      </c>
      <c r="X145">
        <f t="shared" si="52"/>
        <v>1</v>
      </c>
      <c r="Y145" s="14">
        <f t="shared" si="53"/>
        <v>0.21</v>
      </c>
      <c r="AA145" t="str">
        <f t="shared" si="54"/>
        <v>&lt;Valeur name="no"&gt;131&lt;/Valeur&gt;</v>
      </c>
      <c r="AB145" t="str">
        <f t="shared" si="54"/>
        <v>&lt;Valeur name="banque"&gt;1&lt;/Valeur&gt;</v>
      </c>
      <c r="AC145" t="str">
        <f t="shared" si="34"/>
        <v>&lt;Valeur name="pointer"&gt;1&lt;/Valeur&gt;</v>
      </c>
      <c r="AD145" t="str">
        <f t="shared" si="35"/>
        <v>&lt;Valeur name="idbanque"&gt;300760283626261100200EUR201903139222666100&lt;/Valeur&gt;</v>
      </c>
      <c r="AE145" t="str">
        <f t="shared" si="36"/>
        <v>&lt;Valeur name="datevaleur"&gt;2019/03/13&lt;/Valeur&gt;</v>
      </c>
      <c r="AF145" t="str">
        <f t="shared" si="37"/>
        <v>&lt;Valeur name="intitule"&gt;FRAIS E-VIR SEPA VERS EEE&lt;/Valeur&gt;</v>
      </c>
      <c r="AG145" t="str">
        <f t="shared" si="38"/>
        <v>&lt;Valeur name="description"&gt;&lt;/Valeur&gt;</v>
      </c>
      <c r="AH145" t="str">
        <f t="shared" si="39"/>
        <v>&lt;Valeur name="compte"&gt;18&lt;/Valeur&gt;</v>
      </c>
      <c r="AI145" t="str">
        <f t="shared" si="40"/>
        <v>&lt;Valeur name="solde"&gt;-4288.84&lt;/Valeur&gt;</v>
      </c>
      <c r="AJ145" t="str">
        <f t="shared" si="41"/>
        <v>&lt;Valeur name="ventiler"&gt;0&lt;/Valeur&gt;</v>
      </c>
      <c r="AK145" t="str">
        <f t="shared" si="42"/>
        <v>&lt;Valeur name="compta"&gt;1&lt;/Valeur&gt;</v>
      </c>
      <c r="AL145" t="str">
        <f t="shared" si="43"/>
        <v>&lt;Valeur name="valeur"&gt;0.21&lt;/Valeur&gt;</v>
      </c>
      <c r="AN145" t="str">
        <f t="shared" si="55"/>
        <v>&lt;Insert&gt;&lt;Valeur name="no"&gt;131&lt;/Valeur&gt;&lt;Valeur name="banque"&gt;1&lt;/Valeur&gt;&lt;Valeur name="pointer"&gt;1&lt;/Valeur&gt;&lt;Valeur name="idbanque"&gt;300760283626261100200EUR201903139222666100&lt;/Valeur&gt;&lt;Valeur name="datevaleur"&gt;2019/03/13&lt;/Valeur&gt;&lt;Valeur name="intitule"&gt;FRAIS E-VIR SEPA VERS EEE&lt;/Valeur&gt;&lt;Valeur name="description"&gt;&lt;/Valeur&gt;&lt;Valeur name="compte"&gt;18&lt;/Valeur&gt;&lt;Valeur name="solde"&gt;-4288.84&lt;/Valeur&gt;&lt;Valeur name="ventiler"&gt;0&lt;/Valeur&gt;&lt;Valeur name="compta"&gt;1&lt;/Valeur&gt;&lt;Valeur name="valeur"&gt;0.21&lt;/Valeur&gt;&lt;/Insert&gt;</v>
      </c>
    </row>
    <row r="146" spans="1:40" x14ac:dyDescent="0.25">
      <c r="A146" t="s">
        <v>73</v>
      </c>
      <c r="B146">
        <v>132</v>
      </c>
      <c r="C146" s="1">
        <v>43537</v>
      </c>
      <c r="D146">
        <v>1</v>
      </c>
      <c r="E146" t="str">
        <f>IF(F146&lt;&gt;"",INDEX(Balance!A:A,MATCH(F146,Balance!B:B,0)),"")</f>
        <v>Depense</v>
      </c>
      <c r="F146" t="s">
        <v>257</v>
      </c>
      <c r="G146" t="s">
        <v>31</v>
      </c>
      <c r="I146" s="10">
        <v>0.21</v>
      </c>
      <c r="K146" s="11">
        <f t="shared" si="46"/>
        <v>3.5000000000000003E-2</v>
      </c>
      <c r="L146" s="10">
        <f t="shared" si="47"/>
        <v>-4289.0500000000011</v>
      </c>
      <c r="N146">
        <v>132</v>
      </c>
      <c r="O146">
        <v>1</v>
      </c>
      <c r="P146">
        <v>1</v>
      </c>
      <c r="Q146" t="str">
        <f t="shared" si="48"/>
        <v>300760283626261100200EUR201903139222666200</v>
      </c>
      <c r="R146" s="16" t="s">
        <v>902</v>
      </c>
      <c r="S146" t="str">
        <f t="shared" si="49"/>
        <v>FRAIS E-VIR SEPA VERS EEE</v>
      </c>
      <c r="U146">
        <f>IFERROR(VLOOKUP(F146,tab!A:B,2,FALSE),1)</f>
        <v>18</v>
      </c>
      <c r="V146" s="14">
        <f t="shared" si="50"/>
        <v>-4289.0500000000011</v>
      </c>
      <c r="W146">
        <f t="shared" si="51"/>
        <v>0</v>
      </c>
      <c r="X146">
        <f t="shared" si="52"/>
        <v>1</v>
      </c>
      <c r="Y146" s="14">
        <f t="shared" si="53"/>
        <v>0.21</v>
      </c>
      <c r="AA146" t="str">
        <f t="shared" si="54"/>
        <v>&lt;Valeur name="no"&gt;132&lt;/Valeur&gt;</v>
      </c>
      <c r="AB146" t="str">
        <f t="shared" si="54"/>
        <v>&lt;Valeur name="banque"&gt;1&lt;/Valeur&gt;</v>
      </c>
      <c r="AC146" t="str">
        <f t="shared" ref="AC146:AC209" si="56">IF(ISBLANK($N146),"",P$1&amp;P146&amp;"&lt;/Valeur&gt;")</f>
        <v>&lt;Valeur name="pointer"&gt;1&lt;/Valeur&gt;</v>
      </c>
      <c r="AD146" t="str">
        <f t="shared" ref="AD146:AD209" si="57">IF(ISBLANK($N146),"",Q$1&amp;Q146&amp;"&lt;/Valeur&gt;")</f>
        <v>&lt;Valeur name="idbanque"&gt;300760283626261100200EUR201903139222666200&lt;/Valeur&gt;</v>
      </c>
      <c r="AE146" t="str">
        <f t="shared" ref="AE146:AE209" si="58">IF(ISBLANK($N146),"",R$1&amp;R146&amp;"&lt;/Valeur&gt;")</f>
        <v>&lt;Valeur name="datevaleur"&gt;2019/03/13&lt;/Valeur&gt;</v>
      </c>
      <c r="AF146" t="str">
        <f t="shared" ref="AF146:AF209" si="59">IF(ISBLANK($N146),"",S$1&amp;S146&amp;"&lt;/Valeur&gt;")</f>
        <v>&lt;Valeur name="intitule"&gt;FRAIS E-VIR SEPA VERS EEE&lt;/Valeur&gt;</v>
      </c>
      <c r="AG146" t="str">
        <f t="shared" ref="AG146:AG209" si="60">IF(ISBLANK($N146),"",T$1&amp;T146&amp;"&lt;/Valeur&gt;")</f>
        <v>&lt;Valeur name="description"&gt;&lt;/Valeur&gt;</v>
      </c>
      <c r="AH146" t="str">
        <f t="shared" ref="AH146:AH209" si="61">IF(ISBLANK($N146),"",U$1&amp;U146&amp;"&lt;/Valeur&gt;")</f>
        <v>&lt;Valeur name="compte"&gt;18&lt;/Valeur&gt;</v>
      </c>
      <c r="AI146" t="str">
        <f t="shared" ref="AI146:AI209" si="62">IF(ISBLANK($N146),"",V$1&amp;V146&amp;"&lt;/Valeur&gt;")</f>
        <v>&lt;Valeur name="solde"&gt;-4289.05&lt;/Valeur&gt;</v>
      </c>
      <c r="AJ146" t="str">
        <f t="shared" ref="AJ146:AJ209" si="63">IF(ISBLANK($N146),"",W$1&amp;W146&amp;"&lt;/Valeur&gt;")</f>
        <v>&lt;Valeur name="ventiler"&gt;0&lt;/Valeur&gt;</v>
      </c>
      <c r="AK146" t="str">
        <f t="shared" ref="AK146:AK209" si="64">IF(ISBLANK($N146),"",X$1&amp;X146&amp;"&lt;/Valeur&gt;")</f>
        <v>&lt;Valeur name="compta"&gt;1&lt;/Valeur&gt;</v>
      </c>
      <c r="AL146" t="str">
        <f t="shared" ref="AL146:AL209" si="65">IF(ISBLANK($N146),"",Y$1&amp;Y146&amp;"&lt;/Valeur&gt;")</f>
        <v>&lt;Valeur name="valeur"&gt;0.21&lt;/Valeur&gt;</v>
      </c>
      <c r="AN146" t="str">
        <f t="shared" si="55"/>
        <v>&lt;Insert&gt;&lt;Valeur name="no"&gt;132&lt;/Valeur&gt;&lt;Valeur name="banque"&gt;1&lt;/Valeur&gt;&lt;Valeur name="pointer"&gt;1&lt;/Valeur&gt;&lt;Valeur name="idbanque"&gt;300760283626261100200EUR201903139222666200&lt;/Valeur&gt;&lt;Valeur name="datevaleur"&gt;2019/03/13&lt;/Valeur&gt;&lt;Valeur name="intitule"&gt;FRAIS E-VIR SEPA VERS EEE&lt;/Valeur&gt;&lt;Valeur name="description"&gt;&lt;/Valeur&gt;&lt;Valeur name="compte"&gt;18&lt;/Valeur&gt;&lt;Valeur name="solde"&gt;-4289.05&lt;/Valeur&gt;&lt;Valeur name="ventiler"&gt;0&lt;/Valeur&gt;&lt;Valeur name="compta"&gt;1&lt;/Valeur&gt;&lt;Valeur name="valeur"&gt;0.21&lt;/Valeur&gt;&lt;/Insert&gt;</v>
      </c>
    </row>
    <row r="147" spans="1:40" x14ac:dyDescent="0.25">
      <c r="A147" t="s">
        <v>74</v>
      </c>
      <c r="B147">
        <v>133</v>
      </c>
      <c r="C147" s="1">
        <v>43537</v>
      </c>
      <c r="D147">
        <v>1</v>
      </c>
      <c r="E147" t="str">
        <f>IF(F147&lt;&gt;"",INDEX(Balance!A:A,MATCH(F147,Balance!B:B,0)),"")</f>
        <v>Depense</v>
      </c>
      <c r="F147" t="s">
        <v>257</v>
      </c>
      <c r="G147" t="s">
        <v>31</v>
      </c>
      <c r="I147" s="10">
        <v>0.21</v>
      </c>
      <c r="K147" s="11">
        <f t="shared" si="46"/>
        <v>3.5000000000000003E-2</v>
      </c>
      <c r="L147" s="10">
        <f t="shared" si="47"/>
        <v>-4289.2600000000011</v>
      </c>
      <c r="N147">
        <v>133</v>
      </c>
      <c r="O147">
        <v>1</v>
      </c>
      <c r="P147">
        <v>1</v>
      </c>
      <c r="Q147" t="str">
        <f t="shared" si="48"/>
        <v>300760283626261100200EUR201903139222666300</v>
      </c>
      <c r="R147" s="16" t="s">
        <v>902</v>
      </c>
      <c r="S147" t="str">
        <f t="shared" si="49"/>
        <v>FRAIS E-VIR SEPA VERS EEE</v>
      </c>
      <c r="U147">
        <f>IFERROR(VLOOKUP(F147,tab!A:B,2,FALSE),1)</f>
        <v>18</v>
      </c>
      <c r="V147" s="14">
        <f t="shared" si="50"/>
        <v>-4289.2600000000011</v>
      </c>
      <c r="W147">
        <f t="shared" si="51"/>
        <v>0</v>
      </c>
      <c r="X147">
        <f t="shared" si="52"/>
        <v>1</v>
      </c>
      <c r="Y147" s="14">
        <f t="shared" si="53"/>
        <v>0.21</v>
      </c>
      <c r="AA147" t="str">
        <f t="shared" si="54"/>
        <v>&lt;Valeur name="no"&gt;133&lt;/Valeur&gt;</v>
      </c>
      <c r="AB147" t="str">
        <f t="shared" si="54"/>
        <v>&lt;Valeur name="banque"&gt;1&lt;/Valeur&gt;</v>
      </c>
      <c r="AC147" t="str">
        <f t="shared" si="56"/>
        <v>&lt;Valeur name="pointer"&gt;1&lt;/Valeur&gt;</v>
      </c>
      <c r="AD147" t="str">
        <f t="shared" si="57"/>
        <v>&lt;Valeur name="idbanque"&gt;300760283626261100200EUR201903139222666300&lt;/Valeur&gt;</v>
      </c>
      <c r="AE147" t="str">
        <f t="shared" si="58"/>
        <v>&lt;Valeur name="datevaleur"&gt;2019/03/13&lt;/Valeur&gt;</v>
      </c>
      <c r="AF147" t="str">
        <f t="shared" si="59"/>
        <v>&lt;Valeur name="intitule"&gt;FRAIS E-VIR SEPA VERS EEE&lt;/Valeur&gt;</v>
      </c>
      <c r="AG147" t="str">
        <f t="shared" si="60"/>
        <v>&lt;Valeur name="description"&gt;&lt;/Valeur&gt;</v>
      </c>
      <c r="AH147" t="str">
        <f t="shared" si="61"/>
        <v>&lt;Valeur name="compte"&gt;18&lt;/Valeur&gt;</v>
      </c>
      <c r="AI147" t="str">
        <f t="shared" si="62"/>
        <v>&lt;Valeur name="solde"&gt;-4289.26&lt;/Valeur&gt;</v>
      </c>
      <c r="AJ147" t="str">
        <f t="shared" si="63"/>
        <v>&lt;Valeur name="ventiler"&gt;0&lt;/Valeur&gt;</v>
      </c>
      <c r="AK147" t="str">
        <f t="shared" si="64"/>
        <v>&lt;Valeur name="compta"&gt;1&lt;/Valeur&gt;</v>
      </c>
      <c r="AL147" t="str">
        <f t="shared" si="65"/>
        <v>&lt;Valeur name="valeur"&gt;0.21&lt;/Valeur&gt;</v>
      </c>
      <c r="AN147" t="str">
        <f t="shared" si="55"/>
        <v>&lt;Insert&gt;&lt;Valeur name="no"&gt;133&lt;/Valeur&gt;&lt;Valeur name="banque"&gt;1&lt;/Valeur&gt;&lt;Valeur name="pointer"&gt;1&lt;/Valeur&gt;&lt;Valeur name="idbanque"&gt;300760283626261100200EUR201903139222666300&lt;/Valeur&gt;&lt;Valeur name="datevaleur"&gt;2019/03/13&lt;/Valeur&gt;&lt;Valeur name="intitule"&gt;FRAIS E-VIR SEPA VERS EEE&lt;/Valeur&gt;&lt;Valeur name="description"&gt;&lt;/Valeur&gt;&lt;Valeur name="compte"&gt;18&lt;/Valeur&gt;&lt;Valeur name="solde"&gt;-4289.26&lt;/Valeur&gt;&lt;Valeur name="ventiler"&gt;0&lt;/Valeur&gt;&lt;Valeur name="compta"&gt;1&lt;/Valeur&gt;&lt;Valeur name="valeur"&gt;0.21&lt;/Valeur&gt;&lt;/Insert&gt;</v>
      </c>
    </row>
    <row r="148" spans="1:40" x14ac:dyDescent="0.25">
      <c r="A148" t="s">
        <v>75</v>
      </c>
      <c r="B148">
        <v>134</v>
      </c>
      <c r="C148" s="1">
        <v>43537</v>
      </c>
      <c r="D148">
        <v>1</v>
      </c>
      <c r="E148" t="str">
        <f>IF(F148&lt;&gt;"",INDEX(Balance!A:A,MATCH(F148,Balance!B:B,0)),"")</f>
        <v>Depense</v>
      </c>
      <c r="F148" t="s">
        <v>257</v>
      </c>
      <c r="G148" t="s">
        <v>31</v>
      </c>
      <c r="I148" s="10">
        <v>0.21</v>
      </c>
      <c r="K148" s="11">
        <f t="shared" si="46"/>
        <v>3.5000000000000003E-2</v>
      </c>
      <c r="L148" s="10">
        <f t="shared" si="47"/>
        <v>-4289.4700000000012</v>
      </c>
      <c r="N148">
        <v>134</v>
      </c>
      <c r="O148">
        <v>1</v>
      </c>
      <c r="P148">
        <v>1</v>
      </c>
      <c r="Q148" t="str">
        <f t="shared" si="48"/>
        <v>300760283626261100200EUR201903139222666400</v>
      </c>
      <c r="R148" s="16" t="s">
        <v>902</v>
      </c>
      <c r="S148" t="str">
        <f t="shared" si="49"/>
        <v>FRAIS E-VIR SEPA VERS EEE</v>
      </c>
      <c r="U148">
        <f>IFERROR(VLOOKUP(F148,tab!A:B,2,FALSE),1)</f>
        <v>18</v>
      </c>
      <c r="V148" s="14">
        <f t="shared" si="50"/>
        <v>-4289.4700000000012</v>
      </c>
      <c r="W148">
        <f t="shared" si="51"/>
        <v>0</v>
      </c>
      <c r="X148">
        <f t="shared" si="52"/>
        <v>1</v>
      </c>
      <c r="Y148" s="14">
        <f t="shared" si="53"/>
        <v>0.21</v>
      </c>
      <c r="AA148" t="str">
        <f t="shared" si="54"/>
        <v>&lt;Valeur name="no"&gt;134&lt;/Valeur&gt;</v>
      </c>
      <c r="AB148" t="str">
        <f t="shared" si="54"/>
        <v>&lt;Valeur name="banque"&gt;1&lt;/Valeur&gt;</v>
      </c>
      <c r="AC148" t="str">
        <f t="shared" si="56"/>
        <v>&lt;Valeur name="pointer"&gt;1&lt;/Valeur&gt;</v>
      </c>
      <c r="AD148" t="str">
        <f t="shared" si="57"/>
        <v>&lt;Valeur name="idbanque"&gt;300760283626261100200EUR201903139222666400&lt;/Valeur&gt;</v>
      </c>
      <c r="AE148" t="str">
        <f t="shared" si="58"/>
        <v>&lt;Valeur name="datevaleur"&gt;2019/03/13&lt;/Valeur&gt;</v>
      </c>
      <c r="AF148" t="str">
        <f t="shared" si="59"/>
        <v>&lt;Valeur name="intitule"&gt;FRAIS E-VIR SEPA VERS EEE&lt;/Valeur&gt;</v>
      </c>
      <c r="AG148" t="str">
        <f t="shared" si="60"/>
        <v>&lt;Valeur name="description"&gt;&lt;/Valeur&gt;</v>
      </c>
      <c r="AH148" t="str">
        <f t="shared" si="61"/>
        <v>&lt;Valeur name="compte"&gt;18&lt;/Valeur&gt;</v>
      </c>
      <c r="AI148" t="str">
        <f t="shared" si="62"/>
        <v>&lt;Valeur name="solde"&gt;-4289.47&lt;/Valeur&gt;</v>
      </c>
      <c r="AJ148" t="str">
        <f t="shared" si="63"/>
        <v>&lt;Valeur name="ventiler"&gt;0&lt;/Valeur&gt;</v>
      </c>
      <c r="AK148" t="str">
        <f t="shared" si="64"/>
        <v>&lt;Valeur name="compta"&gt;1&lt;/Valeur&gt;</v>
      </c>
      <c r="AL148" t="str">
        <f t="shared" si="65"/>
        <v>&lt;Valeur name="valeur"&gt;0.21&lt;/Valeur&gt;</v>
      </c>
      <c r="AN148" t="str">
        <f t="shared" si="55"/>
        <v>&lt;Insert&gt;&lt;Valeur name="no"&gt;134&lt;/Valeur&gt;&lt;Valeur name="banque"&gt;1&lt;/Valeur&gt;&lt;Valeur name="pointer"&gt;1&lt;/Valeur&gt;&lt;Valeur name="idbanque"&gt;300760283626261100200EUR201903139222666400&lt;/Valeur&gt;&lt;Valeur name="datevaleur"&gt;2019/03/13&lt;/Valeur&gt;&lt;Valeur name="intitule"&gt;FRAIS E-VIR SEPA VERS EEE&lt;/Valeur&gt;&lt;Valeur name="description"&gt;&lt;/Valeur&gt;&lt;Valeur name="compte"&gt;18&lt;/Valeur&gt;&lt;Valeur name="solde"&gt;-4289.47&lt;/Valeur&gt;&lt;Valeur name="ventiler"&gt;0&lt;/Valeur&gt;&lt;Valeur name="compta"&gt;1&lt;/Valeur&gt;&lt;Valeur name="valeur"&gt;0.21&lt;/Valeur&gt;&lt;/Insert&gt;</v>
      </c>
    </row>
    <row r="149" spans="1:40" x14ac:dyDescent="0.25">
      <c r="A149" t="s">
        <v>55</v>
      </c>
      <c r="B149">
        <v>135</v>
      </c>
      <c r="C149" s="1">
        <v>43538</v>
      </c>
      <c r="D149">
        <v>1</v>
      </c>
      <c r="E149" t="str">
        <f>IF(F149&lt;&gt;"",INDEX(Balance!A:A,MATCH(F149,Balance!B:B,0)),"")</f>
        <v>Depense</v>
      </c>
      <c r="F149" t="s">
        <v>256</v>
      </c>
      <c r="G149" t="s">
        <v>56</v>
      </c>
      <c r="I149" s="10">
        <v>1774.11</v>
      </c>
      <c r="K149" s="11">
        <f t="shared" si="46"/>
        <v>295.68499999999995</v>
      </c>
      <c r="L149" s="10">
        <f t="shared" si="47"/>
        <v>-6063.5800000000008</v>
      </c>
      <c r="N149">
        <v>135</v>
      </c>
      <c r="O149">
        <v>1</v>
      </c>
      <c r="P149">
        <v>1</v>
      </c>
      <c r="Q149" t="str">
        <f t="shared" si="48"/>
        <v>300760283626261100200EUR201903140292147300</v>
      </c>
      <c r="R149" s="16" t="s">
        <v>879</v>
      </c>
      <c r="S149" t="str">
        <f t="shared" si="49"/>
        <v>E-VIR SEPA Salaire Alex fev 18</v>
      </c>
      <c r="U149">
        <f>IFERROR(VLOOKUP(F149,tab!A:B,2,FALSE),1)</f>
        <v>28</v>
      </c>
      <c r="V149" s="14">
        <f t="shared" si="50"/>
        <v>-6063.5800000000008</v>
      </c>
      <c r="W149">
        <f t="shared" si="51"/>
        <v>0</v>
      </c>
      <c r="X149">
        <f t="shared" si="52"/>
        <v>1</v>
      </c>
      <c r="Y149" s="14">
        <f t="shared" si="53"/>
        <v>1774.11</v>
      </c>
      <c r="AA149" t="str">
        <f t="shared" si="54"/>
        <v>&lt;Valeur name="no"&gt;135&lt;/Valeur&gt;</v>
      </c>
      <c r="AB149" t="str">
        <f t="shared" si="54"/>
        <v>&lt;Valeur name="banque"&gt;1&lt;/Valeur&gt;</v>
      </c>
      <c r="AC149" t="str">
        <f t="shared" si="56"/>
        <v>&lt;Valeur name="pointer"&gt;1&lt;/Valeur&gt;</v>
      </c>
      <c r="AD149" t="str">
        <f t="shared" si="57"/>
        <v>&lt;Valeur name="idbanque"&gt;300760283626261100200EUR201903140292147300&lt;/Valeur&gt;</v>
      </c>
      <c r="AE149" t="str">
        <f t="shared" si="58"/>
        <v>&lt;Valeur name="datevaleur"&gt;2019/03/14&lt;/Valeur&gt;</v>
      </c>
      <c r="AF149" t="str">
        <f t="shared" si="59"/>
        <v>&lt;Valeur name="intitule"&gt;E-VIR SEPA Salaire Alex fev 18&lt;/Valeur&gt;</v>
      </c>
      <c r="AG149" t="str">
        <f t="shared" si="60"/>
        <v>&lt;Valeur name="description"&gt;&lt;/Valeur&gt;</v>
      </c>
      <c r="AH149" t="str">
        <f t="shared" si="61"/>
        <v>&lt;Valeur name="compte"&gt;28&lt;/Valeur&gt;</v>
      </c>
      <c r="AI149" t="str">
        <f t="shared" si="62"/>
        <v>&lt;Valeur name="solde"&gt;-6063.58&lt;/Valeur&gt;</v>
      </c>
      <c r="AJ149" t="str">
        <f t="shared" si="63"/>
        <v>&lt;Valeur name="ventiler"&gt;0&lt;/Valeur&gt;</v>
      </c>
      <c r="AK149" t="str">
        <f t="shared" si="64"/>
        <v>&lt;Valeur name="compta"&gt;1&lt;/Valeur&gt;</v>
      </c>
      <c r="AL149" t="str">
        <f t="shared" si="65"/>
        <v>&lt;Valeur name="valeur"&gt;1774.11&lt;/Valeur&gt;</v>
      </c>
      <c r="AN149" t="str">
        <f t="shared" si="55"/>
        <v>&lt;Insert&gt;&lt;Valeur name="no"&gt;135&lt;/Valeur&gt;&lt;Valeur name="banque"&gt;1&lt;/Valeur&gt;&lt;Valeur name="pointer"&gt;1&lt;/Valeur&gt;&lt;Valeur name="idbanque"&gt;300760283626261100200EUR201903140292147300&lt;/Valeur&gt;&lt;Valeur name="datevaleur"&gt;2019/03/14&lt;/Valeur&gt;&lt;Valeur name="intitule"&gt;E-VIR SEPA Salaire Alex fev 18&lt;/Valeur&gt;&lt;Valeur name="description"&gt;&lt;/Valeur&gt;&lt;Valeur name="compte"&gt;28&lt;/Valeur&gt;&lt;Valeur name="solde"&gt;-6063.58&lt;/Valeur&gt;&lt;Valeur name="ventiler"&gt;0&lt;/Valeur&gt;&lt;Valeur name="compta"&gt;1&lt;/Valeur&gt;&lt;Valeur name="valeur"&gt;1774.11&lt;/Valeur&gt;&lt;/Insert&gt;</v>
      </c>
    </row>
    <row r="150" spans="1:40" x14ac:dyDescent="0.25">
      <c r="A150" t="s">
        <v>57</v>
      </c>
      <c r="B150">
        <v>136</v>
      </c>
      <c r="C150" s="1">
        <v>43538</v>
      </c>
      <c r="D150">
        <v>1</v>
      </c>
      <c r="E150" t="str">
        <f>IF(F150&lt;&gt;"",INDEX(Balance!A:A,MATCH(F150,Balance!B:B,0)),"")</f>
        <v>Depense</v>
      </c>
      <c r="F150" t="s">
        <v>256</v>
      </c>
      <c r="G150" t="s">
        <v>58</v>
      </c>
      <c r="I150" s="10">
        <v>2090.9699999999998</v>
      </c>
      <c r="K150" s="11">
        <f t="shared" si="46"/>
        <v>348.49499999999989</v>
      </c>
      <c r="L150" s="10">
        <f t="shared" si="47"/>
        <v>-8154.5500000000011</v>
      </c>
      <c r="N150">
        <v>136</v>
      </c>
      <c r="O150">
        <v>1</v>
      </c>
      <c r="P150">
        <v>1</v>
      </c>
      <c r="Q150" t="str">
        <f t="shared" si="48"/>
        <v>300760283626261100200EUR201903140292147400</v>
      </c>
      <c r="R150" s="16" t="s">
        <v>879</v>
      </c>
      <c r="S150" t="str">
        <f t="shared" si="49"/>
        <v>E-VIR SEPA Salaire Etienn f?v18</v>
      </c>
      <c r="U150">
        <f>IFERROR(VLOOKUP(F150,tab!A:B,2,FALSE),1)</f>
        <v>28</v>
      </c>
      <c r="V150" s="14">
        <f t="shared" si="50"/>
        <v>-8154.5500000000011</v>
      </c>
      <c r="W150">
        <f t="shared" si="51"/>
        <v>0</v>
      </c>
      <c r="X150">
        <f t="shared" si="52"/>
        <v>1</v>
      </c>
      <c r="Y150" s="14">
        <f t="shared" si="53"/>
        <v>2090.9699999999998</v>
      </c>
      <c r="AA150" t="str">
        <f t="shared" si="54"/>
        <v>&lt;Valeur name="no"&gt;136&lt;/Valeur&gt;</v>
      </c>
      <c r="AB150" t="str">
        <f t="shared" si="54"/>
        <v>&lt;Valeur name="banque"&gt;1&lt;/Valeur&gt;</v>
      </c>
      <c r="AC150" t="str">
        <f t="shared" si="56"/>
        <v>&lt;Valeur name="pointer"&gt;1&lt;/Valeur&gt;</v>
      </c>
      <c r="AD150" t="str">
        <f t="shared" si="57"/>
        <v>&lt;Valeur name="idbanque"&gt;300760283626261100200EUR201903140292147400&lt;/Valeur&gt;</v>
      </c>
      <c r="AE150" t="str">
        <f t="shared" si="58"/>
        <v>&lt;Valeur name="datevaleur"&gt;2019/03/14&lt;/Valeur&gt;</v>
      </c>
      <c r="AF150" t="str">
        <f t="shared" si="59"/>
        <v>&lt;Valeur name="intitule"&gt;E-VIR SEPA Salaire Etienn f?v18&lt;/Valeur&gt;</v>
      </c>
      <c r="AG150" t="str">
        <f t="shared" si="60"/>
        <v>&lt;Valeur name="description"&gt;&lt;/Valeur&gt;</v>
      </c>
      <c r="AH150" t="str">
        <f t="shared" si="61"/>
        <v>&lt;Valeur name="compte"&gt;28&lt;/Valeur&gt;</v>
      </c>
      <c r="AI150" t="str">
        <f t="shared" si="62"/>
        <v>&lt;Valeur name="solde"&gt;-8154.55&lt;/Valeur&gt;</v>
      </c>
      <c r="AJ150" t="str">
        <f t="shared" si="63"/>
        <v>&lt;Valeur name="ventiler"&gt;0&lt;/Valeur&gt;</v>
      </c>
      <c r="AK150" t="str">
        <f t="shared" si="64"/>
        <v>&lt;Valeur name="compta"&gt;1&lt;/Valeur&gt;</v>
      </c>
      <c r="AL150" t="str">
        <f t="shared" si="65"/>
        <v>&lt;Valeur name="valeur"&gt;2090.97&lt;/Valeur&gt;</v>
      </c>
      <c r="AN150" t="str">
        <f t="shared" si="55"/>
        <v>&lt;Insert&gt;&lt;Valeur name="no"&gt;136&lt;/Valeur&gt;&lt;Valeur name="banque"&gt;1&lt;/Valeur&gt;&lt;Valeur name="pointer"&gt;1&lt;/Valeur&gt;&lt;Valeur name="idbanque"&gt;300760283626261100200EUR201903140292147400&lt;/Valeur&gt;&lt;Valeur name="datevaleur"&gt;2019/03/14&lt;/Valeur&gt;&lt;Valeur name="intitule"&gt;E-VIR SEPA Salaire Etienn f?v18&lt;/Valeur&gt;&lt;Valeur name="description"&gt;&lt;/Valeur&gt;&lt;Valeur name="compte"&gt;28&lt;/Valeur&gt;&lt;Valeur name="solde"&gt;-8154.55&lt;/Valeur&gt;&lt;Valeur name="ventiler"&gt;0&lt;/Valeur&gt;&lt;Valeur name="compta"&gt;1&lt;/Valeur&gt;&lt;Valeur name="valeur"&gt;2090.97&lt;/Valeur&gt;&lt;/Insert&gt;</v>
      </c>
    </row>
    <row r="151" spans="1:40" x14ac:dyDescent="0.25">
      <c r="A151" t="s">
        <v>62</v>
      </c>
      <c r="B151">
        <v>137</v>
      </c>
      <c r="C151" s="1">
        <v>43538</v>
      </c>
      <c r="D151">
        <v>1</v>
      </c>
      <c r="E151" t="str">
        <f>IF(F151&lt;&gt;"",INDEX(Balance!A:A,MATCH(F151,Balance!B:B,0)),"")</f>
        <v>Depense</v>
      </c>
      <c r="F151" t="s">
        <v>254</v>
      </c>
      <c r="G151" t="s">
        <v>63</v>
      </c>
      <c r="I151" s="10">
        <v>47.3</v>
      </c>
      <c r="K151" s="11">
        <f t="shared" si="46"/>
        <v>7.8833333333333329</v>
      </c>
      <c r="L151" s="10">
        <f t="shared" si="47"/>
        <v>-8201.85</v>
      </c>
      <c r="N151">
        <v>137</v>
      </c>
      <c r="O151">
        <v>1</v>
      </c>
      <c r="P151">
        <v>1</v>
      </c>
      <c r="Q151" t="str">
        <f t="shared" si="48"/>
        <v>300760283626261100200EUR201903141073383600</v>
      </c>
      <c r="R151" s="16" t="s">
        <v>879</v>
      </c>
      <c r="S151" t="str">
        <f t="shared" si="49"/>
        <v>CB 548222 LE MATHYS   59AVESNES</v>
      </c>
      <c r="U151">
        <f>IFERROR(VLOOKUP(F151,tab!A:B,2,FALSE),1)</f>
        <v>27</v>
      </c>
      <c r="V151" s="14">
        <f t="shared" si="50"/>
        <v>-8201.85</v>
      </c>
      <c r="W151">
        <f t="shared" si="51"/>
        <v>0</v>
      </c>
      <c r="X151">
        <f t="shared" si="52"/>
        <v>1</v>
      </c>
      <c r="Y151" s="14">
        <f t="shared" si="53"/>
        <v>47.3</v>
      </c>
      <c r="AA151" t="str">
        <f t="shared" si="54"/>
        <v>&lt;Valeur name="no"&gt;137&lt;/Valeur&gt;</v>
      </c>
      <c r="AB151" t="str">
        <f t="shared" si="54"/>
        <v>&lt;Valeur name="banque"&gt;1&lt;/Valeur&gt;</v>
      </c>
      <c r="AC151" t="str">
        <f t="shared" si="56"/>
        <v>&lt;Valeur name="pointer"&gt;1&lt;/Valeur&gt;</v>
      </c>
      <c r="AD151" t="str">
        <f t="shared" si="57"/>
        <v>&lt;Valeur name="idbanque"&gt;300760283626261100200EUR201903141073383600&lt;/Valeur&gt;</v>
      </c>
      <c r="AE151" t="str">
        <f t="shared" si="58"/>
        <v>&lt;Valeur name="datevaleur"&gt;2019/03/14&lt;/Valeur&gt;</v>
      </c>
      <c r="AF151" t="str">
        <f t="shared" si="59"/>
        <v>&lt;Valeur name="intitule"&gt;CB 548222 LE MATHYS   59AVESNES&lt;/Valeur&gt;</v>
      </c>
      <c r="AG151" t="str">
        <f t="shared" si="60"/>
        <v>&lt;Valeur name="description"&gt;&lt;/Valeur&gt;</v>
      </c>
      <c r="AH151" t="str">
        <f t="shared" si="61"/>
        <v>&lt;Valeur name="compte"&gt;27&lt;/Valeur&gt;</v>
      </c>
      <c r="AI151" t="str">
        <f t="shared" si="62"/>
        <v>&lt;Valeur name="solde"&gt;-8201.85&lt;/Valeur&gt;</v>
      </c>
      <c r="AJ151" t="str">
        <f t="shared" si="63"/>
        <v>&lt;Valeur name="ventiler"&gt;0&lt;/Valeur&gt;</v>
      </c>
      <c r="AK151" t="str">
        <f t="shared" si="64"/>
        <v>&lt;Valeur name="compta"&gt;1&lt;/Valeur&gt;</v>
      </c>
      <c r="AL151" t="str">
        <f t="shared" si="65"/>
        <v>&lt;Valeur name="valeur"&gt;47.3&lt;/Valeur&gt;</v>
      </c>
      <c r="AN151" t="str">
        <f t="shared" si="55"/>
        <v>&lt;Insert&gt;&lt;Valeur name="no"&gt;137&lt;/Valeur&gt;&lt;Valeur name="banque"&gt;1&lt;/Valeur&gt;&lt;Valeur name="pointer"&gt;1&lt;/Valeur&gt;&lt;Valeur name="idbanque"&gt;300760283626261100200EUR201903141073383600&lt;/Valeur&gt;&lt;Valeur name="datevaleur"&gt;2019/03/14&lt;/Valeur&gt;&lt;Valeur name="intitule"&gt;CB 548222 LE MATHYS   59AVESNES&lt;/Valeur&gt;&lt;Valeur name="description"&gt;&lt;/Valeur&gt;&lt;Valeur name="compte"&gt;27&lt;/Valeur&gt;&lt;Valeur name="solde"&gt;-8201.85&lt;/Valeur&gt;&lt;Valeur name="ventiler"&gt;0&lt;/Valeur&gt;&lt;Valeur name="compta"&gt;1&lt;/Valeur&gt;&lt;Valeur name="valeur"&gt;47.3&lt;/Valeur&gt;&lt;/Insert&gt;</v>
      </c>
    </row>
    <row r="152" spans="1:40" x14ac:dyDescent="0.25">
      <c r="A152" t="s">
        <v>60</v>
      </c>
      <c r="B152">
        <v>138</v>
      </c>
      <c r="C152" s="1">
        <v>43538</v>
      </c>
      <c r="D152">
        <v>1</v>
      </c>
      <c r="E152" t="str">
        <f>IF(F152&lt;&gt;"",INDEX(Balance!A:A,MATCH(F152,Balance!B:B,0)),"")</f>
        <v>Fournisseurs</v>
      </c>
      <c r="F152" t="s">
        <v>294</v>
      </c>
      <c r="G152" t="s">
        <v>61</v>
      </c>
      <c r="I152" s="10">
        <v>10.29</v>
      </c>
      <c r="K152" s="11">
        <f t="shared" si="46"/>
        <v>1.7149999999999999</v>
      </c>
      <c r="L152" s="10">
        <f t="shared" si="47"/>
        <v>-8212.1400000000012</v>
      </c>
      <c r="N152">
        <v>138</v>
      </c>
      <c r="O152">
        <v>1</v>
      </c>
      <c r="P152">
        <v>1</v>
      </c>
      <c r="Q152" t="str">
        <f t="shared" si="48"/>
        <v>300760283626261100200EUR201903141077014800</v>
      </c>
      <c r="R152" s="16" t="s">
        <v>879</v>
      </c>
      <c r="S152" t="str">
        <f t="shared" si="49"/>
        <v>CB 454106 LEROY2C FAM 59FAMARS</v>
      </c>
      <c r="U152">
        <f>IFERROR(VLOOKUP(F152,tab!A:B,2,FALSE),1)</f>
        <v>83</v>
      </c>
      <c r="V152" s="14">
        <f t="shared" si="50"/>
        <v>-8212.1400000000012</v>
      </c>
      <c r="W152">
        <f t="shared" si="51"/>
        <v>0</v>
      </c>
      <c r="X152">
        <f t="shared" si="52"/>
        <v>1</v>
      </c>
      <c r="Y152" s="14">
        <f t="shared" si="53"/>
        <v>10.29</v>
      </c>
      <c r="AA152" t="str">
        <f t="shared" si="54"/>
        <v>&lt;Valeur name="no"&gt;138&lt;/Valeur&gt;</v>
      </c>
      <c r="AB152" t="str">
        <f t="shared" si="54"/>
        <v>&lt;Valeur name="banque"&gt;1&lt;/Valeur&gt;</v>
      </c>
      <c r="AC152" t="str">
        <f t="shared" si="56"/>
        <v>&lt;Valeur name="pointer"&gt;1&lt;/Valeur&gt;</v>
      </c>
      <c r="AD152" t="str">
        <f t="shared" si="57"/>
        <v>&lt;Valeur name="idbanque"&gt;300760283626261100200EUR201903141077014800&lt;/Valeur&gt;</v>
      </c>
      <c r="AE152" t="str">
        <f t="shared" si="58"/>
        <v>&lt;Valeur name="datevaleur"&gt;2019/03/14&lt;/Valeur&gt;</v>
      </c>
      <c r="AF152" t="str">
        <f t="shared" si="59"/>
        <v>&lt;Valeur name="intitule"&gt;CB 454106 LEROY2C FAM 59FAMARS&lt;/Valeur&gt;</v>
      </c>
      <c r="AG152" t="str">
        <f t="shared" si="60"/>
        <v>&lt;Valeur name="description"&gt;&lt;/Valeur&gt;</v>
      </c>
      <c r="AH152" t="str">
        <f t="shared" si="61"/>
        <v>&lt;Valeur name="compte"&gt;83&lt;/Valeur&gt;</v>
      </c>
      <c r="AI152" t="str">
        <f t="shared" si="62"/>
        <v>&lt;Valeur name="solde"&gt;-8212.14&lt;/Valeur&gt;</v>
      </c>
      <c r="AJ152" t="str">
        <f t="shared" si="63"/>
        <v>&lt;Valeur name="ventiler"&gt;0&lt;/Valeur&gt;</v>
      </c>
      <c r="AK152" t="str">
        <f t="shared" si="64"/>
        <v>&lt;Valeur name="compta"&gt;1&lt;/Valeur&gt;</v>
      </c>
      <c r="AL152" t="str">
        <f t="shared" si="65"/>
        <v>&lt;Valeur name="valeur"&gt;10.29&lt;/Valeur&gt;</v>
      </c>
      <c r="AN152" t="str">
        <f t="shared" si="55"/>
        <v>&lt;Insert&gt;&lt;Valeur name="no"&gt;138&lt;/Valeur&gt;&lt;Valeur name="banque"&gt;1&lt;/Valeur&gt;&lt;Valeur name="pointer"&gt;1&lt;/Valeur&gt;&lt;Valeur name="idbanque"&gt;300760283626261100200EUR201903141077014800&lt;/Valeur&gt;&lt;Valeur name="datevaleur"&gt;2019/03/14&lt;/Valeur&gt;&lt;Valeur name="intitule"&gt;CB 454106 LEROY2C FAM 59FAMARS&lt;/Valeur&gt;&lt;Valeur name="description"&gt;&lt;/Valeur&gt;&lt;Valeur name="compte"&gt;83&lt;/Valeur&gt;&lt;Valeur name="solde"&gt;-8212.14&lt;/Valeur&gt;&lt;Valeur name="ventiler"&gt;0&lt;/Valeur&gt;&lt;Valeur name="compta"&gt;1&lt;/Valeur&gt;&lt;Valeur name="valeur"&gt;10.29&lt;/Valeur&gt;&lt;/Insert&gt;</v>
      </c>
    </row>
    <row r="153" spans="1:40" x14ac:dyDescent="0.25">
      <c r="A153" t="s">
        <v>64</v>
      </c>
      <c r="B153">
        <v>139</v>
      </c>
      <c r="C153" s="1">
        <v>43538</v>
      </c>
      <c r="E153" t="str">
        <f>IF(F153&lt;&gt;"",INDEX(Balance!A:A,MATCH(F153,Balance!B:B,0)),"")</f>
        <v>Client</v>
      </c>
      <c r="F153" t="s">
        <v>379</v>
      </c>
      <c r="G153" t="s">
        <v>65</v>
      </c>
      <c r="H153" t="s">
        <v>66</v>
      </c>
      <c r="J153" s="10">
        <v>6486</v>
      </c>
      <c r="K153" s="11">
        <f t="shared" si="46"/>
        <v>-1081</v>
      </c>
      <c r="L153" s="10">
        <f t="shared" si="47"/>
        <v>-1726.1400000000012</v>
      </c>
      <c r="N153">
        <v>139</v>
      </c>
      <c r="O153">
        <v>1</v>
      </c>
      <c r="P153">
        <v>1</v>
      </c>
      <c r="Q153" t="str">
        <f t="shared" si="48"/>
        <v>300760283626261100200EUR201903146313646500</v>
      </c>
      <c r="R153" s="16" t="s">
        <v>879</v>
      </c>
      <c r="S153" t="str">
        <f t="shared" si="49"/>
        <v>VIR TRESORERIE ARRAS MUNICIP / FAC. AF244-1 DU 29/11/2018PROTOT</v>
      </c>
      <c r="U153">
        <f>IFERROR(VLOOKUP(F153,tab!A:B,2,FALSE),1)</f>
        <v>4</v>
      </c>
      <c r="V153" s="14">
        <f t="shared" si="50"/>
        <v>-1726.1400000000012</v>
      </c>
      <c r="W153">
        <f t="shared" si="51"/>
        <v>0</v>
      </c>
      <c r="X153" t="str">
        <f t="shared" si="52"/>
        <v/>
      </c>
      <c r="Y153" s="14">
        <f t="shared" si="53"/>
        <v>6486</v>
      </c>
      <c r="AA153" t="str">
        <f t="shared" si="54"/>
        <v>&lt;Valeur name="no"&gt;139&lt;/Valeur&gt;</v>
      </c>
      <c r="AB153" t="str">
        <f t="shared" si="54"/>
        <v>&lt;Valeur name="banque"&gt;1&lt;/Valeur&gt;</v>
      </c>
      <c r="AC153" t="str">
        <f t="shared" si="56"/>
        <v>&lt;Valeur name="pointer"&gt;1&lt;/Valeur&gt;</v>
      </c>
      <c r="AD153" t="str">
        <f t="shared" si="57"/>
        <v>&lt;Valeur name="idbanque"&gt;300760283626261100200EUR201903146313646500&lt;/Valeur&gt;</v>
      </c>
      <c r="AE153" t="str">
        <f t="shared" si="58"/>
        <v>&lt;Valeur name="datevaleur"&gt;2019/03/14&lt;/Valeur&gt;</v>
      </c>
      <c r="AF153" t="str">
        <f t="shared" si="59"/>
        <v>&lt;Valeur name="intitule"&gt;VIR TRESORERIE ARRAS MUNICIP / FAC. AF244-1 DU 29/11/2018PROTOT&lt;/Valeur&gt;</v>
      </c>
      <c r="AG153" t="str">
        <f t="shared" si="60"/>
        <v>&lt;Valeur name="description"&gt;&lt;/Valeur&gt;</v>
      </c>
      <c r="AH153" t="str">
        <f t="shared" si="61"/>
        <v>&lt;Valeur name="compte"&gt;4&lt;/Valeur&gt;</v>
      </c>
      <c r="AI153" t="str">
        <f t="shared" si="62"/>
        <v>&lt;Valeur name="solde"&gt;-1726.14&lt;/Valeur&gt;</v>
      </c>
      <c r="AJ153" t="str">
        <f t="shared" si="63"/>
        <v>&lt;Valeur name="ventiler"&gt;0&lt;/Valeur&gt;</v>
      </c>
      <c r="AK153" t="str">
        <f t="shared" si="64"/>
        <v>&lt;Valeur name="compta"&gt;&lt;/Valeur&gt;</v>
      </c>
      <c r="AL153" t="str">
        <f t="shared" si="65"/>
        <v>&lt;Valeur name="valeur"&gt;6486&lt;/Valeur&gt;</v>
      </c>
      <c r="AN153" t="str">
        <f t="shared" si="55"/>
        <v>&lt;Insert&gt;&lt;Valeur name="no"&gt;139&lt;/Valeur&gt;&lt;Valeur name="banque"&gt;1&lt;/Valeur&gt;&lt;Valeur name="pointer"&gt;1&lt;/Valeur&gt;&lt;Valeur name="idbanque"&gt;300760283626261100200EUR201903146313646500&lt;/Valeur&gt;&lt;Valeur name="datevaleur"&gt;2019/03/14&lt;/Valeur&gt;&lt;Valeur name="intitule"&gt;VIR TRESORERIE ARRAS MUNICIP / FAC. AF244-1 DU 29/11/2018PROTOT&lt;/Valeur&gt;&lt;Valeur name="description"&gt;&lt;/Valeur&gt;&lt;Valeur name="compte"&gt;4&lt;/Valeur&gt;&lt;Valeur name="solde"&gt;-1726.14&lt;/Valeur&gt;&lt;Valeur name="ventiler"&gt;0&lt;/Valeur&gt;&lt;Valeur name="compta"&gt;&lt;/Valeur&gt;&lt;Valeur name="valeur"&gt;6486&lt;/Valeur&gt;&lt;/Insert&gt;</v>
      </c>
    </row>
    <row r="154" spans="1:40" x14ac:dyDescent="0.25">
      <c r="A154" t="s">
        <v>59</v>
      </c>
      <c r="B154">
        <v>140</v>
      </c>
      <c r="C154" s="1">
        <v>43538</v>
      </c>
      <c r="D154">
        <v>1</v>
      </c>
      <c r="E154" t="str">
        <f>IF(F154&lt;&gt;"",INDEX(Balance!A:A,MATCH(F154,Balance!B:B,0)),"")</f>
        <v>Depense</v>
      </c>
      <c r="F154" t="s">
        <v>257</v>
      </c>
      <c r="G154" t="s">
        <v>31</v>
      </c>
      <c r="I154" s="10">
        <v>0.21</v>
      </c>
      <c r="K154" s="11">
        <f t="shared" si="46"/>
        <v>3.5000000000000003E-2</v>
      </c>
      <c r="L154" s="10">
        <f t="shared" si="47"/>
        <v>-1726.3500000000013</v>
      </c>
      <c r="N154">
        <v>140</v>
      </c>
      <c r="O154">
        <v>1</v>
      </c>
      <c r="P154">
        <v>1</v>
      </c>
      <c r="Q154" t="str">
        <f t="shared" si="48"/>
        <v>300760283626261100200EUR201903149222513600</v>
      </c>
      <c r="R154" s="16" t="s">
        <v>879</v>
      </c>
      <c r="S154" t="str">
        <f t="shared" si="49"/>
        <v>FRAIS E-VIR SEPA VERS EEE</v>
      </c>
      <c r="U154">
        <f>IFERROR(VLOOKUP(F154,tab!A:B,2,FALSE),1)</f>
        <v>18</v>
      </c>
      <c r="V154" s="14">
        <f t="shared" si="50"/>
        <v>-1726.3500000000013</v>
      </c>
      <c r="W154">
        <f t="shared" si="51"/>
        <v>0</v>
      </c>
      <c r="X154">
        <f t="shared" si="52"/>
        <v>1</v>
      </c>
      <c r="Y154" s="14">
        <f t="shared" si="53"/>
        <v>0.21</v>
      </c>
      <c r="AA154" t="str">
        <f t="shared" si="54"/>
        <v>&lt;Valeur name="no"&gt;140&lt;/Valeur&gt;</v>
      </c>
      <c r="AB154" t="str">
        <f t="shared" si="54"/>
        <v>&lt;Valeur name="banque"&gt;1&lt;/Valeur&gt;</v>
      </c>
      <c r="AC154" t="str">
        <f t="shared" si="56"/>
        <v>&lt;Valeur name="pointer"&gt;1&lt;/Valeur&gt;</v>
      </c>
      <c r="AD154" t="str">
        <f t="shared" si="57"/>
        <v>&lt;Valeur name="idbanque"&gt;300760283626261100200EUR201903149222513600&lt;/Valeur&gt;</v>
      </c>
      <c r="AE154" t="str">
        <f t="shared" si="58"/>
        <v>&lt;Valeur name="datevaleur"&gt;2019/03/14&lt;/Valeur&gt;</v>
      </c>
      <c r="AF154" t="str">
        <f t="shared" si="59"/>
        <v>&lt;Valeur name="intitule"&gt;FRAIS E-VIR SEPA VERS EEE&lt;/Valeur&gt;</v>
      </c>
      <c r="AG154" t="str">
        <f t="shared" si="60"/>
        <v>&lt;Valeur name="description"&gt;&lt;/Valeur&gt;</v>
      </c>
      <c r="AH154" t="str">
        <f t="shared" si="61"/>
        <v>&lt;Valeur name="compte"&gt;18&lt;/Valeur&gt;</v>
      </c>
      <c r="AI154" t="str">
        <f t="shared" si="62"/>
        <v>&lt;Valeur name="solde"&gt;-1726.35&lt;/Valeur&gt;</v>
      </c>
      <c r="AJ154" t="str">
        <f t="shared" si="63"/>
        <v>&lt;Valeur name="ventiler"&gt;0&lt;/Valeur&gt;</v>
      </c>
      <c r="AK154" t="str">
        <f t="shared" si="64"/>
        <v>&lt;Valeur name="compta"&gt;1&lt;/Valeur&gt;</v>
      </c>
      <c r="AL154" t="str">
        <f t="shared" si="65"/>
        <v>&lt;Valeur name="valeur"&gt;0.21&lt;/Valeur&gt;</v>
      </c>
      <c r="AN154" t="str">
        <f t="shared" si="55"/>
        <v>&lt;Insert&gt;&lt;Valeur name="no"&gt;140&lt;/Valeur&gt;&lt;Valeur name="banque"&gt;1&lt;/Valeur&gt;&lt;Valeur name="pointer"&gt;1&lt;/Valeur&gt;&lt;Valeur name="idbanque"&gt;300760283626261100200EUR201903149222513600&lt;/Valeur&gt;&lt;Valeur name="datevaleur"&gt;2019/03/14&lt;/Valeur&gt;&lt;Valeur name="intitule"&gt;FRAIS E-VIR SEPA VERS EEE&lt;/Valeur&gt;&lt;Valeur name="description"&gt;&lt;/Valeur&gt;&lt;Valeur name="compte"&gt;18&lt;/Valeur&gt;&lt;Valeur name="solde"&gt;-1726.35&lt;/Valeur&gt;&lt;Valeur name="ventiler"&gt;0&lt;/Valeur&gt;&lt;Valeur name="compta"&gt;1&lt;/Valeur&gt;&lt;Valeur name="valeur"&gt;0.21&lt;/Valeur&gt;&lt;/Insert&gt;</v>
      </c>
    </row>
    <row r="155" spans="1:40" x14ac:dyDescent="0.25">
      <c r="A155" t="s">
        <v>53</v>
      </c>
      <c r="B155">
        <v>141</v>
      </c>
      <c r="C155" s="1">
        <v>43539</v>
      </c>
      <c r="E155" t="str">
        <f>IF(F155&lt;&gt;"",INDEX(Balance!A:A,MATCH(F155,Balance!B:B,0)),"")</f>
        <v/>
      </c>
      <c r="G155" t="s">
        <v>54</v>
      </c>
      <c r="I155" s="10">
        <v>2836.71</v>
      </c>
      <c r="K155" s="11">
        <f t="shared" si="46"/>
        <v>472.78499999999985</v>
      </c>
      <c r="L155" s="10">
        <f t="shared" si="47"/>
        <v>-4563.0600000000013</v>
      </c>
      <c r="N155">
        <v>141</v>
      </c>
      <c r="O155">
        <v>1</v>
      </c>
      <c r="P155">
        <v>1</v>
      </c>
      <c r="Q155" t="str">
        <f t="shared" si="48"/>
        <v>300760283626261100200EUR201903150910923300</v>
      </c>
      <c r="R155" s="16" t="s">
        <v>905</v>
      </c>
      <c r="S155" t="str">
        <f t="shared" si="49"/>
        <v>RELEVE LCR DU  080319  CONFORME</v>
      </c>
      <c r="U155">
        <f>IFERROR(VLOOKUP(F155,tab!A:B,2,FALSE),1)</f>
        <v>1</v>
      </c>
      <c r="V155" s="14">
        <f t="shared" si="50"/>
        <v>-4563.0600000000013</v>
      </c>
      <c r="W155">
        <f t="shared" si="51"/>
        <v>1</v>
      </c>
      <c r="X155" t="str">
        <f t="shared" si="52"/>
        <v/>
      </c>
      <c r="Y155" s="14">
        <f t="shared" si="53"/>
        <v>2836.71</v>
      </c>
      <c r="AA155" t="str">
        <f t="shared" si="54"/>
        <v>&lt;Valeur name="no"&gt;141&lt;/Valeur&gt;</v>
      </c>
      <c r="AB155" t="str">
        <f t="shared" si="54"/>
        <v>&lt;Valeur name="banque"&gt;1&lt;/Valeur&gt;</v>
      </c>
      <c r="AC155" t="str">
        <f t="shared" si="56"/>
        <v>&lt;Valeur name="pointer"&gt;1&lt;/Valeur&gt;</v>
      </c>
      <c r="AD155" t="str">
        <f t="shared" si="57"/>
        <v>&lt;Valeur name="idbanque"&gt;300760283626261100200EUR201903150910923300&lt;/Valeur&gt;</v>
      </c>
      <c r="AE155" t="str">
        <f t="shared" si="58"/>
        <v>&lt;Valeur name="datevaleur"&gt;2019/03/15&lt;/Valeur&gt;</v>
      </c>
      <c r="AF155" t="str">
        <f t="shared" si="59"/>
        <v>&lt;Valeur name="intitule"&gt;RELEVE LCR DU  080319  CONFORME&lt;/Valeur&gt;</v>
      </c>
      <c r="AG155" t="str">
        <f t="shared" si="60"/>
        <v>&lt;Valeur name="description"&gt;&lt;/Valeur&gt;</v>
      </c>
      <c r="AH155" t="str">
        <f t="shared" si="61"/>
        <v>&lt;Valeur name="compte"&gt;1&lt;/Valeur&gt;</v>
      </c>
      <c r="AI155" t="str">
        <f t="shared" si="62"/>
        <v>&lt;Valeur name="solde"&gt;-4563.06&lt;/Valeur&gt;</v>
      </c>
      <c r="AJ155" t="str">
        <f t="shared" si="63"/>
        <v>&lt;Valeur name="ventiler"&gt;1&lt;/Valeur&gt;</v>
      </c>
      <c r="AK155" t="str">
        <f t="shared" si="64"/>
        <v>&lt;Valeur name="compta"&gt;&lt;/Valeur&gt;</v>
      </c>
      <c r="AL155" t="str">
        <f t="shared" si="65"/>
        <v>&lt;Valeur name="valeur"&gt;2836.71&lt;/Valeur&gt;</v>
      </c>
      <c r="AN155" t="str">
        <f t="shared" si="55"/>
        <v>&lt;Insert&gt;&lt;Valeur name="no"&gt;141&lt;/Valeur&gt;&lt;Valeur name="banque"&gt;1&lt;/Valeur&gt;&lt;Valeur name="pointer"&gt;1&lt;/Valeur&gt;&lt;Valeur name="idbanque"&gt;300760283626261100200EUR201903150910923300&lt;/Valeur&gt;&lt;Valeur name="datevaleur"&gt;2019/03/15&lt;/Valeur&gt;&lt;Valeur name="intitule"&gt;RELEVE LCR DU  080319  CONFORME&lt;/Valeur&gt;&lt;Valeur name="description"&gt;&lt;/Valeur&gt;&lt;Valeur name="compte"&gt;1&lt;/Valeur&gt;&lt;Valeur name="solde"&gt;-4563.06&lt;/Valeur&gt;&lt;Valeur name="ventiler"&gt;1&lt;/Valeur&gt;&lt;Valeur name="compta"&gt;&lt;/Valeur&gt;&lt;Valeur name="valeur"&gt;2836.71&lt;/Valeur&gt;&lt;/Insert&gt;</v>
      </c>
    </row>
    <row r="156" spans="1:40" x14ac:dyDescent="0.25">
      <c r="C156" s="1"/>
      <c r="E156" t="str">
        <f>IF(F156&lt;&gt;"",INDEX(Balance!A:A,MATCH(F156,Balance!B:B,0)),"")</f>
        <v>Fournisseurs</v>
      </c>
      <c r="F156" t="s">
        <v>268</v>
      </c>
      <c r="I156" s="10">
        <v>666.31</v>
      </c>
      <c r="O156">
        <v>1</v>
      </c>
      <c r="P156">
        <v>1</v>
      </c>
      <c r="Q156">
        <f t="shared" si="48"/>
        <v>0</v>
      </c>
      <c r="R156" s="16" t="s">
        <v>874</v>
      </c>
      <c r="S156" t="str">
        <f t="shared" si="49"/>
        <v/>
      </c>
      <c r="U156">
        <f>IFERROR(VLOOKUP(F156,tab!A:B,2,FALSE),1)</f>
        <v>106</v>
      </c>
      <c r="V156" s="14">
        <f t="shared" si="50"/>
        <v>0</v>
      </c>
      <c r="W156">
        <f t="shared" si="51"/>
        <v>1</v>
      </c>
      <c r="X156" t="str">
        <f t="shared" si="52"/>
        <v/>
      </c>
      <c r="Y156" s="14">
        <f t="shared" si="53"/>
        <v>666.31</v>
      </c>
      <c r="AA156" t="str">
        <f t="shared" si="54"/>
        <v/>
      </c>
      <c r="AB156" t="str">
        <f t="shared" si="54"/>
        <v/>
      </c>
      <c r="AC156" t="str">
        <f t="shared" si="56"/>
        <v/>
      </c>
      <c r="AD156" t="str">
        <f t="shared" si="57"/>
        <v/>
      </c>
      <c r="AE156" t="str">
        <f t="shared" si="58"/>
        <v/>
      </c>
      <c r="AF156" t="str">
        <f t="shared" si="59"/>
        <v/>
      </c>
      <c r="AG156" t="str">
        <f t="shared" si="60"/>
        <v/>
      </c>
      <c r="AH156" t="str">
        <f t="shared" si="61"/>
        <v/>
      </c>
      <c r="AI156" t="str">
        <f t="shared" si="62"/>
        <v/>
      </c>
      <c r="AJ156" t="str">
        <f t="shared" si="63"/>
        <v/>
      </c>
      <c r="AK156" t="str">
        <f t="shared" si="64"/>
        <v/>
      </c>
      <c r="AL156" t="str">
        <f t="shared" si="65"/>
        <v/>
      </c>
      <c r="AN156" t="str">
        <f t="shared" si="55"/>
        <v/>
      </c>
    </row>
    <row r="157" spans="1:40" x14ac:dyDescent="0.25">
      <c r="C157" s="1"/>
      <c r="E157" t="str">
        <f>IF(F157&lt;&gt;"",INDEX(Balance!A:A,MATCH(F157,Balance!B:B,0)),"")</f>
        <v>Fournisseurs</v>
      </c>
      <c r="F157" t="s">
        <v>295</v>
      </c>
      <c r="I157" s="10">
        <v>2170.4</v>
      </c>
      <c r="O157">
        <v>1</v>
      </c>
      <c r="P157">
        <v>1</v>
      </c>
      <c r="Q157">
        <f t="shared" si="48"/>
        <v>0</v>
      </c>
      <c r="R157" s="16" t="s">
        <v>874</v>
      </c>
      <c r="S157" t="str">
        <f t="shared" si="49"/>
        <v/>
      </c>
      <c r="U157">
        <f>IFERROR(VLOOKUP(F157,tab!A:B,2,FALSE),1)</f>
        <v>117</v>
      </c>
      <c r="V157" s="14">
        <f t="shared" si="50"/>
        <v>0</v>
      </c>
      <c r="W157">
        <f t="shared" si="51"/>
        <v>0</v>
      </c>
      <c r="X157" t="str">
        <f t="shared" si="52"/>
        <v/>
      </c>
      <c r="Y157" s="14">
        <f t="shared" si="53"/>
        <v>2170.4</v>
      </c>
      <c r="AA157" t="str">
        <f t="shared" si="54"/>
        <v/>
      </c>
      <c r="AB157" t="str">
        <f t="shared" si="54"/>
        <v/>
      </c>
      <c r="AC157" t="str">
        <f t="shared" si="56"/>
        <v/>
      </c>
      <c r="AD157" t="str">
        <f t="shared" si="57"/>
        <v/>
      </c>
      <c r="AE157" t="str">
        <f t="shared" si="58"/>
        <v/>
      </c>
      <c r="AF157" t="str">
        <f t="shared" si="59"/>
        <v/>
      </c>
      <c r="AG157" t="str">
        <f t="shared" si="60"/>
        <v/>
      </c>
      <c r="AH157" t="str">
        <f t="shared" si="61"/>
        <v/>
      </c>
      <c r="AI157" t="str">
        <f t="shared" si="62"/>
        <v/>
      </c>
      <c r="AJ157" t="str">
        <f t="shared" si="63"/>
        <v/>
      </c>
      <c r="AK157" t="str">
        <f t="shared" si="64"/>
        <v/>
      </c>
      <c r="AL157" t="str">
        <f t="shared" si="65"/>
        <v/>
      </c>
      <c r="AN157" t="str">
        <f t="shared" si="55"/>
        <v/>
      </c>
    </row>
    <row r="158" spans="1:40" x14ac:dyDescent="0.25">
      <c r="A158" t="s">
        <v>51</v>
      </c>
      <c r="B158">
        <v>142</v>
      </c>
      <c r="C158" s="1">
        <v>43539</v>
      </c>
      <c r="D158">
        <v>1</v>
      </c>
      <c r="E158" t="str">
        <f>IF(F158&lt;&gt;"",INDEX(Balance!A:A,MATCH(F158,Balance!B:B,0)),"")</f>
        <v>Depense</v>
      </c>
      <c r="F158" t="s">
        <v>267</v>
      </c>
      <c r="G158" t="s">
        <v>52</v>
      </c>
      <c r="I158" s="10">
        <v>162</v>
      </c>
      <c r="K158" s="11">
        <f t="shared" ref="K158:K166" si="66">IF(I158&gt;0,I158-(I158/TVA),-(J158-(J158/TVA)))</f>
        <v>27</v>
      </c>
      <c r="L158" s="10">
        <f>L155-I158+J158</f>
        <v>-4725.0600000000013</v>
      </c>
      <c r="N158">
        <v>142</v>
      </c>
      <c r="O158">
        <v>1</v>
      </c>
      <c r="P158">
        <v>1</v>
      </c>
      <c r="Q158" t="str">
        <f t="shared" si="48"/>
        <v>300760283626261100200EUR201903156331072000</v>
      </c>
      <c r="R158" s="16" t="s">
        <v>905</v>
      </c>
      <c r="S158" t="str">
        <f t="shared" si="49"/>
        <v>PRLV SEPA MMA IARD SA-MMA IARD</v>
      </c>
      <c r="U158">
        <f>IFERROR(VLOOKUP(F158,tab!A:B,2,FALSE),1)</f>
        <v>12</v>
      </c>
      <c r="V158" s="14">
        <f t="shared" si="50"/>
        <v>-4725.0600000000013</v>
      </c>
      <c r="W158">
        <f t="shared" si="51"/>
        <v>0</v>
      </c>
      <c r="X158">
        <f t="shared" si="52"/>
        <v>1</v>
      </c>
      <c r="Y158" s="14">
        <f t="shared" si="53"/>
        <v>162</v>
      </c>
      <c r="AA158" t="str">
        <f t="shared" si="54"/>
        <v>&lt;Valeur name="no"&gt;142&lt;/Valeur&gt;</v>
      </c>
      <c r="AB158" t="str">
        <f t="shared" si="54"/>
        <v>&lt;Valeur name="banque"&gt;1&lt;/Valeur&gt;</v>
      </c>
      <c r="AC158" t="str">
        <f t="shared" si="56"/>
        <v>&lt;Valeur name="pointer"&gt;1&lt;/Valeur&gt;</v>
      </c>
      <c r="AD158" t="str">
        <f t="shared" si="57"/>
        <v>&lt;Valeur name="idbanque"&gt;300760283626261100200EUR201903156331072000&lt;/Valeur&gt;</v>
      </c>
      <c r="AE158" t="str">
        <f t="shared" si="58"/>
        <v>&lt;Valeur name="datevaleur"&gt;2019/03/15&lt;/Valeur&gt;</v>
      </c>
      <c r="AF158" t="str">
        <f t="shared" si="59"/>
        <v>&lt;Valeur name="intitule"&gt;PRLV SEPA MMA IARD SA-MMA IARD&lt;/Valeur&gt;</v>
      </c>
      <c r="AG158" t="str">
        <f t="shared" si="60"/>
        <v>&lt;Valeur name="description"&gt;&lt;/Valeur&gt;</v>
      </c>
      <c r="AH158" t="str">
        <f t="shared" si="61"/>
        <v>&lt;Valeur name="compte"&gt;12&lt;/Valeur&gt;</v>
      </c>
      <c r="AI158" t="str">
        <f t="shared" si="62"/>
        <v>&lt;Valeur name="solde"&gt;-4725.06&lt;/Valeur&gt;</v>
      </c>
      <c r="AJ158" t="str">
        <f t="shared" si="63"/>
        <v>&lt;Valeur name="ventiler"&gt;0&lt;/Valeur&gt;</v>
      </c>
      <c r="AK158" t="str">
        <f t="shared" si="64"/>
        <v>&lt;Valeur name="compta"&gt;1&lt;/Valeur&gt;</v>
      </c>
      <c r="AL158" t="str">
        <f t="shared" si="65"/>
        <v>&lt;Valeur name="valeur"&gt;162&lt;/Valeur&gt;</v>
      </c>
      <c r="AN158" t="str">
        <f t="shared" si="55"/>
        <v>&lt;Insert&gt;&lt;Valeur name="no"&gt;142&lt;/Valeur&gt;&lt;Valeur name="banque"&gt;1&lt;/Valeur&gt;&lt;Valeur name="pointer"&gt;1&lt;/Valeur&gt;&lt;Valeur name="idbanque"&gt;300760283626261100200EUR201903156331072000&lt;/Valeur&gt;&lt;Valeur name="datevaleur"&gt;2019/03/15&lt;/Valeur&gt;&lt;Valeur name="intitule"&gt;PRLV SEPA MMA IARD SA-MMA IARD&lt;/Valeur&gt;&lt;Valeur name="description"&gt;&lt;/Valeur&gt;&lt;Valeur name="compte"&gt;12&lt;/Valeur&gt;&lt;Valeur name="solde"&gt;-4725.06&lt;/Valeur&gt;&lt;Valeur name="ventiler"&gt;0&lt;/Valeur&gt;&lt;Valeur name="compta"&gt;1&lt;/Valeur&gt;&lt;Valeur name="valeur"&gt;162&lt;/Valeur&gt;&lt;/Insert&gt;</v>
      </c>
    </row>
    <row r="159" spans="1:40" x14ac:dyDescent="0.25">
      <c r="A159" t="s">
        <v>49</v>
      </c>
      <c r="B159">
        <v>143</v>
      </c>
      <c r="C159" s="1">
        <v>43539</v>
      </c>
      <c r="D159">
        <v>1</v>
      </c>
      <c r="E159" t="str">
        <f>IF(F159&lt;&gt;"",INDEX(Balance!A:A,MATCH(F159,Balance!B:B,0)),"")</f>
        <v>Depense</v>
      </c>
      <c r="F159" t="s">
        <v>257</v>
      </c>
      <c r="G159" t="s">
        <v>31</v>
      </c>
      <c r="I159" s="10">
        <v>0.21</v>
      </c>
      <c r="K159" s="11">
        <f t="shared" si="66"/>
        <v>3.5000000000000003E-2</v>
      </c>
      <c r="L159" s="10">
        <f t="shared" ref="L159:L166" si="67">L158-I159+J159</f>
        <v>-4725.2700000000013</v>
      </c>
      <c r="N159">
        <v>143</v>
      </c>
      <c r="O159">
        <v>1</v>
      </c>
      <c r="P159">
        <v>1</v>
      </c>
      <c r="Q159" t="str">
        <f t="shared" si="48"/>
        <v>300760283626261100200EUR201903159226010400</v>
      </c>
      <c r="R159" s="16" t="s">
        <v>905</v>
      </c>
      <c r="S159" t="str">
        <f t="shared" si="49"/>
        <v>FRAIS E-VIR SEPA VERS EEE</v>
      </c>
      <c r="U159">
        <f>IFERROR(VLOOKUP(F159,tab!A:B,2,FALSE),1)</f>
        <v>18</v>
      </c>
      <c r="V159" s="14">
        <f t="shared" si="50"/>
        <v>-4725.2700000000013</v>
      </c>
      <c r="W159">
        <f t="shared" si="51"/>
        <v>0</v>
      </c>
      <c r="X159">
        <f t="shared" si="52"/>
        <v>1</v>
      </c>
      <c r="Y159" s="14">
        <f t="shared" si="53"/>
        <v>0.21</v>
      </c>
      <c r="AA159" t="str">
        <f t="shared" si="54"/>
        <v>&lt;Valeur name="no"&gt;143&lt;/Valeur&gt;</v>
      </c>
      <c r="AB159" t="str">
        <f t="shared" si="54"/>
        <v>&lt;Valeur name="banque"&gt;1&lt;/Valeur&gt;</v>
      </c>
      <c r="AC159" t="str">
        <f t="shared" si="56"/>
        <v>&lt;Valeur name="pointer"&gt;1&lt;/Valeur&gt;</v>
      </c>
      <c r="AD159" t="str">
        <f t="shared" si="57"/>
        <v>&lt;Valeur name="idbanque"&gt;300760283626261100200EUR201903159226010400&lt;/Valeur&gt;</v>
      </c>
      <c r="AE159" t="str">
        <f t="shared" si="58"/>
        <v>&lt;Valeur name="datevaleur"&gt;2019/03/15&lt;/Valeur&gt;</v>
      </c>
      <c r="AF159" t="str">
        <f t="shared" si="59"/>
        <v>&lt;Valeur name="intitule"&gt;FRAIS E-VIR SEPA VERS EEE&lt;/Valeur&gt;</v>
      </c>
      <c r="AG159" t="str">
        <f t="shared" si="60"/>
        <v>&lt;Valeur name="description"&gt;&lt;/Valeur&gt;</v>
      </c>
      <c r="AH159" t="str">
        <f t="shared" si="61"/>
        <v>&lt;Valeur name="compte"&gt;18&lt;/Valeur&gt;</v>
      </c>
      <c r="AI159" t="str">
        <f t="shared" si="62"/>
        <v>&lt;Valeur name="solde"&gt;-4725.27&lt;/Valeur&gt;</v>
      </c>
      <c r="AJ159" t="str">
        <f t="shared" si="63"/>
        <v>&lt;Valeur name="ventiler"&gt;0&lt;/Valeur&gt;</v>
      </c>
      <c r="AK159" t="str">
        <f t="shared" si="64"/>
        <v>&lt;Valeur name="compta"&gt;1&lt;/Valeur&gt;</v>
      </c>
      <c r="AL159" t="str">
        <f t="shared" si="65"/>
        <v>&lt;Valeur name="valeur"&gt;0.21&lt;/Valeur&gt;</v>
      </c>
      <c r="AN159" t="str">
        <f t="shared" si="55"/>
        <v>&lt;Insert&gt;&lt;Valeur name="no"&gt;143&lt;/Valeur&gt;&lt;Valeur name="banque"&gt;1&lt;/Valeur&gt;&lt;Valeur name="pointer"&gt;1&lt;/Valeur&gt;&lt;Valeur name="idbanque"&gt;300760283626261100200EUR201903159226010400&lt;/Valeur&gt;&lt;Valeur name="datevaleur"&gt;2019/03/15&lt;/Valeur&gt;&lt;Valeur name="intitule"&gt;FRAIS E-VIR SEPA VERS EEE&lt;/Valeur&gt;&lt;Valeur name="description"&gt;&lt;/Valeur&gt;&lt;Valeur name="compte"&gt;18&lt;/Valeur&gt;&lt;Valeur name="solde"&gt;-4725.27&lt;/Valeur&gt;&lt;Valeur name="ventiler"&gt;0&lt;/Valeur&gt;&lt;Valeur name="compta"&gt;1&lt;/Valeur&gt;&lt;Valeur name="valeur"&gt;0.21&lt;/Valeur&gt;&lt;/Insert&gt;</v>
      </c>
    </row>
    <row r="160" spans="1:40" x14ac:dyDescent="0.25">
      <c r="A160" t="s">
        <v>50</v>
      </c>
      <c r="B160">
        <v>144</v>
      </c>
      <c r="C160" s="1">
        <v>43539</v>
      </c>
      <c r="D160">
        <v>1</v>
      </c>
      <c r="E160" t="str">
        <f>IF(F160&lt;&gt;"",INDEX(Balance!A:A,MATCH(F160,Balance!B:B,0)),"")</f>
        <v>Depense</v>
      </c>
      <c r="F160" t="s">
        <v>257</v>
      </c>
      <c r="G160" t="s">
        <v>31</v>
      </c>
      <c r="I160" s="10">
        <v>0.21</v>
      </c>
      <c r="K160" s="11">
        <f t="shared" si="66"/>
        <v>3.5000000000000003E-2</v>
      </c>
      <c r="L160" s="10">
        <f t="shared" si="67"/>
        <v>-4725.4800000000014</v>
      </c>
      <c r="N160">
        <v>144</v>
      </c>
      <c r="O160">
        <v>1</v>
      </c>
      <c r="P160">
        <v>1</v>
      </c>
      <c r="Q160" t="str">
        <f t="shared" si="48"/>
        <v>300760283626261100200EUR201903159226010500</v>
      </c>
      <c r="R160" s="16" t="s">
        <v>905</v>
      </c>
      <c r="S160" t="str">
        <f t="shared" si="49"/>
        <v>FRAIS E-VIR SEPA VERS EEE</v>
      </c>
      <c r="U160">
        <f>IFERROR(VLOOKUP(F160,tab!A:B,2,FALSE),1)</f>
        <v>18</v>
      </c>
      <c r="V160" s="14">
        <f t="shared" si="50"/>
        <v>-4725.4800000000014</v>
      </c>
      <c r="W160">
        <f t="shared" si="51"/>
        <v>0</v>
      </c>
      <c r="X160">
        <f t="shared" si="52"/>
        <v>1</v>
      </c>
      <c r="Y160" s="14">
        <f t="shared" si="53"/>
        <v>0.21</v>
      </c>
      <c r="AA160" t="str">
        <f t="shared" si="54"/>
        <v>&lt;Valeur name="no"&gt;144&lt;/Valeur&gt;</v>
      </c>
      <c r="AB160" t="str">
        <f t="shared" si="54"/>
        <v>&lt;Valeur name="banque"&gt;1&lt;/Valeur&gt;</v>
      </c>
      <c r="AC160" t="str">
        <f t="shared" si="56"/>
        <v>&lt;Valeur name="pointer"&gt;1&lt;/Valeur&gt;</v>
      </c>
      <c r="AD160" t="str">
        <f t="shared" si="57"/>
        <v>&lt;Valeur name="idbanque"&gt;300760283626261100200EUR201903159226010500&lt;/Valeur&gt;</v>
      </c>
      <c r="AE160" t="str">
        <f t="shared" si="58"/>
        <v>&lt;Valeur name="datevaleur"&gt;2019/03/15&lt;/Valeur&gt;</v>
      </c>
      <c r="AF160" t="str">
        <f t="shared" si="59"/>
        <v>&lt;Valeur name="intitule"&gt;FRAIS E-VIR SEPA VERS EEE&lt;/Valeur&gt;</v>
      </c>
      <c r="AG160" t="str">
        <f t="shared" si="60"/>
        <v>&lt;Valeur name="description"&gt;&lt;/Valeur&gt;</v>
      </c>
      <c r="AH160" t="str">
        <f t="shared" si="61"/>
        <v>&lt;Valeur name="compte"&gt;18&lt;/Valeur&gt;</v>
      </c>
      <c r="AI160" t="str">
        <f t="shared" si="62"/>
        <v>&lt;Valeur name="solde"&gt;-4725.48&lt;/Valeur&gt;</v>
      </c>
      <c r="AJ160" t="str">
        <f t="shared" si="63"/>
        <v>&lt;Valeur name="ventiler"&gt;0&lt;/Valeur&gt;</v>
      </c>
      <c r="AK160" t="str">
        <f t="shared" si="64"/>
        <v>&lt;Valeur name="compta"&gt;1&lt;/Valeur&gt;</v>
      </c>
      <c r="AL160" t="str">
        <f t="shared" si="65"/>
        <v>&lt;Valeur name="valeur"&gt;0.21&lt;/Valeur&gt;</v>
      </c>
      <c r="AN160" t="str">
        <f t="shared" si="55"/>
        <v>&lt;Insert&gt;&lt;Valeur name="no"&gt;144&lt;/Valeur&gt;&lt;Valeur name="banque"&gt;1&lt;/Valeur&gt;&lt;Valeur name="pointer"&gt;1&lt;/Valeur&gt;&lt;Valeur name="idbanque"&gt;300760283626261100200EUR201903159226010500&lt;/Valeur&gt;&lt;Valeur name="datevaleur"&gt;2019/03/15&lt;/Valeur&gt;&lt;Valeur name="intitule"&gt;FRAIS E-VIR SEPA VERS EEE&lt;/Valeur&gt;&lt;Valeur name="description"&gt;&lt;/Valeur&gt;&lt;Valeur name="compte"&gt;18&lt;/Valeur&gt;&lt;Valeur name="solde"&gt;-4725.48&lt;/Valeur&gt;&lt;Valeur name="ventiler"&gt;0&lt;/Valeur&gt;&lt;Valeur name="compta"&gt;1&lt;/Valeur&gt;&lt;Valeur name="valeur"&gt;0.21&lt;/Valeur&gt;&lt;/Insert&gt;</v>
      </c>
    </row>
    <row r="161" spans="1:40" x14ac:dyDescent="0.25">
      <c r="A161" t="s">
        <v>39</v>
      </c>
      <c r="B161">
        <v>145</v>
      </c>
      <c r="C161" s="1">
        <v>43542</v>
      </c>
      <c r="E161" t="str">
        <f>IF(F161&lt;&gt;"",INDEX(Balance!A:A,MATCH(F161,Balance!B:B,0)),"")</f>
        <v>Fournisseurs</v>
      </c>
      <c r="F161" t="s">
        <v>265</v>
      </c>
      <c r="G161" t="s">
        <v>40</v>
      </c>
      <c r="I161" s="10">
        <v>1488</v>
      </c>
      <c r="K161" s="11">
        <f t="shared" si="66"/>
        <v>248</v>
      </c>
      <c r="L161" s="10">
        <f t="shared" si="67"/>
        <v>-6213.4800000000014</v>
      </c>
      <c r="N161">
        <v>145</v>
      </c>
      <c r="O161">
        <v>1</v>
      </c>
      <c r="P161">
        <v>1</v>
      </c>
      <c r="Q161" t="str">
        <f t="shared" si="48"/>
        <v>300760283626261100200EUR201903180294486000</v>
      </c>
      <c r="R161" s="16" t="s">
        <v>903</v>
      </c>
      <c r="S161" t="str">
        <f t="shared" si="49"/>
        <v>E-VIR SEPA Hedon Vds + Thery</v>
      </c>
      <c r="U161">
        <f>IFERROR(VLOOKUP(F161,tab!A:B,2,FALSE),1)</f>
        <v>70</v>
      </c>
      <c r="V161" s="14">
        <f t="shared" si="50"/>
        <v>-6213.4800000000014</v>
      </c>
      <c r="W161">
        <f t="shared" si="51"/>
        <v>0</v>
      </c>
      <c r="X161" t="str">
        <f t="shared" si="52"/>
        <v/>
      </c>
      <c r="Y161" s="14">
        <f t="shared" si="53"/>
        <v>1488</v>
      </c>
      <c r="AA161" t="str">
        <f t="shared" si="54"/>
        <v>&lt;Valeur name="no"&gt;145&lt;/Valeur&gt;</v>
      </c>
      <c r="AB161" t="str">
        <f t="shared" si="54"/>
        <v>&lt;Valeur name="banque"&gt;1&lt;/Valeur&gt;</v>
      </c>
      <c r="AC161" t="str">
        <f t="shared" si="56"/>
        <v>&lt;Valeur name="pointer"&gt;1&lt;/Valeur&gt;</v>
      </c>
      <c r="AD161" t="str">
        <f t="shared" si="57"/>
        <v>&lt;Valeur name="idbanque"&gt;300760283626261100200EUR201903180294486000&lt;/Valeur&gt;</v>
      </c>
      <c r="AE161" t="str">
        <f t="shared" si="58"/>
        <v>&lt;Valeur name="datevaleur"&gt;2019/03/18&lt;/Valeur&gt;</v>
      </c>
      <c r="AF161" t="str">
        <f t="shared" si="59"/>
        <v>&lt;Valeur name="intitule"&gt;E-VIR SEPA Hedon Vds + Thery&lt;/Valeur&gt;</v>
      </c>
      <c r="AG161" t="str">
        <f t="shared" si="60"/>
        <v>&lt;Valeur name="description"&gt;&lt;/Valeur&gt;</v>
      </c>
      <c r="AH161" t="str">
        <f t="shared" si="61"/>
        <v>&lt;Valeur name="compte"&gt;70&lt;/Valeur&gt;</v>
      </c>
      <c r="AI161" t="str">
        <f t="shared" si="62"/>
        <v>&lt;Valeur name="solde"&gt;-6213.48&lt;/Valeur&gt;</v>
      </c>
      <c r="AJ161" t="str">
        <f t="shared" si="63"/>
        <v>&lt;Valeur name="ventiler"&gt;0&lt;/Valeur&gt;</v>
      </c>
      <c r="AK161" t="str">
        <f t="shared" si="64"/>
        <v>&lt;Valeur name="compta"&gt;&lt;/Valeur&gt;</v>
      </c>
      <c r="AL161" t="str">
        <f t="shared" si="65"/>
        <v>&lt;Valeur name="valeur"&gt;1488&lt;/Valeur&gt;</v>
      </c>
      <c r="AN161" t="str">
        <f t="shared" si="55"/>
        <v>&lt;Insert&gt;&lt;Valeur name="no"&gt;145&lt;/Valeur&gt;&lt;Valeur name="banque"&gt;1&lt;/Valeur&gt;&lt;Valeur name="pointer"&gt;1&lt;/Valeur&gt;&lt;Valeur name="idbanque"&gt;300760283626261100200EUR201903180294486000&lt;/Valeur&gt;&lt;Valeur name="datevaleur"&gt;2019/03/18&lt;/Valeur&gt;&lt;Valeur name="intitule"&gt;E-VIR SEPA Hedon Vds + Thery&lt;/Valeur&gt;&lt;Valeur name="description"&gt;&lt;/Valeur&gt;&lt;Valeur name="compte"&gt;70&lt;/Valeur&gt;&lt;Valeur name="solde"&gt;-6213.48&lt;/Valeur&gt;&lt;Valeur name="ventiler"&gt;0&lt;/Valeur&gt;&lt;Valeur name="compta"&gt;&lt;/Valeur&gt;&lt;Valeur name="valeur"&gt;1488&lt;/Valeur&gt;&lt;/Insert&gt;</v>
      </c>
    </row>
    <row r="162" spans="1:40" x14ac:dyDescent="0.25">
      <c r="A162" t="s">
        <v>41</v>
      </c>
      <c r="B162">
        <v>146</v>
      </c>
      <c r="C162" s="1">
        <v>43542</v>
      </c>
      <c r="D162">
        <v>1</v>
      </c>
      <c r="E162" t="str">
        <f>IF(F162&lt;&gt;"",INDEX(Balance!A:A,MATCH(F162,Balance!B:B,0)),"")</f>
        <v>Fournisseurs</v>
      </c>
      <c r="F162" t="s">
        <v>376</v>
      </c>
      <c r="G162" t="s">
        <v>42</v>
      </c>
      <c r="I162" s="10">
        <v>9.99</v>
      </c>
      <c r="K162" s="11">
        <f t="shared" si="66"/>
        <v>1.6649999999999991</v>
      </c>
      <c r="L162" s="10">
        <f t="shared" si="67"/>
        <v>-6223.4700000000012</v>
      </c>
      <c r="N162">
        <v>146</v>
      </c>
      <c r="O162">
        <v>1</v>
      </c>
      <c r="P162">
        <v>1</v>
      </c>
      <c r="Q162" t="str">
        <f t="shared" si="48"/>
        <v>300760283626261100200EUR201903181074851200</v>
      </c>
      <c r="R162" s="16" t="s">
        <v>903</v>
      </c>
      <c r="S162" t="str">
        <f t="shared" si="49"/>
        <v>CB 548222 GOOGLE GOOG GB   9,99</v>
      </c>
      <c r="U162">
        <f>IFERROR(VLOOKUP(F162,tab!A:B,2,FALSE),1)</f>
        <v>69</v>
      </c>
      <c r="V162" s="14">
        <f t="shared" si="50"/>
        <v>-6223.4700000000012</v>
      </c>
      <c r="W162">
        <f t="shared" si="51"/>
        <v>0</v>
      </c>
      <c r="X162">
        <f t="shared" si="52"/>
        <v>1</v>
      </c>
      <c r="Y162" s="14">
        <f t="shared" si="53"/>
        <v>9.99</v>
      </c>
      <c r="AA162" t="str">
        <f t="shared" si="54"/>
        <v>&lt;Valeur name="no"&gt;146&lt;/Valeur&gt;</v>
      </c>
      <c r="AB162" t="str">
        <f t="shared" si="54"/>
        <v>&lt;Valeur name="banque"&gt;1&lt;/Valeur&gt;</v>
      </c>
      <c r="AC162" t="str">
        <f t="shared" si="56"/>
        <v>&lt;Valeur name="pointer"&gt;1&lt;/Valeur&gt;</v>
      </c>
      <c r="AD162" t="str">
        <f t="shared" si="57"/>
        <v>&lt;Valeur name="idbanque"&gt;300760283626261100200EUR201903181074851200&lt;/Valeur&gt;</v>
      </c>
      <c r="AE162" t="str">
        <f t="shared" si="58"/>
        <v>&lt;Valeur name="datevaleur"&gt;2019/03/18&lt;/Valeur&gt;</v>
      </c>
      <c r="AF162" t="str">
        <f t="shared" si="59"/>
        <v>&lt;Valeur name="intitule"&gt;CB 548222 GOOGLE GOOG GB   9,99&lt;/Valeur&gt;</v>
      </c>
      <c r="AG162" t="str">
        <f t="shared" si="60"/>
        <v>&lt;Valeur name="description"&gt;&lt;/Valeur&gt;</v>
      </c>
      <c r="AH162" t="str">
        <f t="shared" si="61"/>
        <v>&lt;Valeur name="compte"&gt;69&lt;/Valeur&gt;</v>
      </c>
      <c r="AI162" t="str">
        <f t="shared" si="62"/>
        <v>&lt;Valeur name="solde"&gt;-6223.47&lt;/Valeur&gt;</v>
      </c>
      <c r="AJ162" t="str">
        <f t="shared" si="63"/>
        <v>&lt;Valeur name="ventiler"&gt;0&lt;/Valeur&gt;</v>
      </c>
      <c r="AK162" t="str">
        <f t="shared" si="64"/>
        <v>&lt;Valeur name="compta"&gt;1&lt;/Valeur&gt;</v>
      </c>
      <c r="AL162" t="str">
        <f t="shared" si="65"/>
        <v>&lt;Valeur name="valeur"&gt;9.99&lt;/Valeur&gt;</v>
      </c>
      <c r="AN162" t="str">
        <f t="shared" si="55"/>
        <v>&lt;Insert&gt;&lt;Valeur name="no"&gt;146&lt;/Valeur&gt;&lt;Valeur name="banque"&gt;1&lt;/Valeur&gt;&lt;Valeur name="pointer"&gt;1&lt;/Valeur&gt;&lt;Valeur name="idbanque"&gt;300760283626261100200EUR201903181074851200&lt;/Valeur&gt;&lt;Valeur name="datevaleur"&gt;2019/03/18&lt;/Valeur&gt;&lt;Valeur name="intitule"&gt;CB 548222 GOOGLE GOOG GB   9,99&lt;/Valeur&gt;&lt;Valeur name="description"&gt;&lt;/Valeur&gt;&lt;Valeur name="compte"&gt;69&lt;/Valeur&gt;&lt;Valeur name="solde"&gt;-6223.47&lt;/Valeur&gt;&lt;Valeur name="ventiler"&gt;0&lt;/Valeur&gt;&lt;Valeur name="compta"&gt;1&lt;/Valeur&gt;&lt;Valeur name="valeur"&gt;9.99&lt;/Valeur&gt;&lt;/Insert&gt;</v>
      </c>
    </row>
    <row r="163" spans="1:40" x14ac:dyDescent="0.25">
      <c r="A163" t="s">
        <v>43</v>
      </c>
      <c r="B163">
        <v>147</v>
      </c>
      <c r="C163" s="1">
        <v>43542</v>
      </c>
      <c r="D163">
        <v>1</v>
      </c>
      <c r="E163" t="str">
        <f>IF(F163&lt;&gt;"",INDEX(Balance!A:A,MATCH(F163,Balance!B:B,0)),"")</f>
        <v>Depense</v>
      </c>
      <c r="F163" t="s">
        <v>254</v>
      </c>
      <c r="G163" t="s">
        <v>11</v>
      </c>
      <c r="I163" s="10">
        <v>11</v>
      </c>
      <c r="K163" s="11">
        <f t="shared" si="66"/>
        <v>1.8333333333333321</v>
      </c>
      <c r="L163" s="10">
        <f t="shared" si="67"/>
        <v>-6234.4700000000012</v>
      </c>
      <c r="N163">
        <v>147</v>
      </c>
      <c r="O163">
        <v>1</v>
      </c>
      <c r="P163">
        <v>1</v>
      </c>
      <c r="Q163" t="str">
        <f t="shared" si="48"/>
        <v>300760283626261100200EUR201903181077422300</v>
      </c>
      <c r="R163" s="16" t="s">
        <v>903</v>
      </c>
      <c r="S163" t="str">
        <f t="shared" si="49"/>
        <v>CB 548222 SARRASINE   59FAMARS</v>
      </c>
      <c r="U163">
        <f>IFERROR(VLOOKUP(F163,tab!A:B,2,FALSE),1)</f>
        <v>27</v>
      </c>
      <c r="V163" s="14">
        <f t="shared" si="50"/>
        <v>-6234.4700000000012</v>
      </c>
      <c r="W163">
        <f t="shared" si="51"/>
        <v>0</v>
      </c>
      <c r="X163">
        <f t="shared" si="52"/>
        <v>1</v>
      </c>
      <c r="Y163" s="14">
        <f t="shared" si="53"/>
        <v>11</v>
      </c>
      <c r="AA163" t="str">
        <f t="shared" si="54"/>
        <v>&lt;Valeur name="no"&gt;147&lt;/Valeur&gt;</v>
      </c>
      <c r="AB163" t="str">
        <f t="shared" si="54"/>
        <v>&lt;Valeur name="banque"&gt;1&lt;/Valeur&gt;</v>
      </c>
      <c r="AC163" t="str">
        <f t="shared" si="56"/>
        <v>&lt;Valeur name="pointer"&gt;1&lt;/Valeur&gt;</v>
      </c>
      <c r="AD163" t="str">
        <f t="shared" si="57"/>
        <v>&lt;Valeur name="idbanque"&gt;300760283626261100200EUR201903181077422300&lt;/Valeur&gt;</v>
      </c>
      <c r="AE163" t="str">
        <f t="shared" si="58"/>
        <v>&lt;Valeur name="datevaleur"&gt;2019/03/18&lt;/Valeur&gt;</v>
      </c>
      <c r="AF163" t="str">
        <f t="shared" si="59"/>
        <v>&lt;Valeur name="intitule"&gt;CB 548222 SARRASINE   59FAMARS&lt;/Valeur&gt;</v>
      </c>
      <c r="AG163" t="str">
        <f t="shared" si="60"/>
        <v>&lt;Valeur name="description"&gt;&lt;/Valeur&gt;</v>
      </c>
      <c r="AH163" t="str">
        <f t="shared" si="61"/>
        <v>&lt;Valeur name="compte"&gt;27&lt;/Valeur&gt;</v>
      </c>
      <c r="AI163" t="str">
        <f t="shared" si="62"/>
        <v>&lt;Valeur name="solde"&gt;-6234.47&lt;/Valeur&gt;</v>
      </c>
      <c r="AJ163" t="str">
        <f t="shared" si="63"/>
        <v>&lt;Valeur name="ventiler"&gt;0&lt;/Valeur&gt;</v>
      </c>
      <c r="AK163" t="str">
        <f t="shared" si="64"/>
        <v>&lt;Valeur name="compta"&gt;1&lt;/Valeur&gt;</v>
      </c>
      <c r="AL163" t="str">
        <f t="shared" si="65"/>
        <v>&lt;Valeur name="valeur"&gt;11&lt;/Valeur&gt;</v>
      </c>
      <c r="AN163" t="str">
        <f t="shared" si="55"/>
        <v>&lt;Insert&gt;&lt;Valeur name="no"&gt;147&lt;/Valeur&gt;&lt;Valeur name="banque"&gt;1&lt;/Valeur&gt;&lt;Valeur name="pointer"&gt;1&lt;/Valeur&gt;&lt;Valeur name="idbanque"&gt;300760283626261100200EUR201903181077422300&lt;/Valeur&gt;&lt;Valeur name="datevaleur"&gt;2019/03/18&lt;/Valeur&gt;&lt;Valeur name="intitule"&gt;CB 548222 SARRASINE   59FAMARS&lt;/Valeur&gt;&lt;Valeur name="description"&gt;&lt;/Valeur&gt;&lt;Valeur name="compte"&gt;27&lt;/Valeur&gt;&lt;Valeur name="solde"&gt;-6234.47&lt;/Valeur&gt;&lt;Valeur name="ventiler"&gt;0&lt;/Valeur&gt;&lt;Valeur name="compta"&gt;1&lt;/Valeur&gt;&lt;Valeur name="valeur"&gt;11&lt;/Valeur&gt;&lt;/Insert&gt;</v>
      </c>
    </row>
    <row r="164" spans="1:40" x14ac:dyDescent="0.25">
      <c r="A164" t="s">
        <v>44</v>
      </c>
      <c r="B164">
        <v>148</v>
      </c>
      <c r="C164" s="1">
        <v>43542</v>
      </c>
      <c r="D164">
        <v>1</v>
      </c>
      <c r="E164" t="str">
        <f>IF(F164&lt;&gt;"",INDEX(Balance!A:A,MATCH(F164,Balance!B:B,0)),"")</f>
        <v>Depense</v>
      </c>
      <c r="F164" t="s">
        <v>253</v>
      </c>
      <c r="G164" t="s">
        <v>45</v>
      </c>
      <c r="I164" s="10">
        <v>79.17</v>
      </c>
      <c r="K164" s="11">
        <f t="shared" si="66"/>
        <v>13.194999999999993</v>
      </c>
      <c r="L164" s="10">
        <f t="shared" si="67"/>
        <v>-6313.6400000000012</v>
      </c>
      <c r="N164">
        <v>148</v>
      </c>
      <c r="O164">
        <v>1</v>
      </c>
      <c r="P164">
        <v>1</v>
      </c>
      <c r="Q164" t="str">
        <f t="shared" si="48"/>
        <v>300760283626261100200EUR201903181077422400</v>
      </c>
      <c r="R164" s="16" t="s">
        <v>903</v>
      </c>
      <c r="S164" t="str">
        <f t="shared" si="49"/>
        <v>CB 548222 SA DISTRIFI 59LILLE</v>
      </c>
      <c r="U164">
        <f>IFERROR(VLOOKUP(F164,tab!A:B,2,FALSE),1)</f>
        <v>13</v>
      </c>
      <c r="V164" s="14">
        <f t="shared" si="50"/>
        <v>-6313.6400000000012</v>
      </c>
      <c r="W164">
        <f t="shared" si="51"/>
        <v>0</v>
      </c>
      <c r="X164">
        <f t="shared" si="52"/>
        <v>1</v>
      </c>
      <c r="Y164" s="14">
        <f t="shared" si="53"/>
        <v>79.17</v>
      </c>
      <c r="AA164" t="str">
        <f t="shared" si="54"/>
        <v>&lt;Valeur name="no"&gt;148&lt;/Valeur&gt;</v>
      </c>
      <c r="AB164" t="str">
        <f t="shared" si="54"/>
        <v>&lt;Valeur name="banque"&gt;1&lt;/Valeur&gt;</v>
      </c>
      <c r="AC164" t="str">
        <f t="shared" si="56"/>
        <v>&lt;Valeur name="pointer"&gt;1&lt;/Valeur&gt;</v>
      </c>
      <c r="AD164" t="str">
        <f t="shared" si="57"/>
        <v>&lt;Valeur name="idbanque"&gt;300760283626261100200EUR201903181077422400&lt;/Valeur&gt;</v>
      </c>
      <c r="AE164" t="str">
        <f t="shared" si="58"/>
        <v>&lt;Valeur name="datevaleur"&gt;2019/03/18&lt;/Valeur&gt;</v>
      </c>
      <c r="AF164" t="str">
        <f t="shared" si="59"/>
        <v>&lt;Valeur name="intitule"&gt;CB 548222 SA DISTRIFI 59LILLE&lt;/Valeur&gt;</v>
      </c>
      <c r="AG164" t="str">
        <f t="shared" si="60"/>
        <v>&lt;Valeur name="description"&gt;&lt;/Valeur&gt;</v>
      </c>
      <c r="AH164" t="str">
        <f t="shared" si="61"/>
        <v>&lt;Valeur name="compte"&gt;13&lt;/Valeur&gt;</v>
      </c>
      <c r="AI164" t="str">
        <f t="shared" si="62"/>
        <v>&lt;Valeur name="solde"&gt;-6313.64&lt;/Valeur&gt;</v>
      </c>
      <c r="AJ164" t="str">
        <f t="shared" si="63"/>
        <v>&lt;Valeur name="ventiler"&gt;0&lt;/Valeur&gt;</v>
      </c>
      <c r="AK164" t="str">
        <f t="shared" si="64"/>
        <v>&lt;Valeur name="compta"&gt;1&lt;/Valeur&gt;</v>
      </c>
      <c r="AL164" t="str">
        <f t="shared" si="65"/>
        <v>&lt;Valeur name="valeur"&gt;79.17&lt;/Valeur&gt;</v>
      </c>
      <c r="AN164" t="str">
        <f t="shared" si="55"/>
        <v>&lt;Insert&gt;&lt;Valeur name="no"&gt;148&lt;/Valeur&gt;&lt;Valeur name="banque"&gt;1&lt;/Valeur&gt;&lt;Valeur name="pointer"&gt;1&lt;/Valeur&gt;&lt;Valeur name="idbanque"&gt;300760283626261100200EUR201903181077422400&lt;/Valeur&gt;&lt;Valeur name="datevaleur"&gt;2019/03/18&lt;/Valeur&gt;&lt;Valeur name="intitule"&gt;CB 548222 SA DISTRIFI 59LILLE&lt;/Valeur&gt;&lt;Valeur name="description"&gt;&lt;/Valeur&gt;&lt;Valeur name="compte"&gt;13&lt;/Valeur&gt;&lt;Valeur name="solde"&gt;-6313.64&lt;/Valeur&gt;&lt;Valeur name="ventiler"&gt;0&lt;/Valeur&gt;&lt;Valeur name="compta"&gt;1&lt;/Valeur&gt;&lt;Valeur name="valeur"&gt;79.17&lt;/Valeur&gt;&lt;/Insert&gt;</v>
      </c>
    </row>
    <row r="165" spans="1:40" x14ac:dyDescent="0.25">
      <c r="A165" t="s">
        <v>46</v>
      </c>
      <c r="B165">
        <v>149</v>
      </c>
      <c r="C165" s="1">
        <v>43542</v>
      </c>
      <c r="D165">
        <v>1</v>
      </c>
      <c r="E165" t="str">
        <f>IF(F165&lt;&gt;"",INDEX(Balance!A:A,MATCH(F165,Balance!B:B,0)),"")</f>
        <v>Depense</v>
      </c>
      <c r="F165" t="s">
        <v>269</v>
      </c>
      <c r="G165" t="s">
        <v>47</v>
      </c>
      <c r="H165" t="s">
        <v>48</v>
      </c>
      <c r="I165" s="10">
        <v>2623</v>
      </c>
      <c r="K165" s="11">
        <f t="shared" si="66"/>
        <v>437.16666666666652</v>
      </c>
      <c r="L165" s="10">
        <f t="shared" si="67"/>
        <v>-8936.6400000000012</v>
      </c>
      <c r="N165">
        <v>149</v>
      </c>
      <c r="O165">
        <v>1</v>
      </c>
      <c r="P165">
        <v>1</v>
      </c>
      <c r="Q165" t="str">
        <f t="shared" si="48"/>
        <v>300760283626261100200EUR201903186330633100</v>
      </c>
      <c r="R165" s="16" t="s">
        <v>903</v>
      </c>
      <c r="S165" t="str">
        <f t="shared" si="49"/>
        <v>PRLV SEPA URSSAF Nord-Pas-de-Cal / UR 317000001020473292    FEV 197</v>
      </c>
      <c r="U165">
        <f>IFERROR(VLOOKUP(F165,tab!A:B,2,FALSE),1)</f>
        <v>14</v>
      </c>
      <c r="V165" s="14">
        <f t="shared" si="50"/>
        <v>-8936.6400000000012</v>
      </c>
      <c r="W165">
        <f t="shared" si="51"/>
        <v>0</v>
      </c>
      <c r="X165">
        <f t="shared" si="52"/>
        <v>1</v>
      </c>
      <c r="Y165" s="14">
        <f t="shared" si="53"/>
        <v>2623</v>
      </c>
      <c r="AA165" t="str">
        <f t="shared" si="54"/>
        <v>&lt;Valeur name="no"&gt;149&lt;/Valeur&gt;</v>
      </c>
      <c r="AB165" t="str">
        <f t="shared" si="54"/>
        <v>&lt;Valeur name="banque"&gt;1&lt;/Valeur&gt;</v>
      </c>
      <c r="AC165" t="str">
        <f t="shared" si="56"/>
        <v>&lt;Valeur name="pointer"&gt;1&lt;/Valeur&gt;</v>
      </c>
      <c r="AD165" t="str">
        <f t="shared" si="57"/>
        <v>&lt;Valeur name="idbanque"&gt;300760283626261100200EUR201903186330633100&lt;/Valeur&gt;</v>
      </c>
      <c r="AE165" t="str">
        <f t="shared" si="58"/>
        <v>&lt;Valeur name="datevaleur"&gt;2019/03/18&lt;/Valeur&gt;</v>
      </c>
      <c r="AF165" t="str">
        <f t="shared" si="59"/>
        <v>&lt;Valeur name="intitule"&gt;PRLV SEPA URSSAF Nord-Pas-de-Cal / UR 317000001020473292    FEV 197&lt;/Valeur&gt;</v>
      </c>
      <c r="AG165" t="str">
        <f t="shared" si="60"/>
        <v>&lt;Valeur name="description"&gt;&lt;/Valeur&gt;</v>
      </c>
      <c r="AH165" t="str">
        <f t="shared" si="61"/>
        <v>&lt;Valeur name="compte"&gt;14&lt;/Valeur&gt;</v>
      </c>
      <c r="AI165" t="str">
        <f t="shared" si="62"/>
        <v>&lt;Valeur name="solde"&gt;-8936.64&lt;/Valeur&gt;</v>
      </c>
      <c r="AJ165" t="str">
        <f t="shared" si="63"/>
        <v>&lt;Valeur name="ventiler"&gt;0&lt;/Valeur&gt;</v>
      </c>
      <c r="AK165" t="str">
        <f t="shared" si="64"/>
        <v>&lt;Valeur name="compta"&gt;1&lt;/Valeur&gt;</v>
      </c>
      <c r="AL165" t="str">
        <f t="shared" si="65"/>
        <v>&lt;Valeur name="valeur"&gt;2623&lt;/Valeur&gt;</v>
      </c>
      <c r="AN165" t="str">
        <f t="shared" si="55"/>
        <v>&lt;Insert&gt;&lt;Valeur name="no"&gt;149&lt;/Valeur&gt;&lt;Valeur name="banque"&gt;1&lt;/Valeur&gt;&lt;Valeur name="pointer"&gt;1&lt;/Valeur&gt;&lt;Valeur name="idbanque"&gt;300760283626261100200EUR201903186330633100&lt;/Valeur&gt;&lt;Valeur name="datevaleur"&gt;2019/03/18&lt;/Valeur&gt;&lt;Valeur name="intitule"&gt;PRLV SEPA URSSAF Nord-Pas-de-Cal / UR 317000001020473292    FEV 197&lt;/Valeur&gt;&lt;Valeur name="description"&gt;&lt;/Valeur&gt;&lt;Valeur name="compte"&gt;14&lt;/Valeur&gt;&lt;Valeur name="solde"&gt;-8936.64&lt;/Valeur&gt;&lt;Valeur name="ventiler"&gt;0&lt;/Valeur&gt;&lt;Valeur name="compta"&gt;1&lt;/Valeur&gt;&lt;Valeur name="valeur"&gt;2623&lt;/Valeur&gt;&lt;/Insert&gt;</v>
      </c>
    </row>
    <row r="166" spans="1:40" x14ac:dyDescent="0.25">
      <c r="A166" t="s">
        <v>34</v>
      </c>
      <c r="B166">
        <v>150</v>
      </c>
      <c r="C166" s="1">
        <v>43543</v>
      </c>
      <c r="E166" t="str">
        <f>IF(F166&lt;&gt;"",INDEX(Balance!A:A,MATCH(F166,Balance!B:B,0)),"")</f>
        <v/>
      </c>
      <c r="G166" t="s">
        <v>35</v>
      </c>
      <c r="I166" s="10">
        <v>3238.3</v>
      </c>
      <c r="K166" s="11">
        <f t="shared" si="66"/>
        <v>539.7166666666667</v>
      </c>
      <c r="L166" s="10">
        <f t="shared" si="67"/>
        <v>-12174.940000000002</v>
      </c>
      <c r="N166">
        <v>150</v>
      </c>
      <c r="O166">
        <v>1</v>
      </c>
      <c r="P166">
        <v>1</v>
      </c>
      <c r="Q166" t="str">
        <f t="shared" si="48"/>
        <v>300760283626261100200EUR201903190910220200</v>
      </c>
      <c r="R166" s="16" t="s">
        <v>880</v>
      </c>
      <c r="S166" t="str">
        <f t="shared" si="49"/>
        <v>RELEVE LCR DU  120319  CONFORME</v>
      </c>
      <c r="U166">
        <f>IFERROR(VLOOKUP(F166,tab!A:B,2,FALSE),1)</f>
        <v>1</v>
      </c>
      <c r="V166" s="14">
        <f t="shared" si="50"/>
        <v>-12174.940000000002</v>
      </c>
      <c r="W166">
        <f t="shared" si="51"/>
        <v>1</v>
      </c>
      <c r="X166" t="str">
        <f t="shared" si="52"/>
        <v/>
      </c>
      <c r="Y166" s="14">
        <f t="shared" si="53"/>
        <v>3238.3</v>
      </c>
      <c r="AA166" t="str">
        <f t="shared" si="54"/>
        <v>&lt;Valeur name="no"&gt;150&lt;/Valeur&gt;</v>
      </c>
      <c r="AB166" t="str">
        <f t="shared" si="54"/>
        <v>&lt;Valeur name="banque"&gt;1&lt;/Valeur&gt;</v>
      </c>
      <c r="AC166" t="str">
        <f t="shared" si="56"/>
        <v>&lt;Valeur name="pointer"&gt;1&lt;/Valeur&gt;</v>
      </c>
      <c r="AD166" t="str">
        <f t="shared" si="57"/>
        <v>&lt;Valeur name="idbanque"&gt;300760283626261100200EUR201903190910220200&lt;/Valeur&gt;</v>
      </c>
      <c r="AE166" t="str">
        <f t="shared" si="58"/>
        <v>&lt;Valeur name="datevaleur"&gt;2019/03/19&lt;/Valeur&gt;</v>
      </c>
      <c r="AF166" t="str">
        <f t="shared" si="59"/>
        <v>&lt;Valeur name="intitule"&gt;RELEVE LCR DU  120319  CONFORME&lt;/Valeur&gt;</v>
      </c>
      <c r="AG166" t="str">
        <f t="shared" si="60"/>
        <v>&lt;Valeur name="description"&gt;&lt;/Valeur&gt;</v>
      </c>
      <c r="AH166" t="str">
        <f t="shared" si="61"/>
        <v>&lt;Valeur name="compte"&gt;1&lt;/Valeur&gt;</v>
      </c>
      <c r="AI166" t="str">
        <f t="shared" si="62"/>
        <v>&lt;Valeur name="solde"&gt;-12174.94&lt;/Valeur&gt;</v>
      </c>
      <c r="AJ166" t="str">
        <f t="shared" si="63"/>
        <v>&lt;Valeur name="ventiler"&gt;1&lt;/Valeur&gt;</v>
      </c>
      <c r="AK166" t="str">
        <f t="shared" si="64"/>
        <v>&lt;Valeur name="compta"&gt;&lt;/Valeur&gt;</v>
      </c>
      <c r="AL166" t="str">
        <f t="shared" si="65"/>
        <v>&lt;Valeur name="valeur"&gt;3238.3&lt;/Valeur&gt;</v>
      </c>
      <c r="AN166" t="str">
        <f t="shared" si="55"/>
        <v>&lt;Insert&gt;&lt;Valeur name="no"&gt;150&lt;/Valeur&gt;&lt;Valeur name="banque"&gt;1&lt;/Valeur&gt;&lt;Valeur name="pointer"&gt;1&lt;/Valeur&gt;&lt;Valeur name="idbanque"&gt;300760283626261100200EUR201903190910220200&lt;/Valeur&gt;&lt;Valeur name="datevaleur"&gt;2019/03/19&lt;/Valeur&gt;&lt;Valeur name="intitule"&gt;RELEVE LCR DU  120319  CONFORME&lt;/Valeur&gt;&lt;Valeur name="description"&gt;&lt;/Valeur&gt;&lt;Valeur name="compte"&gt;1&lt;/Valeur&gt;&lt;Valeur name="solde"&gt;-12174.94&lt;/Valeur&gt;&lt;Valeur name="ventiler"&gt;1&lt;/Valeur&gt;&lt;Valeur name="compta"&gt;&lt;/Valeur&gt;&lt;Valeur name="valeur"&gt;3238.3&lt;/Valeur&gt;&lt;/Insert&gt;</v>
      </c>
    </row>
    <row r="167" spans="1:40" x14ac:dyDescent="0.25">
      <c r="C167" s="1"/>
      <c r="E167" t="str">
        <f>IF(F167&lt;&gt;"",INDEX(Balance!A:A,MATCH(F167,Balance!B:B,0)),"")</f>
        <v>Fournisseurs</v>
      </c>
      <c r="F167" t="s">
        <v>281</v>
      </c>
      <c r="I167" s="10">
        <v>1268.4000000000001</v>
      </c>
      <c r="O167">
        <v>1</v>
      </c>
      <c r="P167">
        <v>1</v>
      </c>
      <c r="Q167">
        <f t="shared" si="48"/>
        <v>0</v>
      </c>
      <c r="R167" s="16" t="s">
        <v>874</v>
      </c>
      <c r="S167" t="str">
        <f t="shared" si="49"/>
        <v/>
      </c>
      <c r="U167">
        <f>IFERROR(VLOOKUP(F167,tab!A:B,2,FALSE),1)</f>
        <v>77</v>
      </c>
      <c r="V167" s="14">
        <f t="shared" si="50"/>
        <v>0</v>
      </c>
      <c r="W167">
        <f t="shared" si="51"/>
        <v>1</v>
      </c>
      <c r="X167" t="str">
        <f t="shared" si="52"/>
        <v/>
      </c>
      <c r="Y167" s="14">
        <f t="shared" si="53"/>
        <v>1268.4000000000001</v>
      </c>
      <c r="AA167" t="str">
        <f t="shared" si="54"/>
        <v/>
      </c>
      <c r="AB167" t="str">
        <f t="shared" si="54"/>
        <v/>
      </c>
      <c r="AC167" t="str">
        <f t="shared" si="56"/>
        <v/>
      </c>
      <c r="AD167" t="str">
        <f t="shared" si="57"/>
        <v/>
      </c>
      <c r="AE167" t="str">
        <f t="shared" si="58"/>
        <v/>
      </c>
      <c r="AF167" t="str">
        <f t="shared" si="59"/>
        <v/>
      </c>
      <c r="AG167" t="str">
        <f t="shared" si="60"/>
        <v/>
      </c>
      <c r="AH167" t="str">
        <f t="shared" si="61"/>
        <v/>
      </c>
      <c r="AI167" t="str">
        <f t="shared" si="62"/>
        <v/>
      </c>
      <c r="AJ167" t="str">
        <f t="shared" si="63"/>
        <v/>
      </c>
      <c r="AK167" t="str">
        <f t="shared" si="64"/>
        <v/>
      </c>
      <c r="AL167" t="str">
        <f t="shared" si="65"/>
        <v/>
      </c>
      <c r="AN167" t="str">
        <f t="shared" si="55"/>
        <v/>
      </c>
    </row>
    <row r="168" spans="1:40" x14ac:dyDescent="0.25">
      <c r="C168" s="1"/>
      <c r="E168" t="str">
        <f>IF(F168&lt;&gt;"",INDEX(Balance!A:A,MATCH(F168,Balance!B:B,0)),"")</f>
        <v>Fournisseurs</v>
      </c>
      <c r="F168" t="s">
        <v>270</v>
      </c>
      <c r="I168" s="10">
        <v>1969.9</v>
      </c>
      <c r="O168">
        <v>1</v>
      </c>
      <c r="P168">
        <v>1</v>
      </c>
      <c r="Q168">
        <f t="shared" si="48"/>
        <v>0</v>
      </c>
      <c r="R168" s="16" t="s">
        <v>874</v>
      </c>
      <c r="S168" t="str">
        <f t="shared" si="49"/>
        <v/>
      </c>
      <c r="U168">
        <f>IFERROR(VLOOKUP(F168,tab!A:B,2,FALSE),1)</f>
        <v>110</v>
      </c>
      <c r="V168" s="14">
        <f t="shared" si="50"/>
        <v>0</v>
      </c>
      <c r="W168">
        <f t="shared" si="51"/>
        <v>0</v>
      </c>
      <c r="X168" t="str">
        <f t="shared" si="52"/>
        <v/>
      </c>
      <c r="Y168" s="14">
        <f t="shared" si="53"/>
        <v>1969.9</v>
      </c>
      <c r="AA168" t="str">
        <f t="shared" si="54"/>
        <v/>
      </c>
      <c r="AB168" t="str">
        <f t="shared" si="54"/>
        <v/>
      </c>
      <c r="AC168" t="str">
        <f t="shared" si="56"/>
        <v/>
      </c>
      <c r="AD168" t="str">
        <f t="shared" si="57"/>
        <v/>
      </c>
      <c r="AE168" t="str">
        <f t="shared" si="58"/>
        <v/>
      </c>
      <c r="AF168" t="str">
        <f t="shared" si="59"/>
        <v/>
      </c>
      <c r="AG168" t="str">
        <f t="shared" si="60"/>
        <v/>
      </c>
      <c r="AH168" t="str">
        <f t="shared" si="61"/>
        <v/>
      </c>
      <c r="AI168" t="str">
        <f t="shared" si="62"/>
        <v/>
      </c>
      <c r="AJ168" t="str">
        <f t="shared" si="63"/>
        <v/>
      </c>
      <c r="AK168" t="str">
        <f t="shared" si="64"/>
        <v/>
      </c>
      <c r="AL168" t="str">
        <f t="shared" si="65"/>
        <v/>
      </c>
      <c r="AN168" t="str">
        <f t="shared" si="55"/>
        <v/>
      </c>
    </row>
    <row r="169" spans="1:40" x14ac:dyDescent="0.25">
      <c r="A169" t="s">
        <v>32</v>
      </c>
      <c r="B169">
        <v>151</v>
      </c>
      <c r="C169" s="1">
        <v>43543</v>
      </c>
      <c r="D169">
        <v>1</v>
      </c>
      <c r="E169" t="str">
        <f>IF(F169&lt;&gt;"",INDEX(Balance!A:A,MATCH(F169,Balance!B:B,0)),"")</f>
        <v>Depense</v>
      </c>
      <c r="F169" t="s">
        <v>254</v>
      </c>
      <c r="G169" t="s">
        <v>33</v>
      </c>
      <c r="I169" s="10">
        <v>24</v>
      </c>
      <c r="K169" s="11">
        <f t="shared" ref="K169:K202" si="68">IF(I169&gt;0,I169-(I169/TVA),-(J169-(J169/TVA)))</f>
        <v>4</v>
      </c>
      <c r="L169" s="10">
        <f>L166-I169+J169</f>
        <v>-12198.940000000002</v>
      </c>
      <c r="N169">
        <v>151</v>
      </c>
      <c r="O169">
        <v>1</v>
      </c>
      <c r="P169">
        <v>1</v>
      </c>
      <c r="Q169" t="str">
        <f t="shared" si="48"/>
        <v>300760283626261100200EUR201903191071943100</v>
      </c>
      <c r="R169" s="16" t="s">
        <v>880</v>
      </c>
      <c r="S169" t="str">
        <f t="shared" si="49"/>
        <v>CB 454106 PIZZA NONNA 59VILLENEU</v>
      </c>
      <c r="U169">
        <f>IFERROR(VLOOKUP(F169,tab!A:B,2,FALSE),1)</f>
        <v>27</v>
      </c>
      <c r="V169" s="14">
        <f t="shared" si="50"/>
        <v>-12198.940000000002</v>
      </c>
      <c r="W169">
        <f t="shared" si="51"/>
        <v>0</v>
      </c>
      <c r="X169">
        <f t="shared" si="52"/>
        <v>1</v>
      </c>
      <c r="Y169" s="14">
        <f t="shared" si="53"/>
        <v>24</v>
      </c>
      <c r="AA169" t="str">
        <f t="shared" si="54"/>
        <v>&lt;Valeur name="no"&gt;151&lt;/Valeur&gt;</v>
      </c>
      <c r="AB169" t="str">
        <f t="shared" si="54"/>
        <v>&lt;Valeur name="banque"&gt;1&lt;/Valeur&gt;</v>
      </c>
      <c r="AC169" t="str">
        <f t="shared" si="56"/>
        <v>&lt;Valeur name="pointer"&gt;1&lt;/Valeur&gt;</v>
      </c>
      <c r="AD169" t="str">
        <f t="shared" si="57"/>
        <v>&lt;Valeur name="idbanque"&gt;300760283626261100200EUR201903191071943100&lt;/Valeur&gt;</v>
      </c>
      <c r="AE169" t="str">
        <f t="shared" si="58"/>
        <v>&lt;Valeur name="datevaleur"&gt;2019/03/19&lt;/Valeur&gt;</v>
      </c>
      <c r="AF169" t="str">
        <f t="shared" si="59"/>
        <v>&lt;Valeur name="intitule"&gt;CB 454106 PIZZA NONNA 59VILLENEU&lt;/Valeur&gt;</v>
      </c>
      <c r="AG169" t="str">
        <f t="shared" si="60"/>
        <v>&lt;Valeur name="description"&gt;&lt;/Valeur&gt;</v>
      </c>
      <c r="AH169" t="str">
        <f t="shared" si="61"/>
        <v>&lt;Valeur name="compte"&gt;27&lt;/Valeur&gt;</v>
      </c>
      <c r="AI169" t="str">
        <f t="shared" si="62"/>
        <v>&lt;Valeur name="solde"&gt;-12198.94&lt;/Valeur&gt;</v>
      </c>
      <c r="AJ169" t="str">
        <f t="shared" si="63"/>
        <v>&lt;Valeur name="ventiler"&gt;0&lt;/Valeur&gt;</v>
      </c>
      <c r="AK169" t="str">
        <f t="shared" si="64"/>
        <v>&lt;Valeur name="compta"&gt;1&lt;/Valeur&gt;</v>
      </c>
      <c r="AL169" t="str">
        <f t="shared" si="65"/>
        <v>&lt;Valeur name="valeur"&gt;24&lt;/Valeur&gt;</v>
      </c>
      <c r="AN169" t="str">
        <f t="shared" si="55"/>
        <v>&lt;Insert&gt;&lt;Valeur name="no"&gt;151&lt;/Valeur&gt;&lt;Valeur name="banque"&gt;1&lt;/Valeur&gt;&lt;Valeur name="pointer"&gt;1&lt;/Valeur&gt;&lt;Valeur name="idbanque"&gt;300760283626261100200EUR201903191071943100&lt;/Valeur&gt;&lt;Valeur name="datevaleur"&gt;2019/03/19&lt;/Valeur&gt;&lt;Valeur name="intitule"&gt;CB 454106 PIZZA NONNA 59VILLENEU&lt;/Valeur&gt;&lt;Valeur name="description"&gt;&lt;/Valeur&gt;&lt;Valeur name="compte"&gt;27&lt;/Valeur&gt;&lt;Valeur name="solde"&gt;-12198.94&lt;/Valeur&gt;&lt;Valeur name="ventiler"&gt;0&lt;/Valeur&gt;&lt;Valeur name="compta"&gt;1&lt;/Valeur&gt;&lt;Valeur name="valeur"&gt;24&lt;/Valeur&gt;&lt;/Insert&gt;</v>
      </c>
    </row>
    <row r="170" spans="1:40" x14ac:dyDescent="0.25">
      <c r="A170" t="s">
        <v>36</v>
      </c>
      <c r="B170">
        <v>152</v>
      </c>
      <c r="C170" s="1">
        <v>43543</v>
      </c>
      <c r="E170" t="str">
        <f>IF(F170&lt;&gt;"",INDEX(Balance!A:A,MATCH(F170,Balance!B:B,0)),"")</f>
        <v>Client</v>
      </c>
      <c r="F170" t="s">
        <v>370</v>
      </c>
      <c r="G170" t="s">
        <v>37</v>
      </c>
      <c r="H170" t="s">
        <v>38</v>
      </c>
      <c r="J170" s="10">
        <v>7747.4</v>
      </c>
      <c r="K170" s="11">
        <f t="shared" si="68"/>
        <v>-1291.2333333333327</v>
      </c>
      <c r="L170" s="10">
        <f t="shared" ref="L170:L202" si="69">L169-I170+J170</f>
        <v>-4451.5400000000027</v>
      </c>
      <c r="N170">
        <v>152</v>
      </c>
      <c r="O170">
        <v>1</v>
      </c>
      <c r="P170">
        <v>1</v>
      </c>
      <c r="Q170" t="str">
        <f t="shared" si="48"/>
        <v>300760283626261100200EUR201903196313187700</v>
      </c>
      <c r="R170" s="16" t="s">
        <v>880</v>
      </c>
      <c r="S170" t="str">
        <f t="shared" si="49"/>
        <v>VIR TRESORERIE VILLENEUVE D / FAC NoAF241-1 DU 31/01/2019VILLE</v>
      </c>
      <c r="U170">
        <f>IFERROR(VLOOKUP(F170,tab!A:B,2,FALSE),1)</f>
        <v>9</v>
      </c>
      <c r="V170" s="14">
        <f t="shared" si="50"/>
        <v>-4451.5400000000027</v>
      </c>
      <c r="W170">
        <f t="shared" si="51"/>
        <v>0</v>
      </c>
      <c r="X170" t="str">
        <f t="shared" si="52"/>
        <v/>
      </c>
      <c r="Y170" s="14">
        <f t="shared" si="53"/>
        <v>7747.4</v>
      </c>
      <c r="AA170" t="str">
        <f t="shared" si="54"/>
        <v>&lt;Valeur name="no"&gt;152&lt;/Valeur&gt;</v>
      </c>
      <c r="AB170" t="str">
        <f t="shared" si="54"/>
        <v>&lt;Valeur name="banque"&gt;1&lt;/Valeur&gt;</v>
      </c>
      <c r="AC170" t="str">
        <f t="shared" si="56"/>
        <v>&lt;Valeur name="pointer"&gt;1&lt;/Valeur&gt;</v>
      </c>
      <c r="AD170" t="str">
        <f t="shared" si="57"/>
        <v>&lt;Valeur name="idbanque"&gt;300760283626261100200EUR201903196313187700&lt;/Valeur&gt;</v>
      </c>
      <c r="AE170" t="str">
        <f t="shared" si="58"/>
        <v>&lt;Valeur name="datevaleur"&gt;2019/03/19&lt;/Valeur&gt;</v>
      </c>
      <c r="AF170" t="str">
        <f t="shared" si="59"/>
        <v>&lt;Valeur name="intitule"&gt;VIR TRESORERIE VILLENEUVE D / FAC NoAF241-1 DU 31/01/2019VILLE&lt;/Valeur&gt;</v>
      </c>
      <c r="AG170" t="str">
        <f t="shared" si="60"/>
        <v>&lt;Valeur name="description"&gt;&lt;/Valeur&gt;</v>
      </c>
      <c r="AH170" t="str">
        <f t="shared" si="61"/>
        <v>&lt;Valeur name="compte"&gt;9&lt;/Valeur&gt;</v>
      </c>
      <c r="AI170" t="str">
        <f t="shared" si="62"/>
        <v>&lt;Valeur name="solde"&gt;-4451.54&lt;/Valeur&gt;</v>
      </c>
      <c r="AJ170" t="str">
        <f t="shared" si="63"/>
        <v>&lt;Valeur name="ventiler"&gt;0&lt;/Valeur&gt;</v>
      </c>
      <c r="AK170" t="str">
        <f t="shared" si="64"/>
        <v>&lt;Valeur name="compta"&gt;&lt;/Valeur&gt;</v>
      </c>
      <c r="AL170" t="str">
        <f t="shared" si="65"/>
        <v>&lt;Valeur name="valeur"&gt;7747.4&lt;/Valeur&gt;</v>
      </c>
      <c r="AN170" t="str">
        <f t="shared" si="55"/>
        <v>&lt;Insert&gt;&lt;Valeur name="no"&gt;152&lt;/Valeur&gt;&lt;Valeur name="banque"&gt;1&lt;/Valeur&gt;&lt;Valeur name="pointer"&gt;1&lt;/Valeur&gt;&lt;Valeur name="idbanque"&gt;300760283626261100200EUR201903196313187700&lt;/Valeur&gt;&lt;Valeur name="datevaleur"&gt;2019/03/19&lt;/Valeur&gt;&lt;Valeur name="intitule"&gt;VIR TRESORERIE VILLENEUVE D / FAC NoAF241-1 DU 31/01/2019VILLE&lt;/Valeur&gt;&lt;Valeur name="description"&gt;&lt;/Valeur&gt;&lt;Valeur name="compte"&gt;9&lt;/Valeur&gt;&lt;Valeur name="solde"&gt;-4451.54&lt;/Valeur&gt;&lt;Valeur name="ventiler"&gt;0&lt;/Valeur&gt;&lt;Valeur name="compta"&gt;&lt;/Valeur&gt;&lt;Valeur name="valeur"&gt;7747.4&lt;/Valeur&gt;&lt;/Insert&gt;</v>
      </c>
    </row>
    <row r="171" spans="1:40" x14ac:dyDescent="0.25">
      <c r="A171" t="s">
        <v>30</v>
      </c>
      <c r="B171">
        <v>153</v>
      </c>
      <c r="C171" s="1">
        <v>43543</v>
      </c>
      <c r="D171">
        <v>1</v>
      </c>
      <c r="E171" t="str">
        <f>IF(F171&lt;&gt;"",INDEX(Balance!A:A,MATCH(F171,Balance!B:B,0)),"")</f>
        <v>Depense</v>
      </c>
      <c r="F171" t="s">
        <v>257</v>
      </c>
      <c r="G171" t="s">
        <v>31</v>
      </c>
      <c r="I171" s="10">
        <v>0.21</v>
      </c>
      <c r="K171" s="11">
        <f t="shared" si="68"/>
        <v>3.5000000000000003E-2</v>
      </c>
      <c r="L171" s="10">
        <f t="shared" si="69"/>
        <v>-4451.7500000000027</v>
      </c>
      <c r="N171">
        <v>153</v>
      </c>
      <c r="O171">
        <v>1</v>
      </c>
      <c r="P171">
        <v>1</v>
      </c>
      <c r="Q171" t="str">
        <f t="shared" si="48"/>
        <v>300760283626261100200EUR201903199227437400</v>
      </c>
      <c r="R171" s="16" t="s">
        <v>880</v>
      </c>
      <c r="S171" t="str">
        <f t="shared" si="49"/>
        <v>FRAIS E-VIR SEPA VERS EEE</v>
      </c>
      <c r="U171">
        <f>IFERROR(VLOOKUP(F171,tab!A:B,2,FALSE),1)</f>
        <v>18</v>
      </c>
      <c r="V171" s="14">
        <f t="shared" si="50"/>
        <v>-4451.7500000000027</v>
      </c>
      <c r="W171">
        <f t="shared" si="51"/>
        <v>0</v>
      </c>
      <c r="X171">
        <f t="shared" si="52"/>
        <v>1</v>
      </c>
      <c r="Y171" s="14">
        <f t="shared" si="53"/>
        <v>0.21</v>
      </c>
      <c r="AA171" t="str">
        <f t="shared" si="54"/>
        <v>&lt;Valeur name="no"&gt;153&lt;/Valeur&gt;</v>
      </c>
      <c r="AB171" t="str">
        <f t="shared" si="54"/>
        <v>&lt;Valeur name="banque"&gt;1&lt;/Valeur&gt;</v>
      </c>
      <c r="AC171" t="str">
        <f t="shared" si="56"/>
        <v>&lt;Valeur name="pointer"&gt;1&lt;/Valeur&gt;</v>
      </c>
      <c r="AD171" t="str">
        <f t="shared" si="57"/>
        <v>&lt;Valeur name="idbanque"&gt;300760283626261100200EUR201903199227437400&lt;/Valeur&gt;</v>
      </c>
      <c r="AE171" t="str">
        <f t="shared" si="58"/>
        <v>&lt;Valeur name="datevaleur"&gt;2019/03/19&lt;/Valeur&gt;</v>
      </c>
      <c r="AF171" t="str">
        <f t="shared" si="59"/>
        <v>&lt;Valeur name="intitule"&gt;FRAIS E-VIR SEPA VERS EEE&lt;/Valeur&gt;</v>
      </c>
      <c r="AG171" t="str">
        <f t="shared" si="60"/>
        <v>&lt;Valeur name="description"&gt;&lt;/Valeur&gt;</v>
      </c>
      <c r="AH171" t="str">
        <f t="shared" si="61"/>
        <v>&lt;Valeur name="compte"&gt;18&lt;/Valeur&gt;</v>
      </c>
      <c r="AI171" t="str">
        <f t="shared" si="62"/>
        <v>&lt;Valeur name="solde"&gt;-4451.75&lt;/Valeur&gt;</v>
      </c>
      <c r="AJ171" t="str">
        <f t="shared" si="63"/>
        <v>&lt;Valeur name="ventiler"&gt;0&lt;/Valeur&gt;</v>
      </c>
      <c r="AK171" t="str">
        <f t="shared" si="64"/>
        <v>&lt;Valeur name="compta"&gt;1&lt;/Valeur&gt;</v>
      </c>
      <c r="AL171" t="str">
        <f t="shared" si="65"/>
        <v>&lt;Valeur name="valeur"&gt;0.21&lt;/Valeur&gt;</v>
      </c>
      <c r="AN171" t="str">
        <f t="shared" si="55"/>
        <v>&lt;Insert&gt;&lt;Valeur name="no"&gt;153&lt;/Valeur&gt;&lt;Valeur name="banque"&gt;1&lt;/Valeur&gt;&lt;Valeur name="pointer"&gt;1&lt;/Valeur&gt;&lt;Valeur name="idbanque"&gt;300760283626261100200EUR201903199227437400&lt;/Valeur&gt;&lt;Valeur name="datevaleur"&gt;2019/03/19&lt;/Valeur&gt;&lt;Valeur name="intitule"&gt;FRAIS E-VIR SEPA VERS EEE&lt;/Valeur&gt;&lt;Valeur name="description"&gt;&lt;/Valeur&gt;&lt;Valeur name="compte"&gt;18&lt;/Valeur&gt;&lt;Valeur name="solde"&gt;-4451.75&lt;/Valeur&gt;&lt;Valeur name="ventiler"&gt;0&lt;/Valeur&gt;&lt;Valeur name="compta"&gt;1&lt;/Valeur&gt;&lt;Valeur name="valeur"&gt;0.21&lt;/Valeur&gt;&lt;/Insert&gt;</v>
      </c>
    </row>
    <row r="172" spans="1:40" x14ac:dyDescent="0.25">
      <c r="A172" t="s">
        <v>25</v>
      </c>
      <c r="B172">
        <v>154</v>
      </c>
      <c r="C172" s="1">
        <v>43544</v>
      </c>
      <c r="D172">
        <v>1</v>
      </c>
      <c r="E172" t="str">
        <f>IF(F172&lt;&gt;"",INDEX(Balance!A:A,MATCH(F172,Balance!B:B,0)),"")</f>
        <v>Depense</v>
      </c>
      <c r="F172" t="s">
        <v>254</v>
      </c>
      <c r="G172" t="s">
        <v>7</v>
      </c>
      <c r="I172" s="10">
        <v>34</v>
      </c>
      <c r="K172" s="11">
        <f t="shared" si="68"/>
        <v>5.6666666666666643</v>
      </c>
      <c r="L172" s="10">
        <f t="shared" si="69"/>
        <v>-4485.7500000000027</v>
      </c>
      <c r="N172">
        <v>154</v>
      </c>
      <c r="O172">
        <v>1</v>
      </c>
      <c r="P172">
        <v>1</v>
      </c>
      <c r="Q172" t="str">
        <f t="shared" si="48"/>
        <v>300760283626261100200EUR201903201077489700</v>
      </c>
      <c r="R172" s="16" t="s">
        <v>963</v>
      </c>
      <c r="S172" t="str">
        <f t="shared" si="49"/>
        <v>CB 454106 SNACK THIER 59BAVAY</v>
      </c>
      <c r="U172">
        <f>IFERROR(VLOOKUP(F172,tab!A:B,2,FALSE),1)</f>
        <v>27</v>
      </c>
      <c r="V172" s="14">
        <f t="shared" si="50"/>
        <v>-4485.7500000000027</v>
      </c>
      <c r="W172">
        <f t="shared" si="51"/>
        <v>0</v>
      </c>
      <c r="X172">
        <f t="shared" si="52"/>
        <v>1</v>
      </c>
      <c r="Y172" s="14">
        <f t="shared" si="53"/>
        <v>34</v>
      </c>
      <c r="AA172" t="str">
        <f t="shared" si="54"/>
        <v>&lt;Valeur name="no"&gt;154&lt;/Valeur&gt;</v>
      </c>
      <c r="AB172" t="str">
        <f t="shared" si="54"/>
        <v>&lt;Valeur name="banque"&gt;1&lt;/Valeur&gt;</v>
      </c>
      <c r="AC172" t="str">
        <f t="shared" si="56"/>
        <v>&lt;Valeur name="pointer"&gt;1&lt;/Valeur&gt;</v>
      </c>
      <c r="AD172" t="str">
        <f t="shared" si="57"/>
        <v>&lt;Valeur name="idbanque"&gt;300760283626261100200EUR201903201077489700&lt;/Valeur&gt;</v>
      </c>
      <c r="AE172" t="str">
        <f t="shared" si="58"/>
        <v>&lt;Valeur name="datevaleur"&gt;2019/03/20&lt;/Valeur&gt;</v>
      </c>
      <c r="AF172" t="str">
        <f t="shared" si="59"/>
        <v>&lt;Valeur name="intitule"&gt;CB 454106 SNACK THIER 59BAVAY&lt;/Valeur&gt;</v>
      </c>
      <c r="AG172" t="str">
        <f t="shared" si="60"/>
        <v>&lt;Valeur name="description"&gt;&lt;/Valeur&gt;</v>
      </c>
      <c r="AH172" t="str">
        <f t="shared" si="61"/>
        <v>&lt;Valeur name="compte"&gt;27&lt;/Valeur&gt;</v>
      </c>
      <c r="AI172" t="str">
        <f t="shared" si="62"/>
        <v>&lt;Valeur name="solde"&gt;-4485.75&lt;/Valeur&gt;</v>
      </c>
      <c r="AJ172" t="str">
        <f t="shared" si="63"/>
        <v>&lt;Valeur name="ventiler"&gt;0&lt;/Valeur&gt;</v>
      </c>
      <c r="AK172" t="str">
        <f t="shared" si="64"/>
        <v>&lt;Valeur name="compta"&gt;1&lt;/Valeur&gt;</v>
      </c>
      <c r="AL172" t="str">
        <f t="shared" si="65"/>
        <v>&lt;Valeur name="valeur"&gt;34&lt;/Valeur&gt;</v>
      </c>
      <c r="AN172" t="str">
        <f t="shared" si="55"/>
        <v>&lt;Insert&gt;&lt;Valeur name="no"&gt;154&lt;/Valeur&gt;&lt;Valeur name="banque"&gt;1&lt;/Valeur&gt;&lt;Valeur name="pointer"&gt;1&lt;/Valeur&gt;&lt;Valeur name="idbanque"&gt;300760283626261100200EUR201903201077489700&lt;/Valeur&gt;&lt;Valeur name="datevaleur"&gt;2019/03/20&lt;/Valeur&gt;&lt;Valeur name="intitule"&gt;CB 454106 SNACK THIER 59BAVAY&lt;/Valeur&gt;&lt;Valeur name="description"&gt;&lt;/Valeur&gt;&lt;Valeur name="compte"&gt;27&lt;/Valeur&gt;&lt;Valeur name="solde"&gt;-4485.75&lt;/Valeur&gt;&lt;Valeur name="ventiler"&gt;0&lt;/Valeur&gt;&lt;Valeur name="compta"&gt;1&lt;/Valeur&gt;&lt;Valeur name="valeur"&gt;34&lt;/Valeur&gt;&lt;/Insert&gt;</v>
      </c>
    </row>
    <row r="173" spans="1:40" x14ac:dyDescent="0.25">
      <c r="A173" t="s">
        <v>28</v>
      </c>
      <c r="B173">
        <v>155</v>
      </c>
      <c r="C173" s="1">
        <v>43544</v>
      </c>
      <c r="D173">
        <v>1</v>
      </c>
      <c r="E173" t="str">
        <f>IF(F173&lt;&gt;"",INDEX(Balance!A:A,MATCH(F173,Balance!B:B,0)),"")</f>
        <v>Fournisseurs</v>
      </c>
      <c r="F173" t="s">
        <v>383</v>
      </c>
      <c r="G173" t="s">
        <v>29</v>
      </c>
      <c r="I173" s="10">
        <v>89</v>
      </c>
      <c r="K173" s="11">
        <f t="shared" si="68"/>
        <v>14.833333333333329</v>
      </c>
      <c r="L173" s="10">
        <f t="shared" si="69"/>
        <v>-4574.7500000000027</v>
      </c>
      <c r="N173">
        <v>155</v>
      </c>
      <c r="O173">
        <v>1</v>
      </c>
      <c r="P173">
        <v>1</v>
      </c>
      <c r="Q173" t="str">
        <f t="shared" si="48"/>
        <v>300760283626261100200EUR201903201077489800</v>
      </c>
      <c r="R173" s="16" t="s">
        <v>963</v>
      </c>
      <c r="S173" t="str">
        <f t="shared" si="49"/>
        <v>CB 548222 SNCF INTERN 75PARIS 12</v>
      </c>
      <c r="U173">
        <f>IFERROR(VLOOKUP(F173,tab!A:B,2,FALSE),1)</f>
        <v>108</v>
      </c>
      <c r="V173" s="14">
        <f t="shared" si="50"/>
        <v>-4574.7500000000027</v>
      </c>
      <c r="W173">
        <f t="shared" si="51"/>
        <v>0</v>
      </c>
      <c r="X173">
        <f t="shared" si="52"/>
        <v>1</v>
      </c>
      <c r="Y173" s="14">
        <f t="shared" si="53"/>
        <v>89</v>
      </c>
      <c r="AA173" t="str">
        <f t="shared" si="54"/>
        <v>&lt;Valeur name="no"&gt;155&lt;/Valeur&gt;</v>
      </c>
      <c r="AB173" t="str">
        <f t="shared" si="54"/>
        <v>&lt;Valeur name="banque"&gt;1&lt;/Valeur&gt;</v>
      </c>
      <c r="AC173" t="str">
        <f t="shared" si="56"/>
        <v>&lt;Valeur name="pointer"&gt;1&lt;/Valeur&gt;</v>
      </c>
      <c r="AD173" t="str">
        <f t="shared" si="57"/>
        <v>&lt;Valeur name="idbanque"&gt;300760283626261100200EUR201903201077489800&lt;/Valeur&gt;</v>
      </c>
      <c r="AE173" t="str">
        <f t="shared" si="58"/>
        <v>&lt;Valeur name="datevaleur"&gt;2019/03/20&lt;/Valeur&gt;</v>
      </c>
      <c r="AF173" t="str">
        <f t="shared" si="59"/>
        <v>&lt;Valeur name="intitule"&gt;CB 548222 SNCF INTERN 75PARIS 12&lt;/Valeur&gt;</v>
      </c>
      <c r="AG173" t="str">
        <f t="shared" si="60"/>
        <v>&lt;Valeur name="description"&gt;&lt;/Valeur&gt;</v>
      </c>
      <c r="AH173" t="str">
        <f t="shared" si="61"/>
        <v>&lt;Valeur name="compte"&gt;108&lt;/Valeur&gt;</v>
      </c>
      <c r="AI173" t="str">
        <f t="shared" si="62"/>
        <v>&lt;Valeur name="solde"&gt;-4574.75&lt;/Valeur&gt;</v>
      </c>
      <c r="AJ173" t="str">
        <f t="shared" si="63"/>
        <v>&lt;Valeur name="ventiler"&gt;0&lt;/Valeur&gt;</v>
      </c>
      <c r="AK173" t="str">
        <f t="shared" si="64"/>
        <v>&lt;Valeur name="compta"&gt;1&lt;/Valeur&gt;</v>
      </c>
      <c r="AL173" t="str">
        <f t="shared" si="65"/>
        <v>&lt;Valeur name="valeur"&gt;89&lt;/Valeur&gt;</v>
      </c>
      <c r="AN173" t="str">
        <f t="shared" si="55"/>
        <v>&lt;Insert&gt;&lt;Valeur name="no"&gt;155&lt;/Valeur&gt;&lt;Valeur name="banque"&gt;1&lt;/Valeur&gt;&lt;Valeur name="pointer"&gt;1&lt;/Valeur&gt;&lt;Valeur name="idbanque"&gt;300760283626261100200EUR201903201077489800&lt;/Valeur&gt;&lt;Valeur name="datevaleur"&gt;2019/03/20&lt;/Valeur&gt;&lt;Valeur name="intitule"&gt;CB 548222 SNCF INTERN 75PARIS 12&lt;/Valeur&gt;&lt;Valeur name="description"&gt;&lt;/Valeur&gt;&lt;Valeur name="compte"&gt;108&lt;/Valeur&gt;&lt;Valeur name="solde"&gt;-4574.75&lt;/Valeur&gt;&lt;Valeur name="ventiler"&gt;0&lt;/Valeur&gt;&lt;Valeur name="compta"&gt;1&lt;/Valeur&gt;&lt;Valeur name="valeur"&gt;89&lt;/Valeur&gt;&lt;/Insert&gt;</v>
      </c>
    </row>
    <row r="174" spans="1:40" x14ac:dyDescent="0.25">
      <c r="A174" t="s">
        <v>26</v>
      </c>
      <c r="B174">
        <v>156</v>
      </c>
      <c r="C174" s="1">
        <v>43544</v>
      </c>
      <c r="D174">
        <v>1</v>
      </c>
      <c r="E174" t="str">
        <f>IF(F174&lt;&gt;"",INDEX(Balance!A:A,MATCH(F174,Balance!B:B,0)),"")</f>
        <v>Depense</v>
      </c>
      <c r="F174" t="s">
        <v>253</v>
      </c>
      <c r="G174" t="s">
        <v>27</v>
      </c>
      <c r="I174" s="10">
        <v>77.81</v>
      </c>
      <c r="K174" s="11">
        <f t="shared" si="68"/>
        <v>12.968333333333334</v>
      </c>
      <c r="L174" s="10">
        <f t="shared" si="69"/>
        <v>-4652.5600000000031</v>
      </c>
      <c r="N174">
        <v>156</v>
      </c>
      <c r="O174">
        <v>1</v>
      </c>
      <c r="P174">
        <v>1</v>
      </c>
      <c r="Q174" t="str">
        <f t="shared" si="48"/>
        <v>300760283626261100200EUR201903201077489900</v>
      </c>
      <c r="R174" s="16" t="s">
        <v>963</v>
      </c>
      <c r="S174" t="str">
        <f t="shared" si="49"/>
        <v>CB 454106 CARREFOUR D 59AULNOY L</v>
      </c>
      <c r="U174">
        <f>IFERROR(VLOOKUP(F174,tab!A:B,2,FALSE),1)</f>
        <v>13</v>
      </c>
      <c r="V174" s="14">
        <f t="shared" si="50"/>
        <v>-4652.5600000000031</v>
      </c>
      <c r="W174">
        <f t="shared" si="51"/>
        <v>0</v>
      </c>
      <c r="X174">
        <f t="shared" si="52"/>
        <v>1</v>
      </c>
      <c r="Y174" s="14">
        <f t="shared" si="53"/>
        <v>77.81</v>
      </c>
      <c r="AA174" t="str">
        <f t="shared" si="54"/>
        <v>&lt;Valeur name="no"&gt;156&lt;/Valeur&gt;</v>
      </c>
      <c r="AB174" t="str">
        <f t="shared" si="54"/>
        <v>&lt;Valeur name="banque"&gt;1&lt;/Valeur&gt;</v>
      </c>
      <c r="AC174" t="str">
        <f t="shared" si="56"/>
        <v>&lt;Valeur name="pointer"&gt;1&lt;/Valeur&gt;</v>
      </c>
      <c r="AD174" t="str">
        <f t="shared" si="57"/>
        <v>&lt;Valeur name="idbanque"&gt;300760283626261100200EUR201903201077489900&lt;/Valeur&gt;</v>
      </c>
      <c r="AE174" t="str">
        <f t="shared" si="58"/>
        <v>&lt;Valeur name="datevaleur"&gt;2019/03/20&lt;/Valeur&gt;</v>
      </c>
      <c r="AF174" t="str">
        <f t="shared" si="59"/>
        <v>&lt;Valeur name="intitule"&gt;CB 454106 CARREFOUR D 59AULNOY L&lt;/Valeur&gt;</v>
      </c>
      <c r="AG174" t="str">
        <f t="shared" si="60"/>
        <v>&lt;Valeur name="description"&gt;&lt;/Valeur&gt;</v>
      </c>
      <c r="AH174" t="str">
        <f t="shared" si="61"/>
        <v>&lt;Valeur name="compte"&gt;13&lt;/Valeur&gt;</v>
      </c>
      <c r="AI174" t="str">
        <f t="shared" si="62"/>
        <v>&lt;Valeur name="solde"&gt;-4652.56&lt;/Valeur&gt;</v>
      </c>
      <c r="AJ174" t="str">
        <f t="shared" si="63"/>
        <v>&lt;Valeur name="ventiler"&gt;0&lt;/Valeur&gt;</v>
      </c>
      <c r="AK174" t="str">
        <f t="shared" si="64"/>
        <v>&lt;Valeur name="compta"&gt;1&lt;/Valeur&gt;</v>
      </c>
      <c r="AL174" t="str">
        <f t="shared" si="65"/>
        <v>&lt;Valeur name="valeur"&gt;77.81&lt;/Valeur&gt;</v>
      </c>
      <c r="AN174" t="str">
        <f t="shared" si="55"/>
        <v>&lt;Insert&gt;&lt;Valeur name="no"&gt;156&lt;/Valeur&gt;&lt;Valeur name="banque"&gt;1&lt;/Valeur&gt;&lt;Valeur name="pointer"&gt;1&lt;/Valeur&gt;&lt;Valeur name="idbanque"&gt;300760283626261100200EUR201903201077489900&lt;/Valeur&gt;&lt;Valeur name="datevaleur"&gt;2019/03/20&lt;/Valeur&gt;&lt;Valeur name="intitule"&gt;CB 454106 CARREFOUR D 59AULNOY L&lt;/Valeur&gt;&lt;Valeur name="description"&gt;&lt;/Valeur&gt;&lt;Valeur name="compte"&gt;13&lt;/Valeur&gt;&lt;Valeur name="solde"&gt;-4652.56&lt;/Valeur&gt;&lt;Valeur name="ventiler"&gt;0&lt;/Valeur&gt;&lt;Valeur name="compta"&gt;1&lt;/Valeur&gt;&lt;Valeur name="valeur"&gt;77.81&lt;/Valeur&gt;&lt;/Insert&gt;</v>
      </c>
    </row>
    <row r="175" spans="1:40" x14ac:dyDescent="0.25">
      <c r="A175" t="s">
        <v>19</v>
      </c>
      <c r="B175">
        <v>157</v>
      </c>
      <c r="C175" s="1">
        <v>43545</v>
      </c>
      <c r="D175">
        <v>1</v>
      </c>
      <c r="E175" t="str">
        <f>IF(F175&lt;&gt;"",INDEX(Balance!A:A,MATCH(F175,Balance!B:B,0)),"")</f>
        <v>Depense</v>
      </c>
      <c r="F175" t="s">
        <v>254</v>
      </c>
      <c r="G175" t="s">
        <v>20</v>
      </c>
      <c r="I175" s="10">
        <v>10.5</v>
      </c>
      <c r="K175" s="11">
        <f t="shared" si="68"/>
        <v>1.75</v>
      </c>
      <c r="L175" s="10">
        <f t="shared" si="69"/>
        <v>-4663.0600000000031</v>
      </c>
      <c r="N175">
        <v>157</v>
      </c>
      <c r="O175">
        <v>1</v>
      </c>
      <c r="P175">
        <v>1</v>
      </c>
      <c r="Q175" t="str">
        <f t="shared" si="48"/>
        <v>300760283626261100200EUR201903211077562200</v>
      </c>
      <c r="R175" s="16" t="s">
        <v>964</v>
      </c>
      <c r="S175" t="str">
        <f t="shared" si="49"/>
        <v>CB 454106 SMMATCH MAG 59BAVAY</v>
      </c>
      <c r="U175">
        <f>IFERROR(VLOOKUP(F175,tab!A:B,2,FALSE),1)</f>
        <v>27</v>
      </c>
      <c r="V175" s="14">
        <f t="shared" si="50"/>
        <v>-4663.0600000000031</v>
      </c>
      <c r="W175">
        <f t="shared" si="51"/>
        <v>0</v>
      </c>
      <c r="X175">
        <f t="shared" si="52"/>
        <v>1</v>
      </c>
      <c r="Y175" s="14">
        <f t="shared" si="53"/>
        <v>10.5</v>
      </c>
      <c r="AA175" t="str">
        <f t="shared" si="54"/>
        <v>&lt;Valeur name="no"&gt;157&lt;/Valeur&gt;</v>
      </c>
      <c r="AB175" t="str">
        <f t="shared" si="54"/>
        <v>&lt;Valeur name="banque"&gt;1&lt;/Valeur&gt;</v>
      </c>
      <c r="AC175" t="str">
        <f t="shared" si="56"/>
        <v>&lt;Valeur name="pointer"&gt;1&lt;/Valeur&gt;</v>
      </c>
      <c r="AD175" t="str">
        <f t="shared" si="57"/>
        <v>&lt;Valeur name="idbanque"&gt;300760283626261100200EUR201903211077562200&lt;/Valeur&gt;</v>
      </c>
      <c r="AE175" t="str">
        <f t="shared" si="58"/>
        <v>&lt;Valeur name="datevaleur"&gt;2019/03/21&lt;/Valeur&gt;</v>
      </c>
      <c r="AF175" t="str">
        <f t="shared" si="59"/>
        <v>&lt;Valeur name="intitule"&gt;CB 454106 SMMATCH MAG 59BAVAY&lt;/Valeur&gt;</v>
      </c>
      <c r="AG175" t="str">
        <f t="shared" si="60"/>
        <v>&lt;Valeur name="description"&gt;&lt;/Valeur&gt;</v>
      </c>
      <c r="AH175" t="str">
        <f t="shared" si="61"/>
        <v>&lt;Valeur name="compte"&gt;27&lt;/Valeur&gt;</v>
      </c>
      <c r="AI175" t="str">
        <f t="shared" si="62"/>
        <v>&lt;Valeur name="solde"&gt;-4663.06&lt;/Valeur&gt;</v>
      </c>
      <c r="AJ175" t="str">
        <f t="shared" si="63"/>
        <v>&lt;Valeur name="ventiler"&gt;0&lt;/Valeur&gt;</v>
      </c>
      <c r="AK175" t="str">
        <f t="shared" si="64"/>
        <v>&lt;Valeur name="compta"&gt;1&lt;/Valeur&gt;</v>
      </c>
      <c r="AL175" t="str">
        <f t="shared" si="65"/>
        <v>&lt;Valeur name="valeur"&gt;10.5&lt;/Valeur&gt;</v>
      </c>
      <c r="AN175" t="str">
        <f t="shared" si="55"/>
        <v>&lt;Insert&gt;&lt;Valeur name="no"&gt;157&lt;/Valeur&gt;&lt;Valeur name="banque"&gt;1&lt;/Valeur&gt;&lt;Valeur name="pointer"&gt;1&lt;/Valeur&gt;&lt;Valeur name="idbanque"&gt;300760283626261100200EUR201903211077562200&lt;/Valeur&gt;&lt;Valeur name="datevaleur"&gt;2019/03/21&lt;/Valeur&gt;&lt;Valeur name="intitule"&gt;CB 454106 SMMATCH MAG 59BAVAY&lt;/Valeur&gt;&lt;Valeur name="description"&gt;&lt;/Valeur&gt;&lt;Valeur name="compte"&gt;27&lt;/Valeur&gt;&lt;Valeur name="solde"&gt;-4663.06&lt;/Valeur&gt;&lt;Valeur name="ventiler"&gt;0&lt;/Valeur&gt;&lt;Valeur name="compta"&gt;1&lt;/Valeur&gt;&lt;Valeur name="valeur"&gt;10.5&lt;/Valeur&gt;&lt;/Insert&gt;</v>
      </c>
    </row>
    <row r="176" spans="1:40" x14ac:dyDescent="0.25">
      <c r="A176" t="s">
        <v>17</v>
      </c>
      <c r="B176">
        <v>158</v>
      </c>
      <c r="C176" s="1">
        <v>43545</v>
      </c>
      <c r="D176">
        <v>1</v>
      </c>
      <c r="E176" t="str">
        <f>IF(F176&lt;&gt;"",INDEX(Balance!A:A,MATCH(F176,Balance!B:B,0)),"")</f>
        <v>Fournisseurs</v>
      </c>
      <c r="F176" t="s">
        <v>384</v>
      </c>
      <c r="G176" t="s">
        <v>18</v>
      </c>
      <c r="I176" s="10">
        <v>5.85</v>
      </c>
      <c r="K176" s="11">
        <f t="shared" si="68"/>
        <v>0.97499999999999964</v>
      </c>
      <c r="L176" s="10">
        <f t="shared" si="69"/>
        <v>-4668.9100000000035</v>
      </c>
      <c r="N176">
        <v>158</v>
      </c>
      <c r="O176">
        <v>1</v>
      </c>
      <c r="P176">
        <v>1</v>
      </c>
      <c r="Q176" t="str">
        <f t="shared" si="48"/>
        <v>300760283626261100200EUR201903211077562300</v>
      </c>
      <c r="R176" s="16" t="s">
        <v>964</v>
      </c>
      <c r="S176" t="str">
        <f t="shared" si="49"/>
        <v>CB 454106 LA POSTE 59 59BAVAY</v>
      </c>
      <c r="U176">
        <f>IFERROR(VLOOKUP(F176,tab!A:B,2,FALSE),1)</f>
        <v>76</v>
      </c>
      <c r="V176" s="14">
        <f t="shared" si="50"/>
        <v>-4668.9100000000035</v>
      </c>
      <c r="W176">
        <f t="shared" si="51"/>
        <v>0</v>
      </c>
      <c r="X176">
        <f t="shared" si="52"/>
        <v>1</v>
      </c>
      <c r="Y176" s="14">
        <f t="shared" si="53"/>
        <v>5.85</v>
      </c>
      <c r="AA176" t="str">
        <f t="shared" si="54"/>
        <v>&lt;Valeur name="no"&gt;158&lt;/Valeur&gt;</v>
      </c>
      <c r="AB176" t="str">
        <f t="shared" si="54"/>
        <v>&lt;Valeur name="banque"&gt;1&lt;/Valeur&gt;</v>
      </c>
      <c r="AC176" t="str">
        <f t="shared" si="56"/>
        <v>&lt;Valeur name="pointer"&gt;1&lt;/Valeur&gt;</v>
      </c>
      <c r="AD176" t="str">
        <f t="shared" si="57"/>
        <v>&lt;Valeur name="idbanque"&gt;300760283626261100200EUR201903211077562300&lt;/Valeur&gt;</v>
      </c>
      <c r="AE176" t="str">
        <f t="shared" si="58"/>
        <v>&lt;Valeur name="datevaleur"&gt;2019/03/21&lt;/Valeur&gt;</v>
      </c>
      <c r="AF176" t="str">
        <f t="shared" si="59"/>
        <v>&lt;Valeur name="intitule"&gt;CB 454106 LA POSTE 59 59BAVAY&lt;/Valeur&gt;</v>
      </c>
      <c r="AG176" t="str">
        <f t="shared" si="60"/>
        <v>&lt;Valeur name="description"&gt;&lt;/Valeur&gt;</v>
      </c>
      <c r="AH176" t="str">
        <f t="shared" si="61"/>
        <v>&lt;Valeur name="compte"&gt;76&lt;/Valeur&gt;</v>
      </c>
      <c r="AI176" t="str">
        <f t="shared" si="62"/>
        <v>&lt;Valeur name="solde"&gt;-4668.91&lt;/Valeur&gt;</v>
      </c>
      <c r="AJ176" t="str">
        <f t="shared" si="63"/>
        <v>&lt;Valeur name="ventiler"&gt;0&lt;/Valeur&gt;</v>
      </c>
      <c r="AK176" t="str">
        <f t="shared" si="64"/>
        <v>&lt;Valeur name="compta"&gt;1&lt;/Valeur&gt;</v>
      </c>
      <c r="AL176" t="str">
        <f t="shared" si="65"/>
        <v>&lt;Valeur name="valeur"&gt;5.85&lt;/Valeur&gt;</v>
      </c>
      <c r="AN176" t="str">
        <f t="shared" si="55"/>
        <v>&lt;Insert&gt;&lt;Valeur name="no"&gt;158&lt;/Valeur&gt;&lt;Valeur name="banque"&gt;1&lt;/Valeur&gt;&lt;Valeur name="pointer"&gt;1&lt;/Valeur&gt;&lt;Valeur name="idbanque"&gt;300760283626261100200EUR201903211077562300&lt;/Valeur&gt;&lt;Valeur name="datevaleur"&gt;2019/03/21&lt;/Valeur&gt;&lt;Valeur name="intitule"&gt;CB 454106 LA POSTE 59 59BAVAY&lt;/Valeur&gt;&lt;Valeur name="description"&gt;&lt;/Valeur&gt;&lt;Valeur name="compte"&gt;76&lt;/Valeur&gt;&lt;Valeur name="solde"&gt;-4668.91&lt;/Valeur&gt;&lt;Valeur name="ventiler"&gt;0&lt;/Valeur&gt;&lt;Valeur name="compta"&gt;1&lt;/Valeur&gt;&lt;Valeur name="valeur"&gt;5.85&lt;/Valeur&gt;&lt;/Insert&gt;</v>
      </c>
    </row>
    <row r="177" spans="1:40" x14ac:dyDescent="0.25">
      <c r="A177" t="s">
        <v>23</v>
      </c>
      <c r="B177">
        <v>159</v>
      </c>
      <c r="C177" s="1">
        <v>43545</v>
      </c>
      <c r="D177">
        <v>1</v>
      </c>
      <c r="E177" t="str">
        <f>IF(F177&lt;&gt;"",INDEX(Balance!A:A,MATCH(F177,Balance!B:B,0)),"")</f>
        <v>Fournisseurs</v>
      </c>
      <c r="F177" t="s">
        <v>383</v>
      </c>
      <c r="G177" t="s">
        <v>24</v>
      </c>
      <c r="I177" s="10">
        <v>63</v>
      </c>
      <c r="K177" s="11">
        <f t="shared" si="68"/>
        <v>10.5</v>
      </c>
      <c r="L177" s="10">
        <f t="shared" si="69"/>
        <v>-4731.9100000000035</v>
      </c>
      <c r="N177">
        <v>159</v>
      </c>
      <c r="O177">
        <v>1</v>
      </c>
      <c r="P177">
        <v>1</v>
      </c>
      <c r="Q177" t="str">
        <f t="shared" si="48"/>
        <v>300760283626261100200EUR201903211077562400</v>
      </c>
      <c r="R177" s="16" t="s">
        <v>964</v>
      </c>
      <c r="S177" t="str">
        <f t="shared" si="49"/>
        <v>CB 548222 SNCF        75PARIS 10</v>
      </c>
      <c r="U177">
        <f>IFERROR(VLOOKUP(F177,tab!A:B,2,FALSE),1)</f>
        <v>108</v>
      </c>
      <c r="V177" s="14">
        <f t="shared" si="50"/>
        <v>-4731.9100000000035</v>
      </c>
      <c r="W177">
        <f t="shared" si="51"/>
        <v>0</v>
      </c>
      <c r="X177">
        <f t="shared" si="52"/>
        <v>1</v>
      </c>
      <c r="Y177" s="14">
        <f t="shared" si="53"/>
        <v>63</v>
      </c>
      <c r="AA177" t="str">
        <f t="shared" si="54"/>
        <v>&lt;Valeur name="no"&gt;159&lt;/Valeur&gt;</v>
      </c>
      <c r="AB177" t="str">
        <f t="shared" si="54"/>
        <v>&lt;Valeur name="banque"&gt;1&lt;/Valeur&gt;</v>
      </c>
      <c r="AC177" t="str">
        <f t="shared" si="56"/>
        <v>&lt;Valeur name="pointer"&gt;1&lt;/Valeur&gt;</v>
      </c>
      <c r="AD177" t="str">
        <f t="shared" si="57"/>
        <v>&lt;Valeur name="idbanque"&gt;300760283626261100200EUR201903211077562400&lt;/Valeur&gt;</v>
      </c>
      <c r="AE177" t="str">
        <f t="shared" si="58"/>
        <v>&lt;Valeur name="datevaleur"&gt;2019/03/21&lt;/Valeur&gt;</v>
      </c>
      <c r="AF177" t="str">
        <f t="shared" si="59"/>
        <v>&lt;Valeur name="intitule"&gt;CB 548222 SNCF        75PARIS 10&lt;/Valeur&gt;</v>
      </c>
      <c r="AG177" t="str">
        <f t="shared" si="60"/>
        <v>&lt;Valeur name="description"&gt;&lt;/Valeur&gt;</v>
      </c>
      <c r="AH177" t="str">
        <f t="shared" si="61"/>
        <v>&lt;Valeur name="compte"&gt;108&lt;/Valeur&gt;</v>
      </c>
      <c r="AI177" t="str">
        <f t="shared" si="62"/>
        <v>&lt;Valeur name="solde"&gt;-4731.91&lt;/Valeur&gt;</v>
      </c>
      <c r="AJ177" t="str">
        <f t="shared" si="63"/>
        <v>&lt;Valeur name="ventiler"&gt;0&lt;/Valeur&gt;</v>
      </c>
      <c r="AK177" t="str">
        <f t="shared" si="64"/>
        <v>&lt;Valeur name="compta"&gt;1&lt;/Valeur&gt;</v>
      </c>
      <c r="AL177" t="str">
        <f t="shared" si="65"/>
        <v>&lt;Valeur name="valeur"&gt;63&lt;/Valeur&gt;</v>
      </c>
      <c r="AN177" t="str">
        <f t="shared" si="55"/>
        <v>&lt;Insert&gt;&lt;Valeur name="no"&gt;159&lt;/Valeur&gt;&lt;Valeur name="banque"&gt;1&lt;/Valeur&gt;&lt;Valeur name="pointer"&gt;1&lt;/Valeur&gt;&lt;Valeur name="idbanque"&gt;300760283626261100200EUR201903211077562400&lt;/Valeur&gt;&lt;Valeur name="datevaleur"&gt;2019/03/21&lt;/Valeur&gt;&lt;Valeur name="intitule"&gt;CB 548222 SNCF        75PARIS 10&lt;/Valeur&gt;&lt;Valeur name="description"&gt;&lt;/Valeur&gt;&lt;Valeur name="compte"&gt;108&lt;/Valeur&gt;&lt;Valeur name="solde"&gt;-4731.91&lt;/Valeur&gt;&lt;Valeur name="ventiler"&gt;0&lt;/Valeur&gt;&lt;Valeur name="compta"&gt;1&lt;/Valeur&gt;&lt;Valeur name="valeur"&gt;63&lt;/Valeur&gt;&lt;/Insert&gt;</v>
      </c>
    </row>
    <row r="178" spans="1:40" x14ac:dyDescent="0.25">
      <c r="A178" t="s">
        <v>21</v>
      </c>
      <c r="B178">
        <v>160</v>
      </c>
      <c r="C178" s="1">
        <v>43545</v>
      </c>
      <c r="D178">
        <v>1</v>
      </c>
      <c r="E178" t="str">
        <f>IF(F178&lt;&gt;"",INDEX(Balance!A:A,MATCH(F178,Balance!B:B,0)),"")</f>
        <v>Depense</v>
      </c>
      <c r="F178" t="s">
        <v>254</v>
      </c>
      <c r="G178" t="s">
        <v>22</v>
      </c>
      <c r="I178" s="10">
        <v>10.55</v>
      </c>
      <c r="K178" s="11">
        <f t="shared" si="68"/>
        <v>1.7583333333333329</v>
      </c>
      <c r="L178" s="10">
        <f t="shared" si="69"/>
        <v>-4742.4600000000037</v>
      </c>
      <c r="N178">
        <v>160</v>
      </c>
      <c r="O178">
        <v>1</v>
      </c>
      <c r="P178">
        <v>1</v>
      </c>
      <c r="Q178" t="str">
        <f t="shared" si="48"/>
        <v>300760283626261100200EUR201903211077562500</v>
      </c>
      <c r="R178" s="16" t="s">
        <v>964</v>
      </c>
      <c r="S178" t="str">
        <f t="shared" si="49"/>
        <v>CB 548222 ECG17285PAU 75PARIS</v>
      </c>
      <c r="U178">
        <f>IFERROR(VLOOKUP(F178,tab!A:B,2,FALSE),1)</f>
        <v>27</v>
      </c>
      <c r="V178" s="14">
        <f t="shared" si="50"/>
        <v>-4742.4600000000037</v>
      </c>
      <c r="W178">
        <f t="shared" si="51"/>
        <v>0</v>
      </c>
      <c r="X178">
        <f t="shared" si="52"/>
        <v>1</v>
      </c>
      <c r="Y178" s="14">
        <f t="shared" si="53"/>
        <v>10.55</v>
      </c>
      <c r="AA178" t="str">
        <f t="shared" si="54"/>
        <v>&lt;Valeur name="no"&gt;160&lt;/Valeur&gt;</v>
      </c>
      <c r="AB178" t="str">
        <f t="shared" si="54"/>
        <v>&lt;Valeur name="banque"&gt;1&lt;/Valeur&gt;</v>
      </c>
      <c r="AC178" t="str">
        <f t="shared" si="56"/>
        <v>&lt;Valeur name="pointer"&gt;1&lt;/Valeur&gt;</v>
      </c>
      <c r="AD178" t="str">
        <f t="shared" si="57"/>
        <v>&lt;Valeur name="idbanque"&gt;300760283626261100200EUR201903211077562500&lt;/Valeur&gt;</v>
      </c>
      <c r="AE178" t="str">
        <f t="shared" si="58"/>
        <v>&lt;Valeur name="datevaleur"&gt;2019/03/21&lt;/Valeur&gt;</v>
      </c>
      <c r="AF178" t="str">
        <f t="shared" si="59"/>
        <v>&lt;Valeur name="intitule"&gt;CB 548222 ECG17285PAU 75PARIS&lt;/Valeur&gt;</v>
      </c>
      <c r="AG178" t="str">
        <f t="shared" si="60"/>
        <v>&lt;Valeur name="description"&gt;&lt;/Valeur&gt;</v>
      </c>
      <c r="AH178" t="str">
        <f t="shared" si="61"/>
        <v>&lt;Valeur name="compte"&gt;27&lt;/Valeur&gt;</v>
      </c>
      <c r="AI178" t="str">
        <f t="shared" si="62"/>
        <v>&lt;Valeur name="solde"&gt;-4742.46&lt;/Valeur&gt;</v>
      </c>
      <c r="AJ178" t="str">
        <f t="shared" si="63"/>
        <v>&lt;Valeur name="ventiler"&gt;0&lt;/Valeur&gt;</v>
      </c>
      <c r="AK178" t="str">
        <f t="shared" si="64"/>
        <v>&lt;Valeur name="compta"&gt;1&lt;/Valeur&gt;</v>
      </c>
      <c r="AL178" t="str">
        <f t="shared" si="65"/>
        <v>&lt;Valeur name="valeur"&gt;10.55&lt;/Valeur&gt;</v>
      </c>
      <c r="AN178" t="str">
        <f t="shared" si="55"/>
        <v>&lt;Insert&gt;&lt;Valeur name="no"&gt;160&lt;/Valeur&gt;&lt;Valeur name="banque"&gt;1&lt;/Valeur&gt;&lt;Valeur name="pointer"&gt;1&lt;/Valeur&gt;&lt;Valeur name="idbanque"&gt;300760283626261100200EUR201903211077562500&lt;/Valeur&gt;&lt;Valeur name="datevaleur"&gt;2019/03/21&lt;/Valeur&gt;&lt;Valeur name="intitule"&gt;CB 548222 ECG17285PAU 75PARIS&lt;/Valeur&gt;&lt;Valeur name="description"&gt;&lt;/Valeur&gt;&lt;Valeur name="compte"&gt;27&lt;/Valeur&gt;&lt;Valeur name="solde"&gt;-4742.46&lt;/Valeur&gt;&lt;Valeur name="ventiler"&gt;0&lt;/Valeur&gt;&lt;Valeur name="compta"&gt;1&lt;/Valeur&gt;&lt;Valeur name="valeur"&gt;10.55&lt;/Valeur&gt;&lt;/Insert&gt;</v>
      </c>
    </row>
    <row r="179" spans="1:40" x14ac:dyDescent="0.25">
      <c r="A179" t="s">
        <v>14</v>
      </c>
      <c r="B179">
        <v>161</v>
      </c>
      <c r="C179" s="1">
        <v>43545</v>
      </c>
      <c r="D179">
        <v>1</v>
      </c>
      <c r="E179" t="str">
        <f>IF(F179&lt;&gt;"",INDEX(Balance!A:A,MATCH(F179,Balance!B:B,0)),"")</f>
        <v>Depense</v>
      </c>
      <c r="F179" t="s">
        <v>269</v>
      </c>
      <c r="G179" t="s">
        <v>15</v>
      </c>
      <c r="H179" t="s">
        <v>16</v>
      </c>
      <c r="I179" s="10">
        <v>154</v>
      </c>
      <c r="K179" s="11">
        <f t="shared" si="68"/>
        <v>25.666666666666657</v>
      </c>
      <c r="L179" s="10">
        <f t="shared" si="69"/>
        <v>-4896.4600000000037</v>
      </c>
      <c r="N179">
        <v>161</v>
      </c>
      <c r="O179">
        <v>1</v>
      </c>
      <c r="P179">
        <v>1</v>
      </c>
      <c r="Q179" t="str">
        <f t="shared" si="48"/>
        <v>300760283626261100200EUR201903216337445400</v>
      </c>
      <c r="R179" s="16" t="s">
        <v>964</v>
      </c>
      <c r="S179" t="str">
        <f t="shared" si="49"/>
        <v>PRLV B2B DGFIP / PASDSN15032019-022019-7945135310</v>
      </c>
      <c r="U179">
        <f>IFERROR(VLOOKUP(F179,tab!A:B,2,FALSE),1)</f>
        <v>14</v>
      </c>
      <c r="V179" s="14">
        <f t="shared" si="50"/>
        <v>-4896.4600000000037</v>
      </c>
      <c r="W179">
        <f t="shared" si="51"/>
        <v>0</v>
      </c>
      <c r="X179">
        <f t="shared" si="52"/>
        <v>1</v>
      </c>
      <c r="Y179" s="14">
        <f t="shared" si="53"/>
        <v>154</v>
      </c>
      <c r="AA179" t="str">
        <f t="shared" si="54"/>
        <v>&lt;Valeur name="no"&gt;161&lt;/Valeur&gt;</v>
      </c>
      <c r="AB179" t="str">
        <f t="shared" si="54"/>
        <v>&lt;Valeur name="banque"&gt;1&lt;/Valeur&gt;</v>
      </c>
      <c r="AC179" t="str">
        <f t="shared" si="56"/>
        <v>&lt;Valeur name="pointer"&gt;1&lt;/Valeur&gt;</v>
      </c>
      <c r="AD179" t="str">
        <f t="shared" si="57"/>
        <v>&lt;Valeur name="idbanque"&gt;300760283626261100200EUR201903216337445400&lt;/Valeur&gt;</v>
      </c>
      <c r="AE179" t="str">
        <f t="shared" si="58"/>
        <v>&lt;Valeur name="datevaleur"&gt;2019/03/21&lt;/Valeur&gt;</v>
      </c>
      <c r="AF179" t="str">
        <f t="shared" si="59"/>
        <v>&lt;Valeur name="intitule"&gt;PRLV B2B DGFIP / PASDSN15032019-022019-7945135310&lt;/Valeur&gt;</v>
      </c>
      <c r="AG179" t="str">
        <f t="shared" si="60"/>
        <v>&lt;Valeur name="description"&gt;&lt;/Valeur&gt;</v>
      </c>
      <c r="AH179" t="str">
        <f t="shared" si="61"/>
        <v>&lt;Valeur name="compte"&gt;14&lt;/Valeur&gt;</v>
      </c>
      <c r="AI179" t="str">
        <f t="shared" si="62"/>
        <v>&lt;Valeur name="solde"&gt;-4896.46&lt;/Valeur&gt;</v>
      </c>
      <c r="AJ179" t="str">
        <f t="shared" si="63"/>
        <v>&lt;Valeur name="ventiler"&gt;0&lt;/Valeur&gt;</v>
      </c>
      <c r="AK179" t="str">
        <f t="shared" si="64"/>
        <v>&lt;Valeur name="compta"&gt;1&lt;/Valeur&gt;</v>
      </c>
      <c r="AL179" t="str">
        <f t="shared" si="65"/>
        <v>&lt;Valeur name="valeur"&gt;154&lt;/Valeur&gt;</v>
      </c>
      <c r="AN179" t="str">
        <f t="shared" si="55"/>
        <v>&lt;Insert&gt;&lt;Valeur name="no"&gt;161&lt;/Valeur&gt;&lt;Valeur name="banque"&gt;1&lt;/Valeur&gt;&lt;Valeur name="pointer"&gt;1&lt;/Valeur&gt;&lt;Valeur name="idbanque"&gt;300760283626261100200EUR201903216337445400&lt;/Valeur&gt;&lt;Valeur name="datevaleur"&gt;2019/03/21&lt;/Valeur&gt;&lt;Valeur name="intitule"&gt;PRLV B2B DGFIP / PASDSN15032019-022019-7945135310&lt;/Valeur&gt;&lt;Valeur name="description"&gt;&lt;/Valeur&gt;&lt;Valeur name="compte"&gt;14&lt;/Valeur&gt;&lt;Valeur name="solde"&gt;-4896.46&lt;/Valeur&gt;&lt;Valeur name="ventiler"&gt;0&lt;/Valeur&gt;&lt;Valeur name="compta"&gt;1&lt;/Valeur&gt;&lt;Valeur name="valeur"&gt;154&lt;/Valeur&gt;&lt;/Insert&gt;</v>
      </c>
    </row>
    <row r="180" spans="1:40" x14ac:dyDescent="0.25">
      <c r="A180" t="s">
        <v>12</v>
      </c>
      <c r="B180">
        <v>162</v>
      </c>
      <c r="C180" s="1">
        <v>43549</v>
      </c>
      <c r="E180" t="str">
        <f>IF(F180&lt;&gt;"",INDEX(Balance!A:A,MATCH(F180,Balance!B:B,0)),"")</f>
        <v>Fournisseurs</v>
      </c>
      <c r="F180" t="s">
        <v>277</v>
      </c>
      <c r="G180" t="s">
        <v>13</v>
      </c>
      <c r="I180" s="10">
        <v>13.73</v>
      </c>
      <c r="K180" s="11">
        <f t="shared" si="68"/>
        <v>2.2883333333333322</v>
      </c>
      <c r="L180" s="10">
        <f t="shared" si="69"/>
        <v>-4910.1900000000032</v>
      </c>
      <c r="N180">
        <v>162</v>
      </c>
      <c r="O180">
        <v>1</v>
      </c>
      <c r="P180">
        <v>1</v>
      </c>
      <c r="Q180" t="str">
        <f t="shared" si="48"/>
        <v>300760283626261100200EUR201903250910416500</v>
      </c>
      <c r="R180" s="16" t="s">
        <v>965</v>
      </c>
      <c r="S180" t="str">
        <f t="shared" si="49"/>
        <v>RELEVE LCR DU  180319  CONFORME</v>
      </c>
      <c r="U180">
        <f>IFERROR(VLOOKUP(F180,tab!A:B,2,FALSE),1)</f>
        <v>62</v>
      </c>
      <c r="V180" s="14">
        <f t="shared" si="50"/>
        <v>-4910.1900000000032</v>
      </c>
      <c r="W180">
        <f t="shared" si="51"/>
        <v>0</v>
      </c>
      <c r="X180" t="str">
        <f t="shared" si="52"/>
        <v/>
      </c>
      <c r="Y180" s="14">
        <f t="shared" si="53"/>
        <v>13.73</v>
      </c>
      <c r="AA180" t="str">
        <f t="shared" si="54"/>
        <v>&lt;Valeur name="no"&gt;162&lt;/Valeur&gt;</v>
      </c>
      <c r="AB180" t="str">
        <f t="shared" si="54"/>
        <v>&lt;Valeur name="banque"&gt;1&lt;/Valeur&gt;</v>
      </c>
      <c r="AC180" t="str">
        <f t="shared" si="56"/>
        <v>&lt;Valeur name="pointer"&gt;1&lt;/Valeur&gt;</v>
      </c>
      <c r="AD180" t="str">
        <f t="shared" si="57"/>
        <v>&lt;Valeur name="idbanque"&gt;300760283626261100200EUR201903250910416500&lt;/Valeur&gt;</v>
      </c>
      <c r="AE180" t="str">
        <f t="shared" si="58"/>
        <v>&lt;Valeur name="datevaleur"&gt;2019/03/25&lt;/Valeur&gt;</v>
      </c>
      <c r="AF180" t="str">
        <f t="shared" si="59"/>
        <v>&lt;Valeur name="intitule"&gt;RELEVE LCR DU  180319  CONFORME&lt;/Valeur&gt;</v>
      </c>
      <c r="AG180" t="str">
        <f t="shared" si="60"/>
        <v>&lt;Valeur name="description"&gt;&lt;/Valeur&gt;</v>
      </c>
      <c r="AH180" t="str">
        <f t="shared" si="61"/>
        <v>&lt;Valeur name="compte"&gt;62&lt;/Valeur&gt;</v>
      </c>
      <c r="AI180" t="str">
        <f t="shared" si="62"/>
        <v>&lt;Valeur name="solde"&gt;-4910.19&lt;/Valeur&gt;</v>
      </c>
      <c r="AJ180" t="str">
        <f t="shared" si="63"/>
        <v>&lt;Valeur name="ventiler"&gt;0&lt;/Valeur&gt;</v>
      </c>
      <c r="AK180" t="str">
        <f t="shared" si="64"/>
        <v>&lt;Valeur name="compta"&gt;&lt;/Valeur&gt;</v>
      </c>
      <c r="AL180" t="str">
        <f t="shared" si="65"/>
        <v>&lt;Valeur name="valeur"&gt;13.73&lt;/Valeur&gt;</v>
      </c>
      <c r="AN180" t="str">
        <f t="shared" si="55"/>
        <v>&lt;Insert&gt;&lt;Valeur name="no"&gt;162&lt;/Valeur&gt;&lt;Valeur name="banque"&gt;1&lt;/Valeur&gt;&lt;Valeur name="pointer"&gt;1&lt;/Valeur&gt;&lt;Valeur name="idbanque"&gt;300760283626261100200EUR201903250910416500&lt;/Valeur&gt;&lt;Valeur name="datevaleur"&gt;2019/03/25&lt;/Valeur&gt;&lt;Valeur name="intitule"&gt;RELEVE LCR DU  180319  CONFORME&lt;/Valeur&gt;&lt;Valeur name="description"&gt;&lt;/Valeur&gt;&lt;Valeur name="compte"&gt;62&lt;/Valeur&gt;&lt;Valeur name="solde"&gt;-4910.19&lt;/Valeur&gt;&lt;Valeur name="ventiler"&gt;0&lt;/Valeur&gt;&lt;Valeur name="compta"&gt;&lt;/Valeur&gt;&lt;Valeur name="valeur"&gt;13.73&lt;/Valeur&gt;&lt;/Insert&gt;</v>
      </c>
    </row>
    <row r="181" spans="1:40" x14ac:dyDescent="0.25">
      <c r="A181" t="s">
        <v>10</v>
      </c>
      <c r="B181">
        <v>163</v>
      </c>
      <c r="C181" s="1">
        <v>43549</v>
      </c>
      <c r="D181">
        <v>1</v>
      </c>
      <c r="E181" t="str">
        <f>IF(F181&lt;&gt;"",INDEX(Balance!A:A,MATCH(F181,Balance!B:B,0)),"")</f>
        <v>Depense</v>
      </c>
      <c r="F181" t="s">
        <v>254</v>
      </c>
      <c r="G181" t="s">
        <v>11</v>
      </c>
      <c r="I181" s="10">
        <v>12.2</v>
      </c>
      <c r="K181" s="11">
        <f t="shared" si="68"/>
        <v>2.0333333333333332</v>
      </c>
      <c r="L181" s="10">
        <f t="shared" si="69"/>
        <v>-4922.3900000000031</v>
      </c>
      <c r="N181">
        <v>163</v>
      </c>
      <c r="O181">
        <v>1</v>
      </c>
      <c r="P181">
        <v>1</v>
      </c>
      <c r="Q181" t="str">
        <f t="shared" si="48"/>
        <v>300760283626261100200EUR201903251071243300</v>
      </c>
      <c r="R181" s="16" t="s">
        <v>965</v>
      </c>
      <c r="S181" t="str">
        <f t="shared" si="49"/>
        <v>CB 548222 SARRASINE   59FAMARS</v>
      </c>
      <c r="U181">
        <f>IFERROR(VLOOKUP(F181,tab!A:B,2,FALSE),1)</f>
        <v>27</v>
      </c>
      <c r="V181" s="14">
        <f t="shared" si="50"/>
        <v>-4922.3900000000031</v>
      </c>
      <c r="W181">
        <f t="shared" si="51"/>
        <v>0</v>
      </c>
      <c r="X181">
        <f t="shared" si="52"/>
        <v>1</v>
      </c>
      <c r="Y181" s="14">
        <f t="shared" si="53"/>
        <v>12.2</v>
      </c>
      <c r="AA181" t="str">
        <f t="shared" si="54"/>
        <v>&lt;Valeur name="no"&gt;163&lt;/Valeur&gt;</v>
      </c>
      <c r="AB181" t="str">
        <f t="shared" si="54"/>
        <v>&lt;Valeur name="banque"&gt;1&lt;/Valeur&gt;</v>
      </c>
      <c r="AC181" t="str">
        <f t="shared" si="56"/>
        <v>&lt;Valeur name="pointer"&gt;1&lt;/Valeur&gt;</v>
      </c>
      <c r="AD181" t="str">
        <f t="shared" si="57"/>
        <v>&lt;Valeur name="idbanque"&gt;300760283626261100200EUR201903251071243300&lt;/Valeur&gt;</v>
      </c>
      <c r="AE181" t="str">
        <f t="shared" si="58"/>
        <v>&lt;Valeur name="datevaleur"&gt;2019/03/25&lt;/Valeur&gt;</v>
      </c>
      <c r="AF181" t="str">
        <f t="shared" si="59"/>
        <v>&lt;Valeur name="intitule"&gt;CB 548222 SARRASINE   59FAMARS&lt;/Valeur&gt;</v>
      </c>
      <c r="AG181" t="str">
        <f t="shared" si="60"/>
        <v>&lt;Valeur name="description"&gt;&lt;/Valeur&gt;</v>
      </c>
      <c r="AH181" t="str">
        <f t="shared" si="61"/>
        <v>&lt;Valeur name="compte"&gt;27&lt;/Valeur&gt;</v>
      </c>
      <c r="AI181" t="str">
        <f t="shared" si="62"/>
        <v>&lt;Valeur name="solde"&gt;-4922.39&lt;/Valeur&gt;</v>
      </c>
      <c r="AJ181" t="str">
        <f t="shared" si="63"/>
        <v>&lt;Valeur name="ventiler"&gt;0&lt;/Valeur&gt;</v>
      </c>
      <c r="AK181" t="str">
        <f t="shared" si="64"/>
        <v>&lt;Valeur name="compta"&gt;1&lt;/Valeur&gt;</v>
      </c>
      <c r="AL181" t="str">
        <f t="shared" si="65"/>
        <v>&lt;Valeur name="valeur"&gt;12.2&lt;/Valeur&gt;</v>
      </c>
      <c r="AN181" t="str">
        <f t="shared" si="55"/>
        <v>&lt;Insert&gt;&lt;Valeur name="no"&gt;163&lt;/Valeur&gt;&lt;Valeur name="banque"&gt;1&lt;/Valeur&gt;&lt;Valeur name="pointer"&gt;1&lt;/Valeur&gt;&lt;Valeur name="idbanque"&gt;300760283626261100200EUR201903251071243300&lt;/Valeur&gt;&lt;Valeur name="datevaleur"&gt;2019/03/25&lt;/Valeur&gt;&lt;Valeur name="intitule"&gt;CB 548222 SARRASINE   59FAMARS&lt;/Valeur&gt;&lt;Valeur name="description"&gt;&lt;/Valeur&gt;&lt;Valeur name="compte"&gt;27&lt;/Valeur&gt;&lt;Valeur name="solde"&gt;-4922.39&lt;/Valeur&gt;&lt;Valeur name="ventiler"&gt;0&lt;/Valeur&gt;&lt;Valeur name="compta"&gt;1&lt;/Valeur&gt;&lt;Valeur name="valeur"&gt;12.2&lt;/Valeur&gt;&lt;/Insert&gt;</v>
      </c>
    </row>
    <row r="182" spans="1:40" x14ac:dyDescent="0.25">
      <c r="A182" t="s">
        <v>8</v>
      </c>
      <c r="B182">
        <v>164</v>
      </c>
      <c r="C182" s="1">
        <v>43550</v>
      </c>
      <c r="D182">
        <v>1</v>
      </c>
      <c r="E182" t="str">
        <f>IF(F182&lt;&gt;"",INDEX(Balance!A:A,MATCH(F182,Balance!B:B,0)),"")</f>
        <v>Depense</v>
      </c>
      <c r="F182" t="s">
        <v>253</v>
      </c>
      <c r="G182" t="s">
        <v>9</v>
      </c>
      <c r="I182" s="10">
        <v>82.96</v>
      </c>
      <c r="K182" s="11">
        <f t="shared" si="68"/>
        <v>13.826666666666668</v>
      </c>
      <c r="L182" s="10">
        <f t="shared" si="69"/>
        <v>-5005.3500000000031</v>
      </c>
      <c r="N182">
        <v>164</v>
      </c>
      <c r="O182">
        <v>1</v>
      </c>
      <c r="P182">
        <v>1</v>
      </c>
      <c r="Q182" t="str">
        <f t="shared" si="48"/>
        <v>300760283626261100200EUR201903261078330000</v>
      </c>
      <c r="R182" s="16" t="s">
        <v>966</v>
      </c>
      <c r="S182" t="str">
        <f t="shared" si="49"/>
        <v>CB 548222 DAC AUCHAN  59VALENCIE</v>
      </c>
      <c r="U182">
        <f>IFERROR(VLOOKUP(F182,tab!A:B,2,FALSE),1)</f>
        <v>13</v>
      </c>
      <c r="V182" s="14">
        <f t="shared" si="50"/>
        <v>-5005.3500000000031</v>
      </c>
      <c r="W182">
        <f t="shared" si="51"/>
        <v>0</v>
      </c>
      <c r="X182">
        <f t="shared" si="52"/>
        <v>1</v>
      </c>
      <c r="Y182" s="14">
        <f t="shared" si="53"/>
        <v>82.96</v>
      </c>
      <c r="AA182" t="str">
        <f t="shared" si="54"/>
        <v>&lt;Valeur name="no"&gt;164&lt;/Valeur&gt;</v>
      </c>
      <c r="AB182" t="str">
        <f t="shared" si="54"/>
        <v>&lt;Valeur name="banque"&gt;1&lt;/Valeur&gt;</v>
      </c>
      <c r="AC182" t="str">
        <f t="shared" si="56"/>
        <v>&lt;Valeur name="pointer"&gt;1&lt;/Valeur&gt;</v>
      </c>
      <c r="AD182" t="str">
        <f t="shared" si="57"/>
        <v>&lt;Valeur name="idbanque"&gt;300760283626261100200EUR201903261078330000&lt;/Valeur&gt;</v>
      </c>
      <c r="AE182" t="str">
        <f t="shared" si="58"/>
        <v>&lt;Valeur name="datevaleur"&gt;2019/03/26&lt;/Valeur&gt;</v>
      </c>
      <c r="AF182" t="str">
        <f t="shared" si="59"/>
        <v>&lt;Valeur name="intitule"&gt;CB 548222 DAC AUCHAN  59VALENCIE&lt;/Valeur&gt;</v>
      </c>
      <c r="AG182" t="str">
        <f t="shared" si="60"/>
        <v>&lt;Valeur name="description"&gt;&lt;/Valeur&gt;</v>
      </c>
      <c r="AH182" t="str">
        <f t="shared" si="61"/>
        <v>&lt;Valeur name="compte"&gt;13&lt;/Valeur&gt;</v>
      </c>
      <c r="AI182" t="str">
        <f t="shared" si="62"/>
        <v>&lt;Valeur name="solde"&gt;-5005.35&lt;/Valeur&gt;</v>
      </c>
      <c r="AJ182" t="str">
        <f t="shared" si="63"/>
        <v>&lt;Valeur name="ventiler"&gt;0&lt;/Valeur&gt;</v>
      </c>
      <c r="AK182" t="str">
        <f t="shared" si="64"/>
        <v>&lt;Valeur name="compta"&gt;1&lt;/Valeur&gt;</v>
      </c>
      <c r="AL182" t="str">
        <f t="shared" si="65"/>
        <v>&lt;Valeur name="valeur"&gt;82.96&lt;/Valeur&gt;</v>
      </c>
      <c r="AN182" t="str">
        <f t="shared" si="55"/>
        <v>&lt;Insert&gt;&lt;Valeur name="no"&gt;164&lt;/Valeur&gt;&lt;Valeur name="banque"&gt;1&lt;/Valeur&gt;&lt;Valeur name="pointer"&gt;1&lt;/Valeur&gt;&lt;Valeur name="idbanque"&gt;300760283626261100200EUR201903261078330000&lt;/Valeur&gt;&lt;Valeur name="datevaleur"&gt;2019/03/26&lt;/Valeur&gt;&lt;Valeur name="intitule"&gt;CB 548222 DAC AUCHAN  59VALENCIE&lt;/Valeur&gt;&lt;Valeur name="description"&gt;&lt;/Valeur&gt;&lt;Valeur name="compte"&gt;13&lt;/Valeur&gt;&lt;Valeur name="solde"&gt;-5005.35&lt;/Valeur&gt;&lt;Valeur name="ventiler"&gt;0&lt;/Valeur&gt;&lt;Valeur name="compta"&gt;1&lt;/Valeur&gt;&lt;Valeur name="valeur"&gt;82.96&lt;/Valeur&gt;&lt;/Insert&gt;</v>
      </c>
    </row>
    <row r="183" spans="1:40" x14ac:dyDescent="0.25">
      <c r="A183" t="s">
        <v>6</v>
      </c>
      <c r="B183">
        <v>165</v>
      </c>
      <c r="C183" s="1">
        <v>43550</v>
      </c>
      <c r="D183">
        <v>1</v>
      </c>
      <c r="E183" t="str">
        <f>IF(F183&lt;&gt;"",INDEX(Balance!A:A,MATCH(F183,Balance!B:B,0)),"")</f>
        <v>Depense</v>
      </c>
      <c r="F183" t="s">
        <v>254</v>
      </c>
      <c r="G183" t="s">
        <v>7</v>
      </c>
      <c r="I183" s="10">
        <v>30.9</v>
      </c>
      <c r="K183" s="11">
        <f t="shared" si="68"/>
        <v>5.1499999999999986</v>
      </c>
      <c r="L183" s="10">
        <f t="shared" si="69"/>
        <v>-5036.2500000000027</v>
      </c>
      <c r="N183">
        <v>165</v>
      </c>
      <c r="O183">
        <v>1</v>
      </c>
      <c r="P183">
        <v>1</v>
      </c>
      <c r="Q183" t="str">
        <f t="shared" si="48"/>
        <v>300760283626261100200EUR201903261078330100</v>
      </c>
      <c r="R183" s="16" t="s">
        <v>966</v>
      </c>
      <c r="S183" t="str">
        <f t="shared" si="49"/>
        <v>CB 454106 SNACK THIER 59BAVAY</v>
      </c>
      <c r="U183">
        <f>IFERROR(VLOOKUP(F183,tab!A:B,2,FALSE),1)</f>
        <v>27</v>
      </c>
      <c r="V183" s="14">
        <f t="shared" si="50"/>
        <v>-5036.2500000000027</v>
      </c>
      <c r="W183">
        <f t="shared" si="51"/>
        <v>0</v>
      </c>
      <c r="X183">
        <f t="shared" si="52"/>
        <v>1</v>
      </c>
      <c r="Y183" s="14">
        <f t="shared" si="53"/>
        <v>30.9</v>
      </c>
      <c r="AA183" t="str">
        <f t="shared" si="54"/>
        <v>&lt;Valeur name="no"&gt;165&lt;/Valeur&gt;</v>
      </c>
      <c r="AB183" t="str">
        <f t="shared" si="54"/>
        <v>&lt;Valeur name="banque"&gt;1&lt;/Valeur&gt;</v>
      </c>
      <c r="AC183" t="str">
        <f t="shared" si="56"/>
        <v>&lt;Valeur name="pointer"&gt;1&lt;/Valeur&gt;</v>
      </c>
      <c r="AD183" t="str">
        <f t="shared" si="57"/>
        <v>&lt;Valeur name="idbanque"&gt;300760283626261100200EUR201903261078330100&lt;/Valeur&gt;</v>
      </c>
      <c r="AE183" t="str">
        <f t="shared" si="58"/>
        <v>&lt;Valeur name="datevaleur"&gt;2019/03/26&lt;/Valeur&gt;</v>
      </c>
      <c r="AF183" t="str">
        <f t="shared" si="59"/>
        <v>&lt;Valeur name="intitule"&gt;CB 454106 SNACK THIER 59BAVAY&lt;/Valeur&gt;</v>
      </c>
      <c r="AG183" t="str">
        <f t="shared" si="60"/>
        <v>&lt;Valeur name="description"&gt;&lt;/Valeur&gt;</v>
      </c>
      <c r="AH183" t="str">
        <f t="shared" si="61"/>
        <v>&lt;Valeur name="compte"&gt;27&lt;/Valeur&gt;</v>
      </c>
      <c r="AI183" t="str">
        <f t="shared" si="62"/>
        <v>&lt;Valeur name="solde"&gt;-5036.25&lt;/Valeur&gt;</v>
      </c>
      <c r="AJ183" t="str">
        <f t="shared" si="63"/>
        <v>&lt;Valeur name="ventiler"&gt;0&lt;/Valeur&gt;</v>
      </c>
      <c r="AK183" t="str">
        <f t="shared" si="64"/>
        <v>&lt;Valeur name="compta"&gt;1&lt;/Valeur&gt;</v>
      </c>
      <c r="AL183" t="str">
        <f t="shared" si="65"/>
        <v>&lt;Valeur name="valeur"&gt;30.9&lt;/Valeur&gt;</v>
      </c>
      <c r="AN183" t="str">
        <f t="shared" si="55"/>
        <v>&lt;Insert&gt;&lt;Valeur name="no"&gt;165&lt;/Valeur&gt;&lt;Valeur name="banque"&gt;1&lt;/Valeur&gt;&lt;Valeur name="pointer"&gt;1&lt;/Valeur&gt;&lt;Valeur name="idbanque"&gt;300760283626261100200EUR201903261078330100&lt;/Valeur&gt;&lt;Valeur name="datevaleur"&gt;2019/03/26&lt;/Valeur&gt;&lt;Valeur name="intitule"&gt;CB 454106 SNACK THIER 59BAVAY&lt;/Valeur&gt;&lt;Valeur name="description"&gt;&lt;/Valeur&gt;&lt;Valeur name="compte"&gt;27&lt;/Valeur&gt;&lt;Valeur name="solde"&gt;-5036.25&lt;/Valeur&gt;&lt;Valeur name="ventiler"&gt;0&lt;/Valeur&gt;&lt;Valeur name="compta"&gt;1&lt;/Valeur&gt;&lt;Valeur name="valeur"&gt;30.9&lt;/Valeur&gt;&lt;/Insert&gt;</v>
      </c>
    </row>
    <row r="184" spans="1:40" x14ac:dyDescent="0.25">
      <c r="A184" t="s">
        <v>385</v>
      </c>
      <c r="B184">
        <v>166</v>
      </c>
      <c r="C184" s="1">
        <v>43551</v>
      </c>
      <c r="D184">
        <v>1</v>
      </c>
      <c r="E184" t="str">
        <f>IF(F184&lt;&gt;"",INDEX(Balance!A:A,MATCH(F184,Balance!B:B,0)),"")</f>
        <v>Depense</v>
      </c>
      <c r="F184" t="s">
        <v>253</v>
      </c>
      <c r="G184" t="s">
        <v>142</v>
      </c>
      <c r="I184" s="10">
        <v>71.89</v>
      </c>
      <c r="K184" s="11">
        <f t="shared" si="68"/>
        <v>11.981666666666662</v>
      </c>
      <c r="L184" s="10">
        <f t="shared" si="69"/>
        <v>-5108.1400000000031</v>
      </c>
      <c r="N184">
        <v>166</v>
      </c>
      <c r="O184">
        <v>1</v>
      </c>
      <c r="P184">
        <v>1</v>
      </c>
      <c r="Q184" t="str">
        <f t="shared" si="48"/>
        <v>300760283626261100200EUR201903271076973200</v>
      </c>
      <c r="R184" s="16" t="s">
        <v>967</v>
      </c>
      <c r="S184" t="str">
        <f t="shared" si="49"/>
        <v>CB 454106 DAC SM MATC 59BAVAY</v>
      </c>
      <c r="U184">
        <f>IFERROR(VLOOKUP(F184,tab!A:B,2,FALSE),1)</f>
        <v>13</v>
      </c>
      <c r="V184" s="14">
        <f t="shared" si="50"/>
        <v>-5108.1400000000031</v>
      </c>
      <c r="W184">
        <f t="shared" si="51"/>
        <v>0</v>
      </c>
      <c r="X184">
        <f t="shared" si="52"/>
        <v>1</v>
      </c>
      <c r="Y184" s="14">
        <f t="shared" si="53"/>
        <v>71.89</v>
      </c>
      <c r="AA184" t="str">
        <f t="shared" si="54"/>
        <v>&lt;Valeur name="no"&gt;166&lt;/Valeur&gt;</v>
      </c>
      <c r="AB184" t="str">
        <f t="shared" si="54"/>
        <v>&lt;Valeur name="banque"&gt;1&lt;/Valeur&gt;</v>
      </c>
      <c r="AC184" t="str">
        <f t="shared" si="56"/>
        <v>&lt;Valeur name="pointer"&gt;1&lt;/Valeur&gt;</v>
      </c>
      <c r="AD184" t="str">
        <f t="shared" si="57"/>
        <v>&lt;Valeur name="idbanque"&gt;300760283626261100200EUR201903271076973200&lt;/Valeur&gt;</v>
      </c>
      <c r="AE184" t="str">
        <f t="shared" si="58"/>
        <v>&lt;Valeur name="datevaleur"&gt;2019/03/27&lt;/Valeur&gt;</v>
      </c>
      <c r="AF184" t="str">
        <f t="shared" si="59"/>
        <v>&lt;Valeur name="intitule"&gt;CB 454106 DAC SM MATC 59BAVAY&lt;/Valeur&gt;</v>
      </c>
      <c r="AG184" t="str">
        <f t="shared" si="60"/>
        <v>&lt;Valeur name="description"&gt;&lt;/Valeur&gt;</v>
      </c>
      <c r="AH184" t="str">
        <f t="shared" si="61"/>
        <v>&lt;Valeur name="compte"&gt;13&lt;/Valeur&gt;</v>
      </c>
      <c r="AI184" t="str">
        <f t="shared" si="62"/>
        <v>&lt;Valeur name="solde"&gt;-5108.14&lt;/Valeur&gt;</v>
      </c>
      <c r="AJ184" t="str">
        <f t="shared" si="63"/>
        <v>&lt;Valeur name="ventiler"&gt;0&lt;/Valeur&gt;</v>
      </c>
      <c r="AK184" t="str">
        <f t="shared" si="64"/>
        <v>&lt;Valeur name="compta"&gt;1&lt;/Valeur&gt;</v>
      </c>
      <c r="AL184" t="str">
        <f t="shared" si="65"/>
        <v>&lt;Valeur name="valeur"&gt;71.89&lt;/Valeur&gt;</v>
      </c>
      <c r="AN184" t="str">
        <f t="shared" si="55"/>
        <v>&lt;Insert&gt;&lt;Valeur name="no"&gt;166&lt;/Valeur&gt;&lt;Valeur name="banque"&gt;1&lt;/Valeur&gt;&lt;Valeur name="pointer"&gt;1&lt;/Valeur&gt;&lt;Valeur name="idbanque"&gt;300760283626261100200EUR201903271076973200&lt;/Valeur&gt;&lt;Valeur name="datevaleur"&gt;2019/03/27&lt;/Valeur&gt;&lt;Valeur name="intitule"&gt;CB 454106 DAC SM MATC 59BAVAY&lt;/Valeur&gt;&lt;Valeur name="description"&gt;&lt;/Valeur&gt;&lt;Valeur name="compte"&gt;13&lt;/Valeur&gt;&lt;Valeur name="solde"&gt;-5108.14&lt;/Valeur&gt;&lt;Valeur name="ventiler"&gt;0&lt;/Valeur&gt;&lt;Valeur name="compta"&gt;1&lt;/Valeur&gt;&lt;Valeur name="valeur"&gt;71.89&lt;/Valeur&gt;&lt;/Insert&gt;</v>
      </c>
    </row>
    <row r="185" spans="1:40" x14ac:dyDescent="0.25">
      <c r="A185" t="s">
        <v>386</v>
      </c>
      <c r="B185">
        <v>167</v>
      </c>
      <c r="C185" s="1">
        <v>43551</v>
      </c>
      <c r="D185">
        <v>1</v>
      </c>
      <c r="E185" t="str">
        <f>IF(F185&lt;&gt;"",INDEX(Balance!A:A,MATCH(F185,Balance!B:B,0)),"")</f>
        <v>Depense</v>
      </c>
      <c r="F185" t="s">
        <v>272</v>
      </c>
      <c r="G185" t="s">
        <v>15</v>
      </c>
      <c r="H185" t="s">
        <v>387</v>
      </c>
      <c r="I185" s="10">
        <v>4845</v>
      </c>
      <c r="K185" s="11">
        <f t="shared" si="68"/>
        <v>807.5</v>
      </c>
      <c r="L185" s="10">
        <f t="shared" si="69"/>
        <v>-9953.1400000000031</v>
      </c>
      <c r="N185">
        <v>167</v>
      </c>
      <c r="O185">
        <v>1</v>
      </c>
      <c r="P185">
        <v>1</v>
      </c>
      <c r="Q185" t="str">
        <f t="shared" si="48"/>
        <v>300760283626261100200EUR201903276333073800</v>
      </c>
      <c r="R185" s="16" t="s">
        <v>967</v>
      </c>
      <c r="S185" t="str">
        <f t="shared" si="49"/>
        <v>PRLV B2B DGFIP / TVA1-032019-3310CA3</v>
      </c>
      <c r="U185">
        <f>IFERROR(VLOOKUP(F185,tab!A:B,2,FALSE),1)</f>
        <v>29</v>
      </c>
      <c r="V185" s="14">
        <f t="shared" si="50"/>
        <v>-9953.1400000000031</v>
      </c>
      <c r="W185">
        <f t="shared" si="51"/>
        <v>0</v>
      </c>
      <c r="X185">
        <f t="shared" si="52"/>
        <v>1</v>
      </c>
      <c r="Y185" s="14">
        <f t="shared" si="53"/>
        <v>4845</v>
      </c>
      <c r="AA185" t="str">
        <f t="shared" si="54"/>
        <v>&lt;Valeur name="no"&gt;167&lt;/Valeur&gt;</v>
      </c>
      <c r="AB185" t="str">
        <f t="shared" si="54"/>
        <v>&lt;Valeur name="banque"&gt;1&lt;/Valeur&gt;</v>
      </c>
      <c r="AC185" t="str">
        <f t="shared" si="56"/>
        <v>&lt;Valeur name="pointer"&gt;1&lt;/Valeur&gt;</v>
      </c>
      <c r="AD185" t="str">
        <f t="shared" si="57"/>
        <v>&lt;Valeur name="idbanque"&gt;300760283626261100200EUR201903276333073800&lt;/Valeur&gt;</v>
      </c>
      <c r="AE185" t="str">
        <f t="shared" si="58"/>
        <v>&lt;Valeur name="datevaleur"&gt;2019/03/27&lt;/Valeur&gt;</v>
      </c>
      <c r="AF185" t="str">
        <f t="shared" si="59"/>
        <v>&lt;Valeur name="intitule"&gt;PRLV B2B DGFIP / TVA1-032019-3310CA3&lt;/Valeur&gt;</v>
      </c>
      <c r="AG185" t="str">
        <f t="shared" si="60"/>
        <v>&lt;Valeur name="description"&gt;&lt;/Valeur&gt;</v>
      </c>
      <c r="AH185" t="str">
        <f t="shared" si="61"/>
        <v>&lt;Valeur name="compte"&gt;29&lt;/Valeur&gt;</v>
      </c>
      <c r="AI185" t="str">
        <f t="shared" si="62"/>
        <v>&lt;Valeur name="solde"&gt;-9953.14&lt;/Valeur&gt;</v>
      </c>
      <c r="AJ185" t="str">
        <f t="shared" si="63"/>
        <v>&lt;Valeur name="ventiler"&gt;0&lt;/Valeur&gt;</v>
      </c>
      <c r="AK185" t="str">
        <f t="shared" si="64"/>
        <v>&lt;Valeur name="compta"&gt;1&lt;/Valeur&gt;</v>
      </c>
      <c r="AL185" t="str">
        <f t="shared" si="65"/>
        <v>&lt;Valeur name="valeur"&gt;4845&lt;/Valeur&gt;</v>
      </c>
      <c r="AN185" t="str">
        <f t="shared" si="55"/>
        <v>&lt;Insert&gt;&lt;Valeur name="no"&gt;167&lt;/Valeur&gt;&lt;Valeur name="banque"&gt;1&lt;/Valeur&gt;&lt;Valeur name="pointer"&gt;1&lt;/Valeur&gt;&lt;Valeur name="idbanque"&gt;300760283626261100200EUR201903276333073800&lt;/Valeur&gt;&lt;Valeur name="datevaleur"&gt;2019/03/27&lt;/Valeur&gt;&lt;Valeur name="intitule"&gt;PRLV B2B DGFIP / TVA1-032019-3310CA3&lt;/Valeur&gt;&lt;Valeur name="description"&gt;&lt;/Valeur&gt;&lt;Valeur name="compte"&gt;29&lt;/Valeur&gt;&lt;Valeur name="solde"&gt;-9953.14&lt;/Valeur&gt;&lt;Valeur name="ventiler"&gt;0&lt;/Valeur&gt;&lt;Valeur name="compta"&gt;1&lt;/Valeur&gt;&lt;Valeur name="valeur"&gt;4845&lt;/Valeur&gt;&lt;/Insert&gt;</v>
      </c>
    </row>
    <row r="186" spans="1:40" x14ac:dyDescent="0.25">
      <c r="A186" t="s">
        <v>388</v>
      </c>
      <c r="B186">
        <v>168</v>
      </c>
      <c r="C186" s="1">
        <v>43551</v>
      </c>
      <c r="E186" t="str">
        <f>IF(F186&lt;&gt;"",INDEX(Balance!A:A,MATCH(F186,Balance!B:B,0)),"")</f>
        <v>Client</v>
      </c>
      <c r="F186" t="s">
        <v>431</v>
      </c>
      <c r="G186" t="s">
        <v>144</v>
      </c>
      <c r="J186" s="10">
        <v>2400</v>
      </c>
      <c r="K186" s="11">
        <f t="shared" si="68"/>
        <v>-400</v>
      </c>
      <c r="L186" s="10">
        <f t="shared" si="69"/>
        <v>-7553.1400000000031</v>
      </c>
      <c r="N186">
        <v>168</v>
      </c>
      <c r="O186">
        <v>1</v>
      </c>
      <c r="P186">
        <v>1</v>
      </c>
      <c r="Q186" t="str">
        <f t="shared" si="48"/>
        <v>300760283626261100200EUR201903278300790700</v>
      </c>
      <c r="R186" s="16" t="s">
        <v>967</v>
      </c>
      <c r="S186" t="str">
        <f t="shared" si="49"/>
        <v>REMISE CHEQUES</v>
      </c>
      <c r="U186">
        <f>IFERROR(VLOOKUP(F186,tab!A:B,2,FALSE),1)</f>
        <v>8</v>
      </c>
      <c r="V186" s="14">
        <f t="shared" si="50"/>
        <v>-7553.1400000000031</v>
      </c>
      <c r="W186">
        <f t="shared" si="51"/>
        <v>0</v>
      </c>
      <c r="X186" t="str">
        <f t="shared" si="52"/>
        <v/>
      </c>
      <c r="Y186" s="14">
        <f t="shared" si="53"/>
        <v>2400</v>
      </c>
      <c r="AA186" t="str">
        <f t="shared" si="54"/>
        <v>&lt;Valeur name="no"&gt;168&lt;/Valeur&gt;</v>
      </c>
      <c r="AB186" t="str">
        <f t="shared" si="54"/>
        <v>&lt;Valeur name="banque"&gt;1&lt;/Valeur&gt;</v>
      </c>
      <c r="AC186" t="str">
        <f t="shared" si="56"/>
        <v>&lt;Valeur name="pointer"&gt;1&lt;/Valeur&gt;</v>
      </c>
      <c r="AD186" t="str">
        <f t="shared" si="57"/>
        <v>&lt;Valeur name="idbanque"&gt;300760283626261100200EUR201903278300790700&lt;/Valeur&gt;</v>
      </c>
      <c r="AE186" t="str">
        <f t="shared" si="58"/>
        <v>&lt;Valeur name="datevaleur"&gt;2019/03/27&lt;/Valeur&gt;</v>
      </c>
      <c r="AF186" t="str">
        <f t="shared" si="59"/>
        <v>&lt;Valeur name="intitule"&gt;REMISE CHEQUES&lt;/Valeur&gt;</v>
      </c>
      <c r="AG186" t="str">
        <f t="shared" si="60"/>
        <v>&lt;Valeur name="description"&gt;&lt;/Valeur&gt;</v>
      </c>
      <c r="AH186" t="str">
        <f t="shared" si="61"/>
        <v>&lt;Valeur name="compte"&gt;8&lt;/Valeur&gt;</v>
      </c>
      <c r="AI186" t="str">
        <f t="shared" si="62"/>
        <v>&lt;Valeur name="solde"&gt;-7553.14&lt;/Valeur&gt;</v>
      </c>
      <c r="AJ186" t="str">
        <f t="shared" si="63"/>
        <v>&lt;Valeur name="ventiler"&gt;0&lt;/Valeur&gt;</v>
      </c>
      <c r="AK186" t="str">
        <f t="shared" si="64"/>
        <v>&lt;Valeur name="compta"&gt;&lt;/Valeur&gt;</v>
      </c>
      <c r="AL186" t="str">
        <f t="shared" si="65"/>
        <v>&lt;Valeur name="valeur"&gt;2400&lt;/Valeur&gt;</v>
      </c>
      <c r="AN186" t="str">
        <f t="shared" si="55"/>
        <v>&lt;Insert&gt;&lt;Valeur name="no"&gt;168&lt;/Valeur&gt;&lt;Valeur name="banque"&gt;1&lt;/Valeur&gt;&lt;Valeur name="pointer"&gt;1&lt;/Valeur&gt;&lt;Valeur name="idbanque"&gt;300760283626261100200EUR201903278300790700&lt;/Valeur&gt;&lt;Valeur name="datevaleur"&gt;2019/03/27&lt;/Valeur&gt;&lt;Valeur name="intitule"&gt;REMISE CHEQUES&lt;/Valeur&gt;&lt;Valeur name="description"&gt;&lt;/Valeur&gt;&lt;Valeur name="compte"&gt;8&lt;/Valeur&gt;&lt;Valeur name="solde"&gt;-7553.14&lt;/Valeur&gt;&lt;Valeur name="ventiler"&gt;0&lt;/Valeur&gt;&lt;Valeur name="compta"&gt;&lt;/Valeur&gt;&lt;Valeur name="valeur"&gt;2400&lt;/Valeur&gt;&lt;/Insert&gt;</v>
      </c>
    </row>
    <row r="187" spans="1:40" x14ac:dyDescent="0.25">
      <c r="A187" t="s">
        <v>389</v>
      </c>
      <c r="B187">
        <v>169</v>
      </c>
      <c r="C187" s="1">
        <v>43552</v>
      </c>
      <c r="E187" t="str">
        <f>IF(F187&lt;&gt;"",INDEX(Balance!A:A,MATCH(F187,Balance!B:B,0)),"")</f>
        <v>Fournisseurs</v>
      </c>
      <c r="F187" t="s">
        <v>423</v>
      </c>
      <c r="G187" t="s">
        <v>305</v>
      </c>
      <c r="I187" s="10">
        <v>300</v>
      </c>
      <c r="K187" s="11">
        <f t="shared" si="68"/>
        <v>50</v>
      </c>
      <c r="L187" s="10">
        <f t="shared" si="69"/>
        <v>-7853.1400000000031</v>
      </c>
      <c r="N187">
        <v>169</v>
      </c>
      <c r="O187">
        <v>1</v>
      </c>
      <c r="P187">
        <v>1</v>
      </c>
      <c r="Q187" t="str">
        <f t="shared" si="48"/>
        <v>300760283626261100200EUR201903280290692500</v>
      </c>
      <c r="R187" s="16" t="s">
        <v>911</v>
      </c>
      <c r="S187" t="str">
        <f t="shared" si="49"/>
        <v>E-VIR SEPA LD ACCESS</v>
      </c>
      <c r="U187">
        <f>IFERROR(VLOOKUP(F187,tab!A:B,2,FALSE),1)</f>
        <v>78</v>
      </c>
      <c r="V187" s="14">
        <f t="shared" si="50"/>
        <v>-7853.1400000000031</v>
      </c>
      <c r="W187">
        <f t="shared" si="51"/>
        <v>0</v>
      </c>
      <c r="X187" t="str">
        <f t="shared" si="52"/>
        <v/>
      </c>
      <c r="Y187" s="14">
        <f t="shared" si="53"/>
        <v>300</v>
      </c>
      <c r="AA187" t="str">
        <f t="shared" si="54"/>
        <v>&lt;Valeur name="no"&gt;169&lt;/Valeur&gt;</v>
      </c>
      <c r="AB187" t="str">
        <f t="shared" si="54"/>
        <v>&lt;Valeur name="banque"&gt;1&lt;/Valeur&gt;</v>
      </c>
      <c r="AC187" t="str">
        <f t="shared" si="56"/>
        <v>&lt;Valeur name="pointer"&gt;1&lt;/Valeur&gt;</v>
      </c>
      <c r="AD187" t="str">
        <f t="shared" si="57"/>
        <v>&lt;Valeur name="idbanque"&gt;300760283626261100200EUR201903280290692500&lt;/Valeur&gt;</v>
      </c>
      <c r="AE187" t="str">
        <f t="shared" si="58"/>
        <v>&lt;Valeur name="datevaleur"&gt;2019/03/28&lt;/Valeur&gt;</v>
      </c>
      <c r="AF187" t="str">
        <f t="shared" si="59"/>
        <v>&lt;Valeur name="intitule"&gt;E-VIR SEPA LD ACCESS&lt;/Valeur&gt;</v>
      </c>
      <c r="AG187" t="str">
        <f t="shared" si="60"/>
        <v>&lt;Valeur name="description"&gt;&lt;/Valeur&gt;</v>
      </c>
      <c r="AH187" t="str">
        <f t="shared" si="61"/>
        <v>&lt;Valeur name="compte"&gt;78&lt;/Valeur&gt;</v>
      </c>
      <c r="AI187" t="str">
        <f t="shared" si="62"/>
        <v>&lt;Valeur name="solde"&gt;-7853.14&lt;/Valeur&gt;</v>
      </c>
      <c r="AJ187" t="str">
        <f t="shared" si="63"/>
        <v>&lt;Valeur name="ventiler"&gt;0&lt;/Valeur&gt;</v>
      </c>
      <c r="AK187" t="str">
        <f t="shared" si="64"/>
        <v>&lt;Valeur name="compta"&gt;&lt;/Valeur&gt;</v>
      </c>
      <c r="AL187" t="str">
        <f t="shared" si="65"/>
        <v>&lt;Valeur name="valeur"&gt;300&lt;/Valeur&gt;</v>
      </c>
      <c r="AN187" t="str">
        <f t="shared" si="55"/>
        <v>&lt;Insert&gt;&lt;Valeur name="no"&gt;169&lt;/Valeur&gt;&lt;Valeur name="banque"&gt;1&lt;/Valeur&gt;&lt;Valeur name="pointer"&gt;1&lt;/Valeur&gt;&lt;Valeur name="idbanque"&gt;300760283626261100200EUR201903280290692500&lt;/Valeur&gt;&lt;Valeur name="datevaleur"&gt;2019/03/28&lt;/Valeur&gt;&lt;Valeur name="intitule"&gt;E-VIR SEPA LD ACCESS&lt;/Valeur&gt;&lt;Valeur name="description"&gt;&lt;/Valeur&gt;&lt;Valeur name="compte"&gt;78&lt;/Valeur&gt;&lt;Valeur name="solde"&gt;-7853.14&lt;/Valeur&gt;&lt;Valeur name="ventiler"&gt;0&lt;/Valeur&gt;&lt;Valeur name="compta"&gt;&lt;/Valeur&gt;&lt;Valeur name="valeur"&gt;300&lt;/Valeur&gt;&lt;/Insert&gt;</v>
      </c>
    </row>
    <row r="188" spans="1:40" x14ac:dyDescent="0.25">
      <c r="A188" t="s">
        <v>390</v>
      </c>
      <c r="B188">
        <v>170</v>
      </c>
      <c r="C188" s="1">
        <v>43552</v>
      </c>
      <c r="D188">
        <v>1</v>
      </c>
      <c r="E188" t="str">
        <f>IF(F188&lt;&gt;"",INDEX(Balance!A:A,MATCH(F188,Balance!B:B,0)),"")</f>
        <v>Depense</v>
      </c>
      <c r="F188" t="s">
        <v>256</v>
      </c>
      <c r="G188" t="s">
        <v>391</v>
      </c>
      <c r="I188" s="10">
        <v>1550</v>
      </c>
      <c r="K188" s="11">
        <f t="shared" si="68"/>
        <v>258.33333333333326</v>
      </c>
      <c r="L188" s="10">
        <f t="shared" si="69"/>
        <v>-9403.1400000000031</v>
      </c>
      <c r="N188">
        <v>170</v>
      </c>
      <c r="O188">
        <v>1</v>
      </c>
      <c r="P188">
        <v>1</v>
      </c>
      <c r="Q188" t="str">
        <f t="shared" si="48"/>
        <v>300760283626261100200EUR201903280290692600</v>
      </c>
      <c r="R188" s="16" t="s">
        <v>911</v>
      </c>
      <c r="S188" t="str">
        <f t="shared" si="49"/>
        <v>E-VIR SEPA Salaire Hutin 03/19</v>
      </c>
      <c r="U188">
        <f>IFERROR(VLOOKUP(F188,tab!A:B,2,FALSE),1)</f>
        <v>28</v>
      </c>
      <c r="V188" s="14">
        <f t="shared" si="50"/>
        <v>-9403.1400000000031</v>
      </c>
      <c r="W188">
        <f t="shared" si="51"/>
        <v>0</v>
      </c>
      <c r="X188">
        <f t="shared" si="52"/>
        <v>1</v>
      </c>
      <c r="Y188" s="14">
        <f t="shared" si="53"/>
        <v>1550</v>
      </c>
      <c r="AA188" t="str">
        <f t="shared" si="54"/>
        <v>&lt;Valeur name="no"&gt;170&lt;/Valeur&gt;</v>
      </c>
      <c r="AB188" t="str">
        <f t="shared" si="54"/>
        <v>&lt;Valeur name="banque"&gt;1&lt;/Valeur&gt;</v>
      </c>
      <c r="AC188" t="str">
        <f t="shared" si="56"/>
        <v>&lt;Valeur name="pointer"&gt;1&lt;/Valeur&gt;</v>
      </c>
      <c r="AD188" t="str">
        <f t="shared" si="57"/>
        <v>&lt;Valeur name="idbanque"&gt;300760283626261100200EUR201903280290692600&lt;/Valeur&gt;</v>
      </c>
      <c r="AE188" t="str">
        <f t="shared" si="58"/>
        <v>&lt;Valeur name="datevaleur"&gt;2019/03/28&lt;/Valeur&gt;</v>
      </c>
      <c r="AF188" t="str">
        <f t="shared" si="59"/>
        <v>&lt;Valeur name="intitule"&gt;E-VIR SEPA Salaire Hutin 03/19&lt;/Valeur&gt;</v>
      </c>
      <c r="AG188" t="str">
        <f t="shared" si="60"/>
        <v>&lt;Valeur name="description"&gt;&lt;/Valeur&gt;</v>
      </c>
      <c r="AH188" t="str">
        <f t="shared" si="61"/>
        <v>&lt;Valeur name="compte"&gt;28&lt;/Valeur&gt;</v>
      </c>
      <c r="AI188" t="str">
        <f t="shared" si="62"/>
        <v>&lt;Valeur name="solde"&gt;-9403.14&lt;/Valeur&gt;</v>
      </c>
      <c r="AJ188" t="str">
        <f t="shared" si="63"/>
        <v>&lt;Valeur name="ventiler"&gt;0&lt;/Valeur&gt;</v>
      </c>
      <c r="AK188" t="str">
        <f t="shared" si="64"/>
        <v>&lt;Valeur name="compta"&gt;1&lt;/Valeur&gt;</v>
      </c>
      <c r="AL188" t="str">
        <f t="shared" si="65"/>
        <v>&lt;Valeur name="valeur"&gt;1550&lt;/Valeur&gt;</v>
      </c>
      <c r="AN188" t="str">
        <f t="shared" si="55"/>
        <v>&lt;Insert&gt;&lt;Valeur name="no"&gt;170&lt;/Valeur&gt;&lt;Valeur name="banque"&gt;1&lt;/Valeur&gt;&lt;Valeur name="pointer"&gt;1&lt;/Valeur&gt;&lt;Valeur name="idbanque"&gt;300760283626261100200EUR201903280290692600&lt;/Valeur&gt;&lt;Valeur name="datevaleur"&gt;2019/03/28&lt;/Valeur&gt;&lt;Valeur name="intitule"&gt;E-VIR SEPA Salaire Hutin 03/19&lt;/Valeur&gt;&lt;Valeur name="description"&gt;&lt;/Valeur&gt;&lt;Valeur name="compte"&gt;28&lt;/Valeur&gt;&lt;Valeur name="solde"&gt;-9403.14&lt;/Valeur&gt;&lt;Valeur name="ventiler"&gt;0&lt;/Valeur&gt;&lt;Valeur name="compta"&gt;1&lt;/Valeur&gt;&lt;Valeur name="valeur"&gt;1550&lt;/Valeur&gt;&lt;/Insert&gt;</v>
      </c>
    </row>
    <row r="189" spans="1:40" x14ac:dyDescent="0.25">
      <c r="A189" t="s">
        <v>392</v>
      </c>
      <c r="B189">
        <v>171</v>
      </c>
      <c r="C189" s="1">
        <v>43552</v>
      </c>
      <c r="D189">
        <v>1</v>
      </c>
      <c r="E189" t="str">
        <f>IF(F189&lt;&gt;"",INDEX(Balance!A:A,MATCH(F189,Balance!B:B,0)),"")</f>
        <v>Depense</v>
      </c>
      <c r="F189" t="s">
        <v>256</v>
      </c>
      <c r="G189" t="s">
        <v>393</v>
      </c>
      <c r="I189" s="10">
        <v>1196.3499999999999</v>
      </c>
      <c r="K189" s="11">
        <f t="shared" si="68"/>
        <v>199.39166666666665</v>
      </c>
      <c r="L189" s="10">
        <f t="shared" si="69"/>
        <v>-10599.490000000003</v>
      </c>
      <c r="N189">
        <v>171</v>
      </c>
      <c r="O189">
        <v>1</v>
      </c>
      <c r="P189">
        <v>1</v>
      </c>
      <c r="Q189" t="str">
        <f t="shared" si="48"/>
        <v>300760283626261100200EUR201903280290692700</v>
      </c>
      <c r="R189" s="16" t="s">
        <v>911</v>
      </c>
      <c r="S189" t="str">
        <f t="shared" si="49"/>
        <v>E-VIR SEPA Salaire Lefort 03/19</v>
      </c>
      <c r="U189">
        <f>IFERROR(VLOOKUP(F189,tab!A:B,2,FALSE),1)</f>
        <v>28</v>
      </c>
      <c r="V189" s="14">
        <f t="shared" si="50"/>
        <v>-10599.490000000003</v>
      </c>
      <c r="W189">
        <f t="shared" si="51"/>
        <v>0</v>
      </c>
      <c r="X189">
        <f t="shared" si="52"/>
        <v>1</v>
      </c>
      <c r="Y189" s="14">
        <f t="shared" si="53"/>
        <v>1196.3499999999999</v>
      </c>
      <c r="AA189" t="str">
        <f t="shared" si="54"/>
        <v>&lt;Valeur name="no"&gt;171&lt;/Valeur&gt;</v>
      </c>
      <c r="AB189" t="str">
        <f t="shared" si="54"/>
        <v>&lt;Valeur name="banque"&gt;1&lt;/Valeur&gt;</v>
      </c>
      <c r="AC189" t="str">
        <f t="shared" si="56"/>
        <v>&lt;Valeur name="pointer"&gt;1&lt;/Valeur&gt;</v>
      </c>
      <c r="AD189" t="str">
        <f t="shared" si="57"/>
        <v>&lt;Valeur name="idbanque"&gt;300760283626261100200EUR201903280290692700&lt;/Valeur&gt;</v>
      </c>
      <c r="AE189" t="str">
        <f t="shared" si="58"/>
        <v>&lt;Valeur name="datevaleur"&gt;2019/03/28&lt;/Valeur&gt;</v>
      </c>
      <c r="AF189" t="str">
        <f t="shared" si="59"/>
        <v>&lt;Valeur name="intitule"&gt;E-VIR SEPA Salaire Lefort 03/19&lt;/Valeur&gt;</v>
      </c>
      <c r="AG189" t="str">
        <f t="shared" si="60"/>
        <v>&lt;Valeur name="description"&gt;&lt;/Valeur&gt;</v>
      </c>
      <c r="AH189" t="str">
        <f t="shared" si="61"/>
        <v>&lt;Valeur name="compte"&gt;28&lt;/Valeur&gt;</v>
      </c>
      <c r="AI189" t="str">
        <f t="shared" si="62"/>
        <v>&lt;Valeur name="solde"&gt;-10599.49&lt;/Valeur&gt;</v>
      </c>
      <c r="AJ189" t="str">
        <f t="shared" si="63"/>
        <v>&lt;Valeur name="ventiler"&gt;0&lt;/Valeur&gt;</v>
      </c>
      <c r="AK189" t="str">
        <f t="shared" si="64"/>
        <v>&lt;Valeur name="compta"&gt;1&lt;/Valeur&gt;</v>
      </c>
      <c r="AL189" t="str">
        <f t="shared" si="65"/>
        <v>&lt;Valeur name="valeur"&gt;1196.35&lt;/Valeur&gt;</v>
      </c>
      <c r="AN189" t="str">
        <f t="shared" si="55"/>
        <v>&lt;Insert&gt;&lt;Valeur name="no"&gt;171&lt;/Valeur&gt;&lt;Valeur name="banque"&gt;1&lt;/Valeur&gt;&lt;Valeur name="pointer"&gt;1&lt;/Valeur&gt;&lt;Valeur name="idbanque"&gt;300760283626261100200EUR201903280290692700&lt;/Valeur&gt;&lt;Valeur name="datevaleur"&gt;2019/03/28&lt;/Valeur&gt;&lt;Valeur name="intitule"&gt;E-VIR SEPA Salaire Lefort 03/19&lt;/Valeur&gt;&lt;Valeur name="description"&gt;&lt;/Valeur&gt;&lt;Valeur name="compte"&gt;28&lt;/Valeur&gt;&lt;Valeur name="solde"&gt;-10599.49&lt;/Valeur&gt;&lt;Valeur name="ventiler"&gt;0&lt;/Valeur&gt;&lt;Valeur name="compta"&gt;1&lt;/Valeur&gt;&lt;Valeur name="valeur"&gt;1196.35&lt;/Valeur&gt;&lt;/Insert&gt;</v>
      </c>
    </row>
    <row r="190" spans="1:40" x14ac:dyDescent="0.25">
      <c r="A190" t="s">
        <v>394</v>
      </c>
      <c r="B190">
        <v>172</v>
      </c>
      <c r="C190" s="1">
        <v>43552</v>
      </c>
      <c r="D190">
        <v>1</v>
      </c>
      <c r="E190" t="str">
        <f>IF(F190&lt;&gt;"",INDEX(Balance!A:A,MATCH(F190,Balance!B:B,0)),"")</f>
        <v>Depense</v>
      </c>
      <c r="F190" t="s">
        <v>256</v>
      </c>
      <c r="G190" t="s">
        <v>395</v>
      </c>
      <c r="I190" s="10">
        <v>754.01</v>
      </c>
      <c r="K190" s="11">
        <f t="shared" si="68"/>
        <v>125.66833333333329</v>
      </c>
      <c r="L190" s="10">
        <f t="shared" si="69"/>
        <v>-11353.500000000004</v>
      </c>
      <c r="N190">
        <v>172</v>
      </c>
      <c r="O190">
        <v>1</v>
      </c>
      <c r="P190">
        <v>1</v>
      </c>
      <c r="Q190" t="str">
        <f t="shared" si="48"/>
        <v>300760283626261100200EUR201903280290692800</v>
      </c>
      <c r="R190" s="16" t="s">
        <v>911</v>
      </c>
      <c r="S190" t="str">
        <f t="shared" si="49"/>
        <v>E-VIR SEPA Salaire Gournay 03/19</v>
      </c>
      <c r="U190">
        <f>IFERROR(VLOOKUP(F190,tab!A:B,2,FALSE),1)</f>
        <v>28</v>
      </c>
      <c r="V190" s="14">
        <f t="shared" si="50"/>
        <v>-11353.500000000004</v>
      </c>
      <c r="W190">
        <f t="shared" si="51"/>
        <v>0</v>
      </c>
      <c r="X190">
        <f t="shared" si="52"/>
        <v>1</v>
      </c>
      <c r="Y190" s="14">
        <f t="shared" si="53"/>
        <v>754.01</v>
      </c>
      <c r="AA190" t="str">
        <f t="shared" si="54"/>
        <v>&lt;Valeur name="no"&gt;172&lt;/Valeur&gt;</v>
      </c>
      <c r="AB190" t="str">
        <f t="shared" si="54"/>
        <v>&lt;Valeur name="banque"&gt;1&lt;/Valeur&gt;</v>
      </c>
      <c r="AC190" t="str">
        <f t="shared" si="56"/>
        <v>&lt;Valeur name="pointer"&gt;1&lt;/Valeur&gt;</v>
      </c>
      <c r="AD190" t="str">
        <f t="shared" si="57"/>
        <v>&lt;Valeur name="idbanque"&gt;300760283626261100200EUR201903280290692800&lt;/Valeur&gt;</v>
      </c>
      <c r="AE190" t="str">
        <f t="shared" si="58"/>
        <v>&lt;Valeur name="datevaleur"&gt;2019/03/28&lt;/Valeur&gt;</v>
      </c>
      <c r="AF190" t="str">
        <f t="shared" si="59"/>
        <v>&lt;Valeur name="intitule"&gt;E-VIR SEPA Salaire Gournay 03/19&lt;/Valeur&gt;</v>
      </c>
      <c r="AG190" t="str">
        <f t="shared" si="60"/>
        <v>&lt;Valeur name="description"&gt;&lt;/Valeur&gt;</v>
      </c>
      <c r="AH190" t="str">
        <f t="shared" si="61"/>
        <v>&lt;Valeur name="compte"&gt;28&lt;/Valeur&gt;</v>
      </c>
      <c r="AI190" t="str">
        <f t="shared" si="62"/>
        <v>&lt;Valeur name="solde"&gt;-11353.5&lt;/Valeur&gt;</v>
      </c>
      <c r="AJ190" t="str">
        <f t="shared" si="63"/>
        <v>&lt;Valeur name="ventiler"&gt;0&lt;/Valeur&gt;</v>
      </c>
      <c r="AK190" t="str">
        <f t="shared" si="64"/>
        <v>&lt;Valeur name="compta"&gt;1&lt;/Valeur&gt;</v>
      </c>
      <c r="AL190" t="str">
        <f t="shared" si="65"/>
        <v>&lt;Valeur name="valeur"&gt;754.01&lt;/Valeur&gt;</v>
      </c>
      <c r="AN190" t="str">
        <f t="shared" si="55"/>
        <v>&lt;Insert&gt;&lt;Valeur name="no"&gt;172&lt;/Valeur&gt;&lt;Valeur name="banque"&gt;1&lt;/Valeur&gt;&lt;Valeur name="pointer"&gt;1&lt;/Valeur&gt;&lt;Valeur name="idbanque"&gt;300760283626261100200EUR201903280290692800&lt;/Valeur&gt;&lt;Valeur name="datevaleur"&gt;2019/03/28&lt;/Valeur&gt;&lt;Valeur name="intitule"&gt;E-VIR SEPA Salaire Gournay 03/19&lt;/Valeur&gt;&lt;Valeur name="description"&gt;&lt;/Valeur&gt;&lt;Valeur name="compte"&gt;28&lt;/Valeur&gt;&lt;Valeur name="solde"&gt;-11353.5&lt;/Valeur&gt;&lt;Valeur name="ventiler"&gt;0&lt;/Valeur&gt;&lt;Valeur name="compta"&gt;1&lt;/Valeur&gt;&lt;Valeur name="valeur"&gt;754.01&lt;/Valeur&gt;&lt;/Insert&gt;</v>
      </c>
    </row>
    <row r="191" spans="1:40" x14ac:dyDescent="0.25">
      <c r="A191" t="s">
        <v>396</v>
      </c>
      <c r="B191">
        <v>173</v>
      </c>
      <c r="C191" s="1">
        <v>43552</v>
      </c>
      <c r="D191">
        <v>1</v>
      </c>
      <c r="E191" t="str">
        <f>IF(F191&lt;&gt;"",INDEX(Balance!A:A,MATCH(F191,Balance!B:B,0)),"")</f>
        <v>Depense</v>
      </c>
      <c r="F191" t="s">
        <v>254</v>
      </c>
      <c r="G191" t="s">
        <v>397</v>
      </c>
      <c r="I191" s="10">
        <v>24</v>
      </c>
      <c r="K191" s="11">
        <f t="shared" si="68"/>
        <v>4</v>
      </c>
      <c r="L191" s="10">
        <f t="shared" si="69"/>
        <v>-11377.500000000004</v>
      </c>
      <c r="N191">
        <v>173</v>
      </c>
      <c r="O191">
        <v>1</v>
      </c>
      <c r="P191">
        <v>1</v>
      </c>
      <c r="Q191" t="str">
        <f t="shared" si="48"/>
        <v>300760283626261100200EUR201903281078667500</v>
      </c>
      <c r="R191" s="16" t="s">
        <v>911</v>
      </c>
      <c r="S191" t="str">
        <f t="shared" si="49"/>
        <v>CB 454106 PIZZA   PAS 59BAVAY</v>
      </c>
      <c r="U191">
        <f>IFERROR(VLOOKUP(F191,tab!A:B,2,FALSE),1)</f>
        <v>27</v>
      </c>
      <c r="V191" s="14">
        <f t="shared" si="50"/>
        <v>-11377.500000000004</v>
      </c>
      <c r="W191">
        <f t="shared" si="51"/>
        <v>0</v>
      </c>
      <c r="X191">
        <f t="shared" si="52"/>
        <v>1</v>
      </c>
      <c r="Y191" s="14">
        <f t="shared" si="53"/>
        <v>24</v>
      </c>
      <c r="AA191" t="str">
        <f t="shared" si="54"/>
        <v>&lt;Valeur name="no"&gt;173&lt;/Valeur&gt;</v>
      </c>
      <c r="AB191" t="str">
        <f t="shared" si="54"/>
        <v>&lt;Valeur name="banque"&gt;1&lt;/Valeur&gt;</v>
      </c>
      <c r="AC191" t="str">
        <f t="shared" si="56"/>
        <v>&lt;Valeur name="pointer"&gt;1&lt;/Valeur&gt;</v>
      </c>
      <c r="AD191" t="str">
        <f t="shared" si="57"/>
        <v>&lt;Valeur name="idbanque"&gt;300760283626261100200EUR201903281078667500&lt;/Valeur&gt;</v>
      </c>
      <c r="AE191" t="str">
        <f t="shared" si="58"/>
        <v>&lt;Valeur name="datevaleur"&gt;2019/03/28&lt;/Valeur&gt;</v>
      </c>
      <c r="AF191" t="str">
        <f t="shared" si="59"/>
        <v>&lt;Valeur name="intitule"&gt;CB 454106 PIZZA   PAS 59BAVAY&lt;/Valeur&gt;</v>
      </c>
      <c r="AG191" t="str">
        <f t="shared" si="60"/>
        <v>&lt;Valeur name="description"&gt;&lt;/Valeur&gt;</v>
      </c>
      <c r="AH191" t="str">
        <f t="shared" si="61"/>
        <v>&lt;Valeur name="compte"&gt;27&lt;/Valeur&gt;</v>
      </c>
      <c r="AI191" t="str">
        <f t="shared" si="62"/>
        <v>&lt;Valeur name="solde"&gt;-11377.5&lt;/Valeur&gt;</v>
      </c>
      <c r="AJ191" t="str">
        <f t="shared" si="63"/>
        <v>&lt;Valeur name="ventiler"&gt;0&lt;/Valeur&gt;</v>
      </c>
      <c r="AK191" t="str">
        <f t="shared" si="64"/>
        <v>&lt;Valeur name="compta"&gt;1&lt;/Valeur&gt;</v>
      </c>
      <c r="AL191" t="str">
        <f t="shared" si="65"/>
        <v>&lt;Valeur name="valeur"&gt;24&lt;/Valeur&gt;</v>
      </c>
      <c r="AN191" t="str">
        <f t="shared" si="55"/>
        <v>&lt;Insert&gt;&lt;Valeur name="no"&gt;173&lt;/Valeur&gt;&lt;Valeur name="banque"&gt;1&lt;/Valeur&gt;&lt;Valeur name="pointer"&gt;1&lt;/Valeur&gt;&lt;Valeur name="idbanque"&gt;300760283626261100200EUR201903281078667500&lt;/Valeur&gt;&lt;Valeur name="datevaleur"&gt;2019/03/28&lt;/Valeur&gt;&lt;Valeur name="intitule"&gt;CB 454106 PIZZA   PAS 59BAVAY&lt;/Valeur&gt;&lt;Valeur name="description"&gt;&lt;/Valeur&gt;&lt;Valeur name="compte"&gt;27&lt;/Valeur&gt;&lt;Valeur name="solde"&gt;-11377.5&lt;/Valeur&gt;&lt;Valeur name="ventiler"&gt;0&lt;/Valeur&gt;&lt;Valeur name="compta"&gt;1&lt;/Valeur&gt;&lt;Valeur name="valeur"&gt;24&lt;/Valeur&gt;&lt;/Insert&gt;</v>
      </c>
    </row>
    <row r="192" spans="1:40" x14ac:dyDescent="0.25">
      <c r="A192" t="s">
        <v>398</v>
      </c>
      <c r="B192">
        <v>174</v>
      </c>
      <c r="C192" s="1">
        <v>43553</v>
      </c>
      <c r="D192">
        <v>1</v>
      </c>
      <c r="E192" t="str">
        <f>IF(F192&lt;&gt;"",INDEX(Balance!A:A,MATCH(F192,Balance!B:B,0)),"")</f>
        <v>Depense</v>
      </c>
      <c r="F192" t="s">
        <v>257</v>
      </c>
      <c r="G192" t="s">
        <v>307</v>
      </c>
      <c r="I192" s="10">
        <v>54</v>
      </c>
      <c r="K192" s="11">
        <f t="shared" si="68"/>
        <v>9</v>
      </c>
      <c r="L192" s="10">
        <f t="shared" si="69"/>
        <v>-11431.500000000004</v>
      </c>
      <c r="N192">
        <v>174</v>
      </c>
      <c r="O192">
        <v>1</v>
      </c>
      <c r="P192">
        <v>1</v>
      </c>
      <c r="Q192" t="str">
        <f t="shared" si="48"/>
        <v>300760283626261100200EUR201903291524258100</v>
      </c>
      <c r="R192" s="16" t="s">
        <v>888</v>
      </c>
      <c r="S192" t="str">
        <f t="shared" si="49"/>
        <v>INFORMATION CAUTION</v>
      </c>
      <c r="U192">
        <f>IFERROR(VLOOKUP(F192,tab!A:B,2,FALSE),1)</f>
        <v>18</v>
      </c>
      <c r="V192" s="14">
        <f t="shared" si="50"/>
        <v>-11431.500000000004</v>
      </c>
      <c r="W192">
        <f t="shared" si="51"/>
        <v>0</v>
      </c>
      <c r="X192">
        <f t="shared" si="52"/>
        <v>1</v>
      </c>
      <c r="Y192" s="14">
        <f t="shared" si="53"/>
        <v>54</v>
      </c>
      <c r="AA192" t="str">
        <f t="shared" si="54"/>
        <v>&lt;Valeur name="no"&gt;174&lt;/Valeur&gt;</v>
      </c>
      <c r="AB192" t="str">
        <f t="shared" si="54"/>
        <v>&lt;Valeur name="banque"&gt;1&lt;/Valeur&gt;</v>
      </c>
      <c r="AC192" t="str">
        <f t="shared" si="56"/>
        <v>&lt;Valeur name="pointer"&gt;1&lt;/Valeur&gt;</v>
      </c>
      <c r="AD192" t="str">
        <f t="shared" si="57"/>
        <v>&lt;Valeur name="idbanque"&gt;300760283626261100200EUR201903291524258100&lt;/Valeur&gt;</v>
      </c>
      <c r="AE192" t="str">
        <f t="shared" si="58"/>
        <v>&lt;Valeur name="datevaleur"&gt;2019/03/29&lt;/Valeur&gt;</v>
      </c>
      <c r="AF192" t="str">
        <f t="shared" si="59"/>
        <v>&lt;Valeur name="intitule"&gt;INFORMATION CAUTION&lt;/Valeur&gt;</v>
      </c>
      <c r="AG192" t="str">
        <f t="shared" si="60"/>
        <v>&lt;Valeur name="description"&gt;&lt;/Valeur&gt;</v>
      </c>
      <c r="AH192" t="str">
        <f t="shared" si="61"/>
        <v>&lt;Valeur name="compte"&gt;18&lt;/Valeur&gt;</v>
      </c>
      <c r="AI192" t="str">
        <f t="shared" si="62"/>
        <v>&lt;Valeur name="solde"&gt;-11431.5&lt;/Valeur&gt;</v>
      </c>
      <c r="AJ192" t="str">
        <f t="shared" si="63"/>
        <v>&lt;Valeur name="ventiler"&gt;0&lt;/Valeur&gt;</v>
      </c>
      <c r="AK192" t="str">
        <f t="shared" si="64"/>
        <v>&lt;Valeur name="compta"&gt;1&lt;/Valeur&gt;</v>
      </c>
      <c r="AL192" t="str">
        <f t="shared" si="65"/>
        <v>&lt;Valeur name="valeur"&gt;54&lt;/Valeur&gt;</v>
      </c>
      <c r="AN192" t="str">
        <f t="shared" si="55"/>
        <v>&lt;Insert&gt;&lt;Valeur name="no"&gt;174&lt;/Valeur&gt;&lt;Valeur name="banque"&gt;1&lt;/Valeur&gt;&lt;Valeur name="pointer"&gt;1&lt;/Valeur&gt;&lt;Valeur name="idbanque"&gt;300760283626261100200EUR201903291524258100&lt;/Valeur&gt;&lt;Valeur name="datevaleur"&gt;2019/03/29&lt;/Valeur&gt;&lt;Valeur name="intitule"&gt;INFORMATION CAUTION&lt;/Valeur&gt;&lt;Valeur name="description"&gt;&lt;/Valeur&gt;&lt;Valeur name="compte"&gt;18&lt;/Valeur&gt;&lt;Valeur name="solde"&gt;-11431.5&lt;/Valeur&gt;&lt;Valeur name="ventiler"&gt;0&lt;/Valeur&gt;&lt;Valeur name="compta"&gt;1&lt;/Valeur&gt;&lt;Valeur name="valeur"&gt;54&lt;/Valeur&gt;&lt;/Insert&gt;</v>
      </c>
    </row>
    <row r="193" spans="1:40" x14ac:dyDescent="0.25">
      <c r="A193" t="s">
        <v>399</v>
      </c>
      <c r="B193">
        <v>175</v>
      </c>
      <c r="C193" s="1">
        <v>43553</v>
      </c>
      <c r="E193" t="str">
        <f>IF(F193&lt;&gt;"",INDEX(Balance!A:A,MATCH(F193,Balance!B:B,0)),"")</f>
        <v>Fournisseurs</v>
      </c>
      <c r="F193" t="s">
        <v>297</v>
      </c>
      <c r="G193" t="s">
        <v>306</v>
      </c>
      <c r="I193" s="10">
        <v>37</v>
      </c>
      <c r="K193" s="11">
        <f t="shared" si="68"/>
        <v>6.1666666666666643</v>
      </c>
      <c r="L193" s="10">
        <f t="shared" si="69"/>
        <v>-11468.500000000004</v>
      </c>
      <c r="N193">
        <v>175</v>
      </c>
      <c r="O193">
        <v>1</v>
      </c>
      <c r="P193">
        <v>1</v>
      </c>
      <c r="Q193" t="str">
        <f t="shared" si="48"/>
        <v>300760283626261100200EUR201903293351503500</v>
      </c>
      <c r="R193" s="16" t="s">
        <v>888</v>
      </c>
      <c r="S193" t="str">
        <f t="shared" si="49"/>
        <v>CHEQUE  N 1000066</v>
      </c>
      <c r="U193">
        <f>IFERROR(VLOOKUP(F193,tab!A:B,2,FALSE),1)</f>
        <v>48</v>
      </c>
      <c r="V193" s="14">
        <f t="shared" si="50"/>
        <v>-11468.500000000004</v>
      </c>
      <c r="W193">
        <f t="shared" si="51"/>
        <v>0</v>
      </c>
      <c r="X193" t="str">
        <f t="shared" si="52"/>
        <v/>
      </c>
      <c r="Y193" s="14">
        <f t="shared" si="53"/>
        <v>37</v>
      </c>
      <c r="AA193" t="str">
        <f t="shared" si="54"/>
        <v>&lt;Valeur name="no"&gt;175&lt;/Valeur&gt;</v>
      </c>
      <c r="AB193" t="str">
        <f t="shared" si="54"/>
        <v>&lt;Valeur name="banque"&gt;1&lt;/Valeur&gt;</v>
      </c>
      <c r="AC193" t="str">
        <f t="shared" si="56"/>
        <v>&lt;Valeur name="pointer"&gt;1&lt;/Valeur&gt;</v>
      </c>
      <c r="AD193" t="str">
        <f t="shared" si="57"/>
        <v>&lt;Valeur name="idbanque"&gt;300760283626261100200EUR201903293351503500&lt;/Valeur&gt;</v>
      </c>
      <c r="AE193" t="str">
        <f t="shared" si="58"/>
        <v>&lt;Valeur name="datevaleur"&gt;2019/03/29&lt;/Valeur&gt;</v>
      </c>
      <c r="AF193" t="str">
        <f t="shared" si="59"/>
        <v>&lt;Valeur name="intitule"&gt;CHEQUE  N 1000066&lt;/Valeur&gt;</v>
      </c>
      <c r="AG193" t="str">
        <f t="shared" si="60"/>
        <v>&lt;Valeur name="description"&gt;&lt;/Valeur&gt;</v>
      </c>
      <c r="AH193" t="str">
        <f t="shared" si="61"/>
        <v>&lt;Valeur name="compte"&gt;48&lt;/Valeur&gt;</v>
      </c>
      <c r="AI193" t="str">
        <f t="shared" si="62"/>
        <v>&lt;Valeur name="solde"&gt;-11468.5&lt;/Valeur&gt;</v>
      </c>
      <c r="AJ193" t="str">
        <f t="shared" si="63"/>
        <v>&lt;Valeur name="ventiler"&gt;0&lt;/Valeur&gt;</v>
      </c>
      <c r="AK193" t="str">
        <f t="shared" si="64"/>
        <v>&lt;Valeur name="compta"&gt;&lt;/Valeur&gt;</v>
      </c>
      <c r="AL193" t="str">
        <f t="shared" si="65"/>
        <v>&lt;Valeur name="valeur"&gt;37&lt;/Valeur&gt;</v>
      </c>
      <c r="AN193" t="str">
        <f t="shared" si="55"/>
        <v>&lt;Insert&gt;&lt;Valeur name="no"&gt;175&lt;/Valeur&gt;&lt;Valeur name="banque"&gt;1&lt;/Valeur&gt;&lt;Valeur name="pointer"&gt;1&lt;/Valeur&gt;&lt;Valeur name="idbanque"&gt;300760283626261100200EUR201903293351503500&lt;/Valeur&gt;&lt;Valeur name="datevaleur"&gt;2019/03/29&lt;/Valeur&gt;&lt;Valeur name="intitule"&gt;CHEQUE  N 1000066&lt;/Valeur&gt;&lt;Valeur name="description"&gt;&lt;/Valeur&gt;&lt;Valeur name="compte"&gt;48&lt;/Valeur&gt;&lt;Valeur name="solde"&gt;-11468.5&lt;/Valeur&gt;&lt;Valeur name="ventiler"&gt;0&lt;/Valeur&gt;&lt;Valeur name="compta"&gt;&lt;/Valeur&gt;&lt;Valeur name="valeur"&gt;37&lt;/Valeur&gt;&lt;/Insert&gt;</v>
      </c>
    </row>
    <row r="194" spans="1:40" x14ac:dyDescent="0.25">
      <c r="A194" t="s">
        <v>400</v>
      </c>
      <c r="B194">
        <v>176</v>
      </c>
      <c r="C194" s="1">
        <v>43553</v>
      </c>
      <c r="E194" t="str">
        <f>IF(F194&lt;&gt;"",INDEX(Balance!A:A,MATCH(F194,Balance!B:B,0)),"")</f>
        <v>Client</v>
      </c>
      <c r="F194" t="s">
        <v>379</v>
      </c>
      <c r="G194" t="s">
        <v>65</v>
      </c>
      <c r="H194" t="s">
        <v>401</v>
      </c>
      <c r="J194" s="10">
        <v>5592</v>
      </c>
      <c r="K194" s="11">
        <f t="shared" si="68"/>
        <v>-932</v>
      </c>
      <c r="L194" s="10">
        <f t="shared" si="69"/>
        <v>-5876.5000000000036</v>
      </c>
      <c r="N194">
        <v>176</v>
      </c>
      <c r="O194">
        <v>1</v>
      </c>
      <c r="P194">
        <v>1</v>
      </c>
      <c r="Q194" t="str">
        <f t="shared" si="48"/>
        <v>300760283626261100200EUR201903296318870100</v>
      </c>
      <c r="R194" s="16" t="s">
        <v>888</v>
      </c>
      <c r="S194" t="str">
        <f t="shared" si="49"/>
        <v>VIR TRESORERIE ARRAS MUNICIP / FAC. AF250-1 DU 28/02/2019REGLET</v>
      </c>
      <c r="U194">
        <f>IFERROR(VLOOKUP(F194,tab!A:B,2,FALSE),1)</f>
        <v>4</v>
      </c>
      <c r="V194" s="14">
        <f t="shared" si="50"/>
        <v>-5876.5000000000036</v>
      </c>
      <c r="W194">
        <f t="shared" si="51"/>
        <v>0</v>
      </c>
      <c r="X194" t="str">
        <f t="shared" si="52"/>
        <v/>
      </c>
      <c r="Y194" s="14">
        <f t="shared" si="53"/>
        <v>5592</v>
      </c>
      <c r="AA194" t="str">
        <f t="shared" si="54"/>
        <v>&lt;Valeur name="no"&gt;176&lt;/Valeur&gt;</v>
      </c>
      <c r="AB194" t="str">
        <f t="shared" si="54"/>
        <v>&lt;Valeur name="banque"&gt;1&lt;/Valeur&gt;</v>
      </c>
      <c r="AC194" t="str">
        <f t="shared" si="56"/>
        <v>&lt;Valeur name="pointer"&gt;1&lt;/Valeur&gt;</v>
      </c>
      <c r="AD194" t="str">
        <f t="shared" si="57"/>
        <v>&lt;Valeur name="idbanque"&gt;300760283626261100200EUR201903296318870100&lt;/Valeur&gt;</v>
      </c>
      <c r="AE194" t="str">
        <f t="shared" si="58"/>
        <v>&lt;Valeur name="datevaleur"&gt;2019/03/29&lt;/Valeur&gt;</v>
      </c>
      <c r="AF194" t="str">
        <f t="shared" si="59"/>
        <v>&lt;Valeur name="intitule"&gt;VIR TRESORERIE ARRAS MUNICIP / FAC. AF250-1 DU 28/02/2019REGLET&lt;/Valeur&gt;</v>
      </c>
      <c r="AG194" t="str">
        <f t="shared" si="60"/>
        <v>&lt;Valeur name="description"&gt;&lt;/Valeur&gt;</v>
      </c>
      <c r="AH194" t="str">
        <f t="shared" si="61"/>
        <v>&lt;Valeur name="compte"&gt;4&lt;/Valeur&gt;</v>
      </c>
      <c r="AI194" t="str">
        <f t="shared" si="62"/>
        <v>&lt;Valeur name="solde"&gt;-5876.5&lt;/Valeur&gt;</v>
      </c>
      <c r="AJ194" t="str">
        <f t="shared" si="63"/>
        <v>&lt;Valeur name="ventiler"&gt;0&lt;/Valeur&gt;</v>
      </c>
      <c r="AK194" t="str">
        <f t="shared" si="64"/>
        <v>&lt;Valeur name="compta"&gt;&lt;/Valeur&gt;</v>
      </c>
      <c r="AL194" t="str">
        <f t="shared" si="65"/>
        <v>&lt;Valeur name="valeur"&gt;5592&lt;/Valeur&gt;</v>
      </c>
      <c r="AN194" t="str">
        <f t="shared" si="55"/>
        <v>&lt;Insert&gt;&lt;Valeur name="no"&gt;176&lt;/Valeur&gt;&lt;Valeur name="banque"&gt;1&lt;/Valeur&gt;&lt;Valeur name="pointer"&gt;1&lt;/Valeur&gt;&lt;Valeur name="idbanque"&gt;300760283626261100200EUR201903296318870100&lt;/Valeur&gt;&lt;Valeur name="datevaleur"&gt;2019/03/29&lt;/Valeur&gt;&lt;Valeur name="intitule"&gt;VIR TRESORERIE ARRAS MUNICIP / FAC. AF250-1 DU 28/02/2019REGLET&lt;/Valeur&gt;&lt;Valeur name="description"&gt;&lt;/Valeur&gt;&lt;Valeur name="compte"&gt;4&lt;/Valeur&gt;&lt;Valeur name="solde"&gt;-5876.5&lt;/Valeur&gt;&lt;Valeur name="ventiler"&gt;0&lt;/Valeur&gt;&lt;Valeur name="compta"&gt;&lt;/Valeur&gt;&lt;Valeur name="valeur"&gt;5592&lt;/Valeur&gt;&lt;/Insert&gt;</v>
      </c>
    </row>
    <row r="195" spans="1:40" x14ac:dyDescent="0.25">
      <c r="A195" t="s">
        <v>402</v>
      </c>
      <c r="B195">
        <v>177</v>
      </c>
      <c r="C195" s="1">
        <v>43553</v>
      </c>
      <c r="E195" t="str">
        <f>IF(F195&lt;&gt;"",INDEX(Balance!A:A,MATCH(F195,Balance!B:B,0)),"")</f>
        <v>Client</v>
      </c>
      <c r="F195" t="s">
        <v>379</v>
      </c>
      <c r="G195" t="s">
        <v>65</v>
      </c>
      <c r="H195" t="s">
        <v>403</v>
      </c>
      <c r="J195" s="10">
        <v>23210.29</v>
      </c>
      <c r="K195" s="11">
        <f t="shared" si="68"/>
        <v>-3868.3816666666644</v>
      </c>
      <c r="L195" s="10">
        <f t="shared" si="69"/>
        <v>17333.789999999997</v>
      </c>
      <c r="N195">
        <v>177</v>
      </c>
      <c r="O195">
        <v>1</v>
      </c>
      <c r="P195">
        <v>1</v>
      </c>
      <c r="Q195" t="str">
        <f t="shared" ref="Q195:Q258" si="70">A195</f>
        <v>300760283626261100200EUR201903296318870600</v>
      </c>
      <c r="R195" s="16" t="s">
        <v>888</v>
      </c>
      <c r="S195" t="str">
        <f t="shared" ref="S195:S258" si="71">G195&amp;IF(ISBLANK(H195),""," / "&amp;H195)</f>
        <v>VIR TRESORERIE ARRAS MUNICIP / FAC. situation 7 DU 12/03/2019LO</v>
      </c>
      <c r="U195">
        <f>IFERROR(VLOOKUP(F195,tab!A:B,2,FALSE),1)</f>
        <v>4</v>
      </c>
      <c r="V195" s="14">
        <f t="shared" ref="V195:V258" si="72">L195</f>
        <v>17333.789999999997</v>
      </c>
      <c r="W195">
        <f t="shared" ref="W195:W258" si="73">IF(ISBLANK(A196),1,0)</f>
        <v>0</v>
      </c>
      <c r="X195" t="str">
        <f t="shared" ref="X195:X258" si="74">IF(D195=1,1,"")</f>
        <v/>
      </c>
      <c r="Y195" s="14">
        <f t="shared" ref="Y195:Y258" si="75">SUM(I195:J195)</f>
        <v>23210.29</v>
      </c>
      <c r="AA195" t="str">
        <f t="shared" ref="AA195:AB258" si="76">IF(ISBLANK($N195),"",N$1&amp;N195&amp;"&lt;/Valeur&gt;")</f>
        <v>&lt;Valeur name="no"&gt;177&lt;/Valeur&gt;</v>
      </c>
      <c r="AB195" t="str">
        <f t="shared" si="76"/>
        <v>&lt;Valeur name="banque"&gt;1&lt;/Valeur&gt;</v>
      </c>
      <c r="AC195" t="str">
        <f t="shared" si="56"/>
        <v>&lt;Valeur name="pointer"&gt;1&lt;/Valeur&gt;</v>
      </c>
      <c r="AD195" t="str">
        <f t="shared" si="57"/>
        <v>&lt;Valeur name="idbanque"&gt;300760283626261100200EUR201903296318870600&lt;/Valeur&gt;</v>
      </c>
      <c r="AE195" t="str">
        <f t="shared" si="58"/>
        <v>&lt;Valeur name="datevaleur"&gt;2019/03/29&lt;/Valeur&gt;</v>
      </c>
      <c r="AF195" t="str">
        <f t="shared" si="59"/>
        <v>&lt;Valeur name="intitule"&gt;VIR TRESORERIE ARRAS MUNICIP / FAC. situation 7 DU 12/03/2019LO&lt;/Valeur&gt;</v>
      </c>
      <c r="AG195" t="str">
        <f t="shared" si="60"/>
        <v>&lt;Valeur name="description"&gt;&lt;/Valeur&gt;</v>
      </c>
      <c r="AH195" t="str">
        <f t="shared" si="61"/>
        <v>&lt;Valeur name="compte"&gt;4&lt;/Valeur&gt;</v>
      </c>
      <c r="AI195" t="str">
        <f t="shared" si="62"/>
        <v>&lt;Valeur name="solde"&gt;17333.79&lt;/Valeur&gt;</v>
      </c>
      <c r="AJ195" t="str">
        <f t="shared" si="63"/>
        <v>&lt;Valeur name="ventiler"&gt;0&lt;/Valeur&gt;</v>
      </c>
      <c r="AK195" t="str">
        <f t="shared" si="64"/>
        <v>&lt;Valeur name="compta"&gt;&lt;/Valeur&gt;</v>
      </c>
      <c r="AL195" t="str">
        <f t="shared" si="65"/>
        <v>&lt;Valeur name="valeur"&gt;23210.29&lt;/Valeur&gt;</v>
      </c>
      <c r="AN195" t="str">
        <f t="shared" ref="AN195:AN258" si="77">IF(ISBLANK(N195),"",CONCATENATE("&lt;Insert&gt;",AA195,AB195,AC195,AD195,AE195,AF195,AG195,AH195,AI195,AJ195,AK195,AL195,"&lt;/Insert&gt;"))</f>
        <v>&lt;Insert&gt;&lt;Valeur name="no"&gt;177&lt;/Valeur&gt;&lt;Valeur name="banque"&gt;1&lt;/Valeur&gt;&lt;Valeur name="pointer"&gt;1&lt;/Valeur&gt;&lt;Valeur name="idbanque"&gt;300760283626261100200EUR201903296318870600&lt;/Valeur&gt;&lt;Valeur name="datevaleur"&gt;2019/03/29&lt;/Valeur&gt;&lt;Valeur name="intitule"&gt;VIR TRESORERIE ARRAS MUNICIP / FAC. situation 7 DU 12/03/2019LO&lt;/Valeur&gt;&lt;Valeur name="description"&gt;&lt;/Valeur&gt;&lt;Valeur name="compte"&gt;4&lt;/Valeur&gt;&lt;Valeur name="solde"&gt;17333.79&lt;/Valeur&gt;&lt;Valeur name="ventiler"&gt;0&lt;/Valeur&gt;&lt;Valeur name="compta"&gt;&lt;/Valeur&gt;&lt;Valeur name="valeur"&gt;23210.29&lt;/Valeur&gt;&lt;/Insert&gt;</v>
      </c>
    </row>
    <row r="196" spans="1:40" x14ac:dyDescent="0.25">
      <c r="A196" t="s">
        <v>404</v>
      </c>
      <c r="B196">
        <v>178</v>
      </c>
      <c r="C196" s="1">
        <v>43553</v>
      </c>
      <c r="E196" t="str">
        <f>IF(F196&lt;&gt;"",INDEX(Balance!A:A,MATCH(F196,Balance!B:B,0)),"")</f>
        <v>Client</v>
      </c>
      <c r="F196" t="s">
        <v>379</v>
      </c>
      <c r="G196" t="s">
        <v>65</v>
      </c>
      <c r="H196" t="s">
        <v>405</v>
      </c>
      <c r="J196" s="10">
        <v>9720</v>
      </c>
      <c r="K196" s="11">
        <f t="shared" si="68"/>
        <v>-1620</v>
      </c>
      <c r="L196" s="10">
        <f t="shared" si="69"/>
        <v>27053.789999999997</v>
      </c>
      <c r="N196">
        <v>178</v>
      </c>
      <c r="O196">
        <v>1</v>
      </c>
      <c r="P196">
        <v>1</v>
      </c>
      <c r="Q196" t="str">
        <f t="shared" si="70"/>
        <v>300760283626261100200EUR201903296318871100</v>
      </c>
      <c r="R196" s="16" t="s">
        <v>888</v>
      </c>
      <c r="S196" t="str">
        <f t="shared" si="71"/>
        <v>VIR TRESORERIE ARRAS MUNICIP / FAC. AF249-1 DU 28/02/2019TABLEA</v>
      </c>
      <c r="U196">
        <f>IFERROR(VLOOKUP(F196,tab!A:B,2,FALSE),1)</f>
        <v>4</v>
      </c>
      <c r="V196" s="14">
        <f t="shared" si="72"/>
        <v>27053.789999999997</v>
      </c>
      <c r="W196">
        <f t="shared" si="73"/>
        <v>0</v>
      </c>
      <c r="X196" t="str">
        <f t="shared" si="74"/>
        <v/>
      </c>
      <c r="Y196" s="14">
        <f t="shared" si="75"/>
        <v>9720</v>
      </c>
      <c r="AA196" t="str">
        <f t="shared" si="76"/>
        <v>&lt;Valeur name="no"&gt;178&lt;/Valeur&gt;</v>
      </c>
      <c r="AB196" t="str">
        <f t="shared" si="76"/>
        <v>&lt;Valeur name="banque"&gt;1&lt;/Valeur&gt;</v>
      </c>
      <c r="AC196" t="str">
        <f t="shared" si="56"/>
        <v>&lt;Valeur name="pointer"&gt;1&lt;/Valeur&gt;</v>
      </c>
      <c r="AD196" t="str">
        <f t="shared" si="57"/>
        <v>&lt;Valeur name="idbanque"&gt;300760283626261100200EUR201903296318871100&lt;/Valeur&gt;</v>
      </c>
      <c r="AE196" t="str">
        <f t="shared" si="58"/>
        <v>&lt;Valeur name="datevaleur"&gt;2019/03/29&lt;/Valeur&gt;</v>
      </c>
      <c r="AF196" t="str">
        <f t="shared" si="59"/>
        <v>&lt;Valeur name="intitule"&gt;VIR TRESORERIE ARRAS MUNICIP / FAC. AF249-1 DU 28/02/2019TABLEA&lt;/Valeur&gt;</v>
      </c>
      <c r="AG196" t="str">
        <f t="shared" si="60"/>
        <v>&lt;Valeur name="description"&gt;&lt;/Valeur&gt;</v>
      </c>
      <c r="AH196" t="str">
        <f t="shared" si="61"/>
        <v>&lt;Valeur name="compte"&gt;4&lt;/Valeur&gt;</v>
      </c>
      <c r="AI196" t="str">
        <f t="shared" si="62"/>
        <v>&lt;Valeur name="solde"&gt;27053.79&lt;/Valeur&gt;</v>
      </c>
      <c r="AJ196" t="str">
        <f t="shared" si="63"/>
        <v>&lt;Valeur name="ventiler"&gt;0&lt;/Valeur&gt;</v>
      </c>
      <c r="AK196" t="str">
        <f t="shared" si="64"/>
        <v>&lt;Valeur name="compta"&gt;&lt;/Valeur&gt;</v>
      </c>
      <c r="AL196" t="str">
        <f t="shared" si="65"/>
        <v>&lt;Valeur name="valeur"&gt;9720&lt;/Valeur&gt;</v>
      </c>
      <c r="AN196" t="str">
        <f t="shared" si="77"/>
        <v>&lt;Insert&gt;&lt;Valeur name="no"&gt;178&lt;/Valeur&gt;&lt;Valeur name="banque"&gt;1&lt;/Valeur&gt;&lt;Valeur name="pointer"&gt;1&lt;/Valeur&gt;&lt;Valeur name="idbanque"&gt;300760283626261100200EUR201903296318871100&lt;/Valeur&gt;&lt;Valeur name="datevaleur"&gt;2019/03/29&lt;/Valeur&gt;&lt;Valeur name="intitule"&gt;VIR TRESORERIE ARRAS MUNICIP / FAC. AF249-1 DU 28/02/2019TABLEA&lt;/Valeur&gt;&lt;Valeur name="description"&gt;&lt;/Valeur&gt;&lt;Valeur name="compte"&gt;4&lt;/Valeur&gt;&lt;Valeur name="solde"&gt;27053.79&lt;/Valeur&gt;&lt;Valeur name="ventiler"&gt;0&lt;/Valeur&gt;&lt;Valeur name="compta"&gt;&lt;/Valeur&gt;&lt;Valeur name="valeur"&gt;9720&lt;/Valeur&gt;&lt;/Insert&gt;</v>
      </c>
    </row>
    <row r="197" spans="1:40" x14ac:dyDescent="0.25">
      <c r="A197" t="s">
        <v>406</v>
      </c>
      <c r="B197">
        <v>179</v>
      </c>
      <c r="C197" s="1">
        <v>43553</v>
      </c>
      <c r="D197">
        <v>1</v>
      </c>
      <c r="E197" t="str">
        <f>IF(F197&lt;&gt;"",INDEX(Balance!A:A,MATCH(F197,Balance!B:B,0)),"")</f>
        <v>Depense</v>
      </c>
      <c r="F197" t="s">
        <v>257</v>
      </c>
      <c r="G197" t="s">
        <v>31</v>
      </c>
      <c r="I197" s="10">
        <v>0.21</v>
      </c>
      <c r="K197" s="11">
        <f t="shared" si="68"/>
        <v>3.5000000000000003E-2</v>
      </c>
      <c r="L197" s="10">
        <f t="shared" si="69"/>
        <v>27053.579999999998</v>
      </c>
      <c r="N197">
        <v>179</v>
      </c>
      <c r="O197">
        <v>1</v>
      </c>
      <c r="P197">
        <v>1</v>
      </c>
      <c r="Q197" t="str">
        <f t="shared" si="70"/>
        <v>300760283626261100200EUR201903299224983200</v>
      </c>
      <c r="R197" s="16" t="s">
        <v>888</v>
      </c>
      <c r="S197" t="str">
        <f t="shared" si="71"/>
        <v>FRAIS E-VIR SEPA VERS EEE</v>
      </c>
      <c r="U197">
        <f>IFERROR(VLOOKUP(F197,tab!A:B,2,FALSE),1)</f>
        <v>18</v>
      </c>
      <c r="V197" s="14">
        <f t="shared" si="72"/>
        <v>27053.579999999998</v>
      </c>
      <c r="W197">
        <f t="shared" si="73"/>
        <v>0</v>
      </c>
      <c r="X197">
        <f t="shared" si="74"/>
        <v>1</v>
      </c>
      <c r="Y197" s="14">
        <f t="shared" si="75"/>
        <v>0.21</v>
      </c>
      <c r="AA197" t="str">
        <f t="shared" si="76"/>
        <v>&lt;Valeur name="no"&gt;179&lt;/Valeur&gt;</v>
      </c>
      <c r="AB197" t="str">
        <f t="shared" si="76"/>
        <v>&lt;Valeur name="banque"&gt;1&lt;/Valeur&gt;</v>
      </c>
      <c r="AC197" t="str">
        <f t="shared" si="56"/>
        <v>&lt;Valeur name="pointer"&gt;1&lt;/Valeur&gt;</v>
      </c>
      <c r="AD197" t="str">
        <f t="shared" si="57"/>
        <v>&lt;Valeur name="idbanque"&gt;300760283626261100200EUR201903299224983200&lt;/Valeur&gt;</v>
      </c>
      <c r="AE197" t="str">
        <f t="shared" si="58"/>
        <v>&lt;Valeur name="datevaleur"&gt;2019/03/29&lt;/Valeur&gt;</v>
      </c>
      <c r="AF197" t="str">
        <f t="shared" si="59"/>
        <v>&lt;Valeur name="intitule"&gt;FRAIS E-VIR SEPA VERS EEE&lt;/Valeur&gt;</v>
      </c>
      <c r="AG197" t="str">
        <f t="shared" si="60"/>
        <v>&lt;Valeur name="description"&gt;&lt;/Valeur&gt;</v>
      </c>
      <c r="AH197" t="str">
        <f t="shared" si="61"/>
        <v>&lt;Valeur name="compte"&gt;18&lt;/Valeur&gt;</v>
      </c>
      <c r="AI197" t="str">
        <f t="shared" si="62"/>
        <v>&lt;Valeur name="solde"&gt;27053.58&lt;/Valeur&gt;</v>
      </c>
      <c r="AJ197" t="str">
        <f t="shared" si="63"/>
        <v>&lt;Valeur name="ventiler"&gt;0&lt;/Valeur&gt;</v>
      </c>
      <c r="AK197" t="str">
        <f t="shared" si="64"/>
        <v>&lt;Valeur name="compta"&gt;1&lt;/Valeur&gt;</v>
      </c>
      <c r="AL197" t="str">
        <f t="shared" si="65"/>
        <v>&lt;Valeur name="valeur"&gt;0.21&lt;/Valeur&gt;</v>
      </c>
      <c r="AN197" t="str">
        <f t="shared" si="77"/>
        <v>&lt;Insert&gt;&lt;Valeur name="no"&gt;179&lt;/Valeur&gt;&lt;Valeur name="banque"&gt;1&lt;/Valeur&gt;&lt;Valeur name="pointer"&gt;1&lt;/Valeur&gt;&lt;Valeur name="idbanque"&gt;300760283626261100200EUR201903299224983200&lt;/Valeur&gt;&lt;Valeur name="datevaleur"&gt;2019/03/29&lt;/Valeur&gt;&lt;Valeur name="intitule"&gt;FRAIS E-VIR SEPA VERS EEE&lt;/Valeur&gt;&lt;Valeur name="description"&gt;&lt;/Valeur&gt;&lt;Valeur name="compte"&gt;18&lt;/Valeur&gt;&lt;Valeur name="solde"&gt;27053.58&lt;/Valeur&gt;&lt;Valeur name="ventiler"&gt;0&lt;/Valeur&gt;&lt;Valeur name="compta"&gt;1&lt;/Valeur&gt;&lt;Valeur name="valeur"&gt;0.21&lt;/Valeur&gt;&lt;/Insert&gt;</v>
      </c>
    </row>
    <row r="198" spans="1:40" x14ac:dyDescent="0.25">
      <c r="A198" t="s">
        <v>407</v>
      </c>
      <c r="B198">
        <v>180</v>
      </c>
      <c r="C198" s="1">
        <v>43553</v>
      </c>
      <c r="D198">
        <v>1</v>
      </c>
      <c r="E198" t="str">
        <f>IF(F198&lt;&gt;"",INDEX(Balance!A:A,MATCH(F198,Balance!B:B,0)),"")</f>
        <v>Depense</v>
      </c>
      <c r="F198" t="s">
        <v>257</v>
      </c>
      <c r="G198" t="s">
        <v>31</v>
      </c>
      <c r="I198" s="10">
        <v>0.21</v>
      </c>
      <c r="K198" s="11">
        <f t="shared" si="68"/>
        <v>3.5000000000000003E-2</v>
      </c>
      <c r="L198" s="10">
        <f t="shared" si="69"/>
        <v>27053.37</v>
      </c>
      <c r="N198">
        <v>180</v>
      </c>
      <c r="O198">
        <v>1</v>
      </c>
      <c r="P198">
        <v>1</v>
      </c>
      <c r="Q198" t="str">
        <f t="shared" si="70"/>
        <v>300760283626261100200EUR201903299224983300</v>
      </c>
      <c r="R198" s="16" t="s">
        <v>888</v>
      </c>
      <c r="S198" t="str">
        <f t="shared" si="71"/>
        <v>FRAIS E-VIR SEPA VERS EEE</v>
      </c>
      <c r="U198">
        <f>IFERROR(VLOOKUP(F198,tab!A:B,2,FALSE),1)</f>
        <v>18</v>
      </c>
      <c r="V198" s="14">
        <f t="shared" si="72"/>
        <v>27053.37</v>
      </c>
      <c r="W198">
        <f t="shared" si="73"/>
        <v>0</v>
      </c>
      <c r="X198">
        <f t="shared" si="74"/>
        <v>1</v>
      </c>
      <c r="Y198" s="14">
        <f t="shared" si="75"/>
        <v>0.21</v>
      </c>
      <c r="AA198" t="str">
        <f t="shared" si="76"/>
        <v>&lt;Valeur name="no"&gt;180&lt;/Valeur&gt;</v>
      </c>
      <c r="AB198" t="str">
        <f t="shared" si="76"/>
        <v>&lt;Valeur name="banque"&gt;1&lt;/Valeur&gt;</v>
      </c>
      <c r="AC198" t="str">
        <f t="shared" si="56"/>
        <v>&lt;Valeur name="pointer"&gt;1&lt;/Valeur&gt;</v>
      </c>
      <c r="AD198" t="str">
        <f t="shared" si="57"/>
        <v>&lt;Valeur name="idbanque"&gt;300760283626261100200EUR201903299224983300&lt;/Valeur&gt;</v>
      </c>
      <c r="AE198" t="str">
        <f t="shared" si="58"/>
        <v>&lt;Valeur name="datevaleur"&gt;2019/03/29&lt;/Valeur&gt;</v>
      </c>
      <c r="AF198" t="str">
        <f t="shared" si="59"/>
        <v>&lt;Valeur name="intitule"&gt;FRAIS E-VIR SEPA VERS EEE&lt;/Valeur&gt;</v>
      </c>
      <c r="AG198" t="str">
        <f t="shared" si="60"/>
        <v>&lt;Valeur name="description"&gt;&lt;/Valeur&gt;</v>
      </c>
      <c r="AH198" t="str">
        <f t="shared" si="61"/>
        <v>&lt;Valeur name="compte"&gt;18&lt;/Valeur&gt;</v>
      </c>
      <c r="AI198" t="str">
        <f t="shared" si="62"/>
        <v>&lt;Valeur name="solde"&gt;27053.37&lt;/Valeur&gt;</v>
      </c>
      <c r="AJ198" t="str">
        <f t="shared" si="63"/>
        <v>&lt;Valeur name="ventiler"&gt;0&lt;/Valeur&gt;</v>
      </c>
      <c r="AK198" t="str">
        <f t="shared" si="64"/>
        <v>&lt;Valeur name="compta"&gt;1&lt;/Valeur&gt;</v>
      </c>
      <c r="AL198" t="str">
        <f t="shared" si="65"/>
        <v>&lt;Valeur name="valeur"&gt;0.21&lt;/Valeur&gt;</v>
      </c>
      <c r="AN198" t="str">
        <f t="shared" si="77"/>
        <v>&lt;Insert&gt;&lt;Valeur name="no"&gt;180&lt;/Valeur&gt;&lt;Valeur name="banque"&gt;1&lt;/Valeur&gt;&lt;Valeur name="pointer"&gt;1&lt;/Valeur&gt;&lt;Valeur name="idbanque"&gt;300760283626261100200EUR201903299224983300&lt;/Valeur&gt;&lt;Valeur name="datevaleur"&gt;2019/03/29&lt;/Valeur&gt;&lt;Valeur name="intitule"&gt;FRAIS E-VIR SEPA VERS EEE&lt;/Valeur&gt;&lt;Valeur name="description"&gt;&lt;/Valeur&gt;&lt;Valeur name="compte"&gt;18&lt;/Valeur&gt;&lt;Valeur name="solde"&gt;27053.37&lt;/Valeur&gt;&lt;Valeur name="ventiler"&gt;0&lt;/Valeur&gt;&lt;Valeur name="compta"&gt;1&lt;/Valeur&gt;&lt;Valeur name="valeur"&gt;0.21&lt;/Valeur&gt;&lt;/Insert&gt;</v>
      </c>
    </row>
    <row r="199" spans="1:40" x14ac:dyDescent="0.25">
      <c r="A199" t="s">
        <v>408</v>
      </c>
      <c r="B199">
        <v>181</v>
      </c>
      <c r="C199" s="1">
        <v>43553</v>
      </c>
      <c r="D199">
        <v>1</v>
      </c>
      <c r="E199" t="str">
        <f>IF(F199&lt;&gt;"",INDEX(Balance!A:A,MATCH(F199,Balance!B:B,0)),"")</f>
        <v>Depense</v>
      </c>
      <c r="F199" t="s">
        <v>257</v>
      </c>
      <c r="G199" t="s">
        <v>31</v>
      </c>
      <c r="I199" s="10">
        <v>0.21</v>
      </c>
      <c r="K199" s="11">
        <f t="shared" si="68"/>
        <v>3.5000000000000003E-2</v>
      </c>
      <c r="L199" s="10">
        <f t="shared" si="69"/>
        <v>27053.16</v>
      </c>
      <c r="N199">
        <v>181</v>
      </c>
      <c r="O199">
        <v>1</v>
      </c>
      <c r="P199">
        <v>1</v>
      </c>
      <c r="Q199" t="str">
        <f t="shared" si="70"/>
        <v>300760283626261100200EUR201903299224983400</v>
      </c>
      <c r="R199" s="16" t="s">
        <v>888</v>
      </c>
      <c r="S199" t="str">
        <f t="shared" si="71"/>
        <v>FRAIS E-VIR SEPA VERS EEE</v>
      </c>
      <c r="U199">
        <f>IFERROR(VLOOKUP(F199,tab!A:B,2,FALSE),1)</f>
        <v>18</v>
      </c>
      <c r="V199" s="14">
        <f t="shared" si="72"/>
        <v>27053.16</v>
      </c>
      <c r="W199">
        <f t="shared" si="73"/>
        <v>0</v>
      </c>
      <c r="X199">
        <f t="shared" si="74"/>
        <v>1</v>
      </c>
      <c r="Y199" s="14">
        <f t="shared" si="75"/>
        <v>0.21</v>
      </c>
      <c r="AA199" t="str">
        <f t="shared" si="76"/>
        <v>&lt;Valeur name="no"&gt;181&lt;/Valeur&gt;</v>
      </c>
      <c r="AB199" t="str">
        <f t="shared" si="76"/>
        <v>&lt;Valeur name="banque"&gt;1&lt;/Valeur&gt;</v>
      </c>
      <c r="AC199" t="str">
        <f t="shared" si="56"/>
        <v>&lt;Valeur name="pointer"&gt;1&lt;/Valeur&gt;</v>
      </c>
      <c r="AD199" t="str">
        <f t="shared" si="57"/>
        <v>&lt;Valeur name="idbanque"&gt;300760283626261100200EUR201903299224983400&lt;/Valeur&gt;</v>
      </c>
      <c r="AE199" t="str">
        <f t="shared" si="58"/>
        <v>&lt;Valeur name="datevaleur"&gt;2019/03/29&lt;/Valeur&gt;</v>
      </c>
      <c r="AF199" t="str">
        <f t="shared" si="59"/>
        <v>&lt;Valeur name="intitule"&gt;FRAIS E-VIR SEPA VERS EEE&lt;/Valeur&gt;</v>
      </c>
      <c r="AG199" t="str">
        <f t="shared" si="60"/>
        <v>&lt;Valeur name="description"&gt;&lt;/Valeur&gt;</v>
      </c>
      <c r="AH199" t="str">
        <f t="shared" si="61"/>
        <v>&lt;Valeur name="compte"&gt;18&lt;/Valeur&gt;</v>
      </c>
      <c r="AI199" t="str">
        <f t="shared" si="62"/>
        <v>&lt;Valeur name="solde"&gt;27053.16&lt;/Valeur&gt;</v>
      </c>
      <c r="AJ199" t="str">
        <f t="shared" si="63"/>
        <v>&lt;Valeur name="ventiler"&gt;0&lt;/Valeur&gt;</v>
      </c>
      <c r="AK199" t="str">
        <f t="shared" si="64"/>
        <v>&lt;Valeur name="compta"&gt;1&lt;/Valeur&gt;</v>
      </c>
      <c r="AL199" t="str">
        <f t="shared" si="65"/>
        <v>&lt;Valeur name="valeur"&gt;0.21&lt;/Valeur&gt;</v>
      </c>
      <c r="AN199" t="str">
        <f t="shared" si="77"/>
        <v>&lt;Insert&gt;&lt;Valeur name="no"&gt;181&lt;/Valeur&gt;&lt;Valeur name="banque"&gt;1&lt;/Valeur&gt;&lt;Valeur name="pointer"&gt;1&lt;/Valeur&gt;&lt;Valeur name="idbanque"&gt;300760283626261100200EUR201903299224983400&lt;/Valeur&gt;&lt;Valeur name="datevaleur"&gt;2019/03/29&lt;/Valeur&gt;&lt;Valeur name="intitule"&gt;FRAIS E-VIR SEPA VERS EEE&lt;/Valeur&gt;&lt;Valeur name="description"&gt;&lt;/Valeur&gt;&lt;Valeur name="compte"&gt;18&lt;/Valeur&gt;&lt;Valeur name="solde"&gt;27053.16&lt;/Valeur&gt;&lt;Valeur name="ventiler"&gt;0&lt;/Valeur&gt;&lt;Valeur name="compta"&gt;1&lt;/Valeur&gt;&lt;Valeur name="valeur"&gt;0.21&lt;/Valeur&gt;&lt;/Insert&gt;</v>
      </c>
    </row>
    <row r="200" spans="1:40" x14ac:dyDescent="0.25">
      <c r="A200" t="s">
        <v>409</v>
      </c>
      <c r="B200">
        <v>182</v>
      </c>
      <c r="C200" s="1">
        <v>43553</v>
      </c>
      <c r="D200">
        <v>1</v>
      </c>
      <c r="E200" t="str">
        <f>IF(F200&lt;&gt;"",INDEX(Balance!A:A,MATCH(F200,Balance!B:B,0)),"")</f>
        <v>Depense</v>
      </c>
      <c r="F200" t="s">
        <v>257</v>
      </c>
      <c r="G200" t="s">
        <v>31</v>
      </c>
      <c r="I200" s="10">
        <v>0.21</v>
      </c>
      <c r="K200" s="11">
        <f t="shared" si="68"/>
        <v>3.5000000000000003E-2</v>
      </c>
      <c r="L200" s="10">
        <f t="shared" si="69"/>
        <v>27052.95</v>
      </c>
      <c r="N200">
        <v>182</v>
      </c>
      <c r="O200">
        <v>1</v>
      </c>
      <c r="P200">
        <v>1</v>
      </c>
      <c r="Q200" t="str">
        <f t="shared" si="70"/>
        <v>300760283626261100200EUR201903299224983500</v>
      </c>
      <c r="R200" s="16" t="s">
        <v>888</v>
      </c>
      <c r="S200" t="str">
        <f t="shared" si="71"/>
        <v>FRAIS E-VIR SEPA VERS EEE</v>
      </c>
      <c r="U200">
        <f>IFERROR(VLOOKUP(F200,tab!A:B,2,FALSE),1)</f>
        <v>18</v>
      </c>
      <c r="V200" s="14">
        <f t="shared" si="72"/>
        <v>27052.95</v>
      </c>
      <c r="W200">
        <f t="shared" si="73"/>
        <v>0</v>
      </c>
      <c r="X200">
        <f t="shared" si="74"/>
        <v>1</v>
      </c>
      <c r="Y200" s="14">
        <f t="shared" si="75"/>
        <v>0.21</v>
      </c>
      <c r="AA200" t="str">
        <f t="shared" si="76"/>
        <v>&lt;Valeur name="no"&gt;182&lt;/Valeur&gt;</v>
      </c>
      <c r="AB200" t="str">
        <f t="shared" si="76"/>
        <v>&lt;Valeur name="banque"&gt;1&lt;/Valeur&gt;</v>
      </c>
      <c r="AC200" t="str">
        <f t="shared" si="56"/>
        <v>&lt;Valeur name="pointer"&gt;1&lt;/Valeur&gt;</v>
      </c>
      <c r="AD200" t="str">
        <f t="shared" si="57"/>
        <v>&lt;Valeur name="idbanque"&gt;300760283626261100200EUR201903299224983500&lt;/Valeur&gt;</v>
      </c>
      <c r="AE200" t="str">
        <f t="shared" si="58"/>
        <v>&lt;Valeur name="datevaleur"&gt;2019/03/29&lt;/Valeur&gt;</v>
      </c>
      <c r="AF200" t="str">
        <f t="shared" si="59"/>
        <v>&lt;Valeur name="intitule"&gt;FRAIS E-VIR SEPA VERS EEE&lt;/Valeur&gt;</v>
      </c>
      <c r="AG200" t="str">
        <f t="shared" si="60"/>
        <v>&lt;Valeur name="description"&gt;&lt;/Valeur&gt;</v>
      </c>
      <c r="AH200" t="str">
        <f t="shared" si="61"/>
        <v>&lt;Valeur name="compte"&gt;18&lt;/Valeur&gt;</v>
      </c>
      <c r="AI200" t="str">
        <f t="shared" si="62"/>
        <v>&lt;Valeur name="solde"&gt;27052.95&lt;/Valeur&gt;</v>
      </c>
      <c r="AJ200" t="str">
        <f t="shared" si="63"/>
        <v>&lt;Valeur name="ventiler"&gt;0&lt;/Valeur&gt;</v>
      </c>
      <c r="AK200" t="str">
        <f t="shared" si="64"/>
        <v>&lt;Valeur name="compta"&gt;1&lt;/Valeur&gt;</v>
      </c>
      <c r="AL200" t="str">
        <f t="shared" si="65"/>
        <v>&lt;Valeur name="valeur"&gt;0.21&lt;/Valeur&gt;</v>
      </c>
      <c r="AN200" t="str">
        <f t="shared" si="77"/>
        <v>&lt;Insert&gt;&lt;Valeur name="no"&gt;182&lt;/Valeur&gt;&lt;Valeur name="banque"&gt;1&lt;/Valeur&gt;&lt;Valeur name="pointer"&gt;1&lt;/Valeur&gt;&lt;Valeur name="idbanque"&gt;300760283626261100200EUR201903299224983500&lt;/Valeur&gt;&lt;Valeur name="datevaleur"&gt;2019/03/29&lt;/Valeur&gt;&lt;Valeur name="intitule"&gt;FRAIS E-VIR SEPA VERS EEE&lt;/Valeur&gt;&lt;Valeur name="description"&gt;&lt;/Valeur&gt;&lt;Valeur name="compte"&gt;18&lt;/Valeur&gt;&lt;Valeur name="solde"&gt;27052.95&lt;/Valeur&gt;&lt;Valeur name="ventiler"&gt;0&lt;/Valeur&gt;&lt;Valeur name="compta"&gt;1&lt;/Valeur&gt;&lt;Valeur name="valeur"&gt;0.21&lt;/Valeur&gt;&lt;/Insert&gt;</v>
      </c>
    </row>
    <row r="201" spans="1:40" x14ac:dyDescent="0.25">
      <c r="A201" t="s">
        <v>410</v>
      </c>
      <c r="B201">
        <v>183</v>
      </c>
      <c r="C201" s="1">
        <v>43556</v>
      </c>
      <c r="D201">
        <v>1</v>
      </c>
      <c r="E201" t="str">
        <f>IF(F201&lt;&gt;"",INDEX(Balance!A:A,MATCH(F201,Balance!B:B,0)),"")</f>
        <v>Depense</v>
      </c>
      <c r="F201" t="s">
        <v>256</v>
      </c>
      <c r="G201" t="s">
        <v>411</v>
      </c>
      <c r="I201" s="10">
        <v>1723.78</v>
      </c>
      <c r="K201" s="11">
        <f t="shared" si="68"/>
        <v>287.29666666666662</v>
      </c>
      <c r="L201" s="10">
        <f t="shared" si="69"/>
        <v>25329.170000000002</v>
      </c>
      <c r="N201">
        <v>183</v>
      </c>
      <c r="O201">
        <v>1</v>
      </c>
      <c r="P201">
        <v>1</v>
      </c>
      <c r="Q201" t="str">
        <f t="shared" si="70"/>
        <v>300760283626261100200EUR201904010292490900</v>
      </c>
      <c r="R201" s="16" t="s">
        <v>907</v>
      </c>
      <c r="S201" t="str">
        <f t="shared" si="71"/>
        <v>E-VIR SEPA Salaire Alex 03/2019</v>
      </c>
      <c r="U201">
        <f>IFERROR(VLOOKUP(F201,tab!A:B,2,FALSE),1)</f>
        <v>28</v>
      </c>
      <c r="V201" s="14">
        <f t="shared" si="72"/>
        <v>25329.170000000002</v>
      </c>
      <c r="W201">
        <f t="shared" si="73"/>
        <v>0</v>
      </c>
      <c r="X201">
        <f t="shared" si="74"/>
        <v>1</v>
      </c>
      <c r="Y201" s="14">
        <f t="shared" si="75"/>
        <v>1723.78</v>
      </c>
      <c r="AA201" t="str">
        <f t="shared" si="76"/>
        <v>&lt;Valeur name="no"&gt;183&lt;/Valeur&gt;</v>
      </c>
      <c r="AB201" t="str">
        <f t="shared" si="76"/>
        <v>&lt;Valeur name="banque"&gt;1&lt;/Valeur&gt;</v>
      </c>
      <c r="AC201" t="str">
        <f t="shared" si="56"/>
        <v>&lt;Valeur name="pointer"&gt;1&lt;/Valeur&gt;</v>
      </c>
      <c r="AD201" t="str">
        <f t="shared" si="57"/>
        <v>&lt;Valeur name="idbanque"&gt;300760283626261100200EUR201904010292490900&lt;/Valeur&gt;</v>
      </c>
      <c r="AE201" t="str">
        <f t="shared" si="58"/>
        <v>&lt;Valeur name="datevaleur"&gt;2019/04/01&lt;/Valeur&gt;</v>
      </c>
      <c r="AF201" t="str">
        <f t="shared" si="59"/>
        <v>&lt;Valeur name="intitule"&gt;E-VIR SEPA Salaire Alex 03/2019&lt;/Valeur&gt;</v>
      </c>
      <c r="AG201" t="str">
        <f t="shared" si="60"/>
        <v>&lt;Valeur name="description"&gt;&lt;/Valeur&gt;</v>
      </c>
      <c r="AH201" t="str">
        <f t="shared" si="61"/>
        <v>&lt;Valeur name="compte"&gt;28&lt;/Valeur&gt;</v>
      </c>
      <c r="AI201" t="str">
        <f t="shared" si="62"/>
        <v>&lt;Valeur name="solde"&gt;25329.17&lt;/Valeur&gt;</v>
      </c>
      <c r="AJ201" t="str">
        <f t="shared" si="63"/>
        <v>&lt;Valeur name="ventiler"&gt;0&lt;/Valeur&gt;</v>
      </c>
      <c r="AK201" t="str">
        <f t="shared" si="64"/>
        <v>&lt;Valeur name="compta"&gt;1&lt;/Valeur&gt;</v>
      </c>
      <c r="AL201" t="str">
        <f t="shared" si="65"/>
        <v>&lt;Valeur name="valeur"&gt;1723.78&lt;/Valeur&gt;</v>
      </c>
      <c r="AN201" t="str">
        <f t="shared" si="77"/>
        <v>&lt;Insert&gt;&lt;Valeur name="no"&gt;183&lt;/Valeur&gt;&lt;Valeur name="banque"&gt;1&lt;/Valeur&gt;&lt;Valeur name="pointer"&gt;1&lt;/Valeur&gt;&lt;Valeur name="idbanque"&gt;300760283626261100200EUR201904010292490900&lt;/Valeur&gt;&lt;Valeur name="datevaleur"&gt;2019/04/01&lt;/Valeur&gt;&lt;Valeur name="intitule"&gt;E-VIR SEPA Salaire Alex 03/2019&lt;/Valeur&gt;&lt;Valeur name="description"&gt;&lt;/Valeur&gt;&lt;Valeur name="compte"&gt;28&lt;/Valeur&gt;&lt;Valeur name="solde"&gt;25329.17&lt;/Valeur&gt;&lt;Valeur name="ventiler"&gt;0&lt;/Valeur&gt;&lt;Valeur name="compta"&gt;1&lt;/Valeur&gt;&lt;Valeur name="valeur"&gt;1723.78&lt;/Valeur&gt;&lt;/Insert&gt;</v>
      </c>
    </row>
    <row r="202" spans="1:40" x14ac:dyDescent="0.25">
      <c r="A202" t="s">
        <v>412</v>
      </c>
      <c r="B202">
        <v>184</v>
      </c>
      <c r="C202" s="1">
        <v>43556</v>
      </c>
      <c r="E202" t="str">
        <f>IF(F202&lt;&gt;"",INDEX(Balance!A:A,MATCH(F202,Balance!B:B,0)),"")</f>
        <v/>
      </c>
      <c r="G202" t="s">
        <v>413</v>
      </c>
      <c r="I202" s="10">
        <v>3363.22</v>
      </c>
      <c r="K202" s="11">
        <f t="shared" si="68"/>
        <v>560.53666666666641</v>
      </c>
      <c r="L202" s="10">
        <f t="shared" si="69"/>
        <v>21965.95</v>
      </c>
      <c r="N202">
        <v>184</v>
      </c>
      <c r="O202">
        <v>1</v>
      </c>
      <c r="P202">
        <v>1</v>
      </c>
      <c r="Q202" t="str">
        <f t="shared" si="70"/>
        <v>300760283626261100200EUR201904010912015100</v>
      </c>
      <c r="R202" s="16" t="s">
        <v>907</v>
      </c>
      <c r="S202" t="str">
        <f t="shared" si="71"/>
        <v>RELEVE LCR DU  250319  CONFORME</v>
      </c>
      <c r="U202">
        <f>IFERROR(VLOOKUP(F202,tab!A:B,2,FALSE),1)</f>
        <v>1</v>
      </c>
      <c r="V202" s="14">
        <f t="shared" si="72"/>
        <v>21965.95</v>
      </c>
      <c r="W202">
        <f t="shared" si="73"/>
        <v>1</v>
      </c>
      <c r="X202" t="str">
        <f t="shared" si="74"/>
        <v/>
      </c>
      <c r="Y202" s="14">
        <f t="shared" si="75"/>
        <v>3363.22</v>
      </c>
      <c r="AA202" t="str">
        <f t="shared" si="76"/>
        <v>&lt;Valeur name="no"&gt;184&lt;/Valeur&gt;</v>
      </c>
      <c r="AB202" t="str">
        <f t="shared" si="76"/>
        <v>&lt;Valeur name="banque"&gt;1&lt;/Valeur&gt;</v>
      </c>
      <c r="AC202" t="str">
        <f t="shared" si="56"/>
        <v>&lt;Valeur name="pointer"&gt;1&lt;/Valeur&gt;</v>
      </c>
      <c r="AD202" t="str">
        <f t="shared" si="57"/>
        <v>&lt;Valeur name="idbanque"&gt;300760283626261100200EUR201904010912015100&lt;/Valeur&gt;</v>
      </c>
      <c r="AE202" t="str">
        <f t="shared" si="58"/>
        <v>&lt;Valeur name="datevaleur"&gt;2019/04/01&lt;/Valeur&gt;</v>
      </c>
      <c r="AF202" t="str">
        <f t="shared" si="59"/>
        <v>&lt;Valeur name="intitule"&gt;RELEVE LCR DU  250319  CONFORME&lt;/Valeur&gt;</v>
      </c>
      <c r="AG202" t="str">
        <f t="shared" si="60"/>
        <v>&lt;Valeur name="description"&gt;&lt;/Valeur&gt;</v>
      </c>
      <c r="AH202" t="str">
        <f t="shared" si="61"/>
        <v>&lt;Valeur name="compte"&gt;1&lt;/Valeur&gt;</v>
      </c>
      <c r="AI202" t="str">
        <f t="shared" si="62"/>
        <v>&lt;Valeur name="solde"&gt;21965.95&lt;/Valeur&gt;</v>
      </c>
      <c r="AJ202" t="str">
        <f t="shared" si="63"/>
        <v>&lt;Valeur name="ventiler"&gt;1&lt;/Valeur&gt;</v>
      </c>
      <c r="AK202" t="str">
        <f t="shared" si="64"/>
        <v>&lt;Valeur name="compta"&gt;&lt;/Valeur&gt;</v>
      </c>
      <c r="AL202" t="str">
        <f t="shared" si="65"/>
        <v>&lt;Valeur name="valeur"&gt;3363.22&lt;/Valeur&gt;</v>
      </c>
      <c r="AN202" t="str">
        <f t="shared" si="77"/>
        <v>&lt;Insert&gt;&lt;Valeur name="no"&gt;184&lt;/Valeur&gt;&lt;Valeur name="banque"&gt;1&lt;/Valeur&gt;&lt;Valeur name="pointer"&gt;1&lt;/Valeur&gt;&lt;Valeur name="idbanque"&gt;300760283626261100200EUR201904010912015100&lt;/Valeur&gt;&lt;Valeur name="datevaleur"&gt;2019/04/01&lt;/Valeur&gt;&lt;Valeur name="intitule"&gt;RELEVE LCR DU  250319  CONFORME&lt;/Valeur&gt;&lt;Valeur name="description"&gt;&lt;/Valeur&gt;&lt;Valeur name="compte"&gt;1&lt;/Valeur&gt;&lt;Valeur name="solde"&gt;21965.95&lt;/Valeur&gt;&lt;Valeur name="ventiler"&gt;1&lt;/Valeur&gt;&lt;Valeur name="compta"&gt;&lt;/Valeur&gt;&lt;Valeur name="valeur"&gt;3363.22&lt;/Valeur&gt;&lt;/Insert&gt;</v>
      </c>
    </row>
    <row r="203" spans="1:40" x14ac:dyDescent="0.25">
      <c r="C203" s="1"/>
      <c r="E203" t="str">
        <f>IF(F203&lt;&gt;"",INDEX(Balance!A:A,MATCH(F203,Balance!B:B,0)),"")</f>
        <v>Fournisseurs</v>
      </c>
      <c r="F203" t="s">
        <v>277</v>
      </c>
      <c r="I203" s="10">
        <v>35.81</v>
      </c>
      <c r="O203">
        <v>1</v>
      </c>
      <c r="P203">
        <v>1</v>
      </c>
      <c r="Q203">
        <f t="shared" si="70"/>
        <v>0</v>
      </c>
      <c r="R203" s="16" t="s">
        <v>874</v>
      </c>
      <c r="S203" t="str">
        <f t="shared" si="71"/>
        <v/>
      </c>
      <c r="U203">
        <f>IFERROR(VLOOKUP(F203,tab!A:B,2,FALSE),1)</f>
        <v>62</v>
      </c>
      <c r="V203" s="14">
        <f t="shared" si="72"/>
        <v>0</v>
      </c>
      <c r="W203">
        <f t="shared" si="73"/>
        <v>1</v>
      </c>
      <c r="X203" t="str">
        <f t="shared" si="74"/>
        <v/>
      </c>
      <c r="Y203" s="14">
        <f t="shared" si="75"/>
        <v>35.81</v>
      </c>
      <c r="AA203" t="str">
        <f t="shared" si="76"/>
        <v/>
      </c>
      <c r="AB203" t="str">
        <f t="shared" si="76"/>
        <v/>
      </c>
      <c r="AC203" t="str">
        <f t="shared" si="56"/>
        <v/>
      </c>
      <c r="AD203" t="str">
        <f t="shared" si="57"/>
        <v/>
      </c>
      <c r="AE203" t="str">
        <f t="shared" si="58"/>
        <v/>
      </c>
      <c r="AF203" t="str">
        <f t="shared" si="59"/>
        <v/>
      </c>
      <c r="AG203" t="str">
        <f t="shared" si="60"/>
        <v/>
      </c>
      <c r="AH203" t="str">
        <f t="shared" si="61"/>
        <v/>
      </c>
      <c r="AI203" t="str">
        <f t="shared" si="62"/>
        <v/>
      </c>
      <c r="AJ203" t="str">
        <f t="shared" si="63"/>
        <v/>
      </c>
      <c r="AK203" t="str">
        <f t="shared" si="64"/>
        <v/>
      </c>
      <c r="AL203" t="str">
        <f t="shared" si="65"/>
        <v/>
      </c>
      <c r="AN203" t="str">
        <f t="shared" si="77"/>
        <v/>
      </c>
    </row>
    <row r="204" spans="1:40" x14ac:dyDescent="0.25">
      <c r="C204" s="1"/>
      <c r="E204" t="str">
        <f>IF(F204&lt;&gt;"",INDEX(Balance!A:A,MATCH(F204,Balance!B:B,0)),"")</f>
        <v>Fournisseurs</v>
      </c>
      <c r="F204" t="s">
        <v>275</v>
      </c>
      <c r="I204" s="10">
        <v>79.87</v>
      </c>
      <c r="O204">
        <v>1</v>
      </c>
      <c r="P204">
        <v>1</v>
      </c>
      <c r="Q204">
        <f t="shared" si="70"/>
        <v>0</v>
      </c>
      <c r="R204" s="16" t="s">
        <v>874</v>
      </c>
      <c r="S204" t="str">
        <f t="shared" si="71"/>
        <v/>
      </c>
      <c r="U204">
        <f>IFERROR(VLOOKUP(F204,tab!A:B,2,FALSE),1)</f>
        <v>92</v>
      </c>
      <c r="V204" s="14">
        <f t="shared" si="72"/>
        <v>0</v>
      </c>
      <c r="W204">
        <f t="shared" si="73"/>
        <v>1</v>
      </c>
      <c r="X204" t="str">
        <f t="shared" si="74"/>
        <v/>
      </c>
      <c r="Y204" s="14">
        <f t="shared" si="75"/>
        <v>79.87</v>
      </c>
      <c r="AA204" t="str">
        <f t="shared" si="76"/>
        <v/>
      </c>
      <c r="AB204" t="str">
        <f t="shared" si="76"/>
        <v/>
      </c>
      <c r="AC204" t="str">
        <f t="shared" si="56"/>
        <v/>
      </c>
      <c r="AD204" t="str">
        <f t="shared" si="57"/>
        <v/>
      </c>
      <c r="AE204" t="str">
        <f t="shared" si="58"/>
        <v/>
      </c>
      <c r="AF204" t="str">
        <f t="shared" si="59"/>
        <v/>
      </c>
      <c r="AG204" t="str">
        <f t="shared" si="60"/>
        <v/>
      </c>
      <c r="AH204" t="str">
        <f t="shared" si="61"/>
        <v/>
      </c>
      <c r="AI204" t="str">
        <f t="shared" si="62"/>
        <v/>
      </c>
      <c r="AJ204" t="str">
        <f t="shared" si="63"/>
        <v/>
      </c>
      <c r="AK204" t="str">
        <f t="shared" si="64"/>
        <v/>
      </c>
      <c r="AL204" t="str">
        <f t="shared" si="65"/>
        <v/>
      </c>
      <c r="AN204" t="str">
        <f t="shared" si="77"/>
        <v/>
      </c>
    </row>
    <row r="205" spans="1:40" x14ac:dyDescent="0.25">
      <c r="C205" s="1"/>
      <c r="E205" t="str">
        <f>IF(F205&lt;&gt;"",INDEX(Balance!A:A,MATCH(F205,Balance!B:B,0)),"")</f>
        <v>Fournisseurs</v>
      </c>
      <c r="F205" t="s">
        <v>298</v>
      </c>
      <c r="I205" s="10">
        <v>99.26</v>
      </c>
      <c r="O205">
        <v>1</v>
      </c>
      <c r="P205">
        <v>1</v>
      </c>
      <c r="Q205">
        <f t="shared" si="70"/>
        <v>0</v>
      </c>
      <c r="R205" s="16" t="s">
        <v>874</v>
      </c>
      <c r="S205" t="str">
        <f t="shared" si="71"/>
        <v/>
      </c>
      <c r="U205">
        <f>IFERROR(VLOOKUP(F205,tab!A:B,2,FALSE),1)</f>
        <v>81</v>
      </c>
      <c r="V205" s="14">
        <f t="shared" si="72"/>
        <v>0</v>
      </c>
      <c r="W205">
        <f t="shared" si="73"/>
        <v>1</v>
      </c>
      <c r="X205" t="str">
        <f t="shared" si="74"/>
        <v/>
      </c>
      <c r="Y205" s="14">
        <f t="shared" si="75"/>
        <v>99.26</v>
      </c>
      <c r="AA205" t="str">
        <f t="shared" si="76"/>
        <v/>
      </c>
      <c r="AB205" t="str">
        <f t="shared" si="76"/>
        <v/>
      </c>
      <c r="AC205" t="str">
        <f t="shared" si="56"/>
        <v/>
      </c>
      <c r="AD205" t="str">
        <f t="shared" si="57"/>
        <v/>
      </c>
      <c r="AE205" t="str">
        <f t="shared" si="58"/>
        <v/>
      </c>
      <c r="AF205" t="str">
        <f t="shared" si="59"/>
        <v/>
      </c>
      <c r="AG205" t="str">
        <f t="shared" si="60"/>
        <v/>
      </c>
      <c r="AH205" t="str">
        <f t="shared" si="61"/>
        <v/>
      </c>
      <c r="AI205" t="str">
        <f t="shared" si="62"/>
        <v/>
      </c>
      <c r="AJ205" t="str">
        <f t="shared" si="63"/>
        <v/>
      </c>
      <c r="AK205" t="str">
        <f t="shared" si="64"/>
        <v/>
      </c>
      <c r="AL205" t="str">
        <f t="shared" si="65"/>
        <v/>
      </c>
      <c r="AN205" t="str">
        <f t="shared" si="77"/>
        <v/>
      </c>
    </row>
    <row r="206" spans="1:40" x14ac:dyDescent="0.25">
      <c r="C206" s="1"/>
      <c r="E206" t="str">
        <f>IF(F206&lt;&gt;"",INDEX(Balance!A:A,MATCH(F206,Balance!B:B,0)),"")</f>
        <v>Fournisseurs</v>
      </c>
      <c r="F206" t="s">
        <v>276</v>
      </c>
      <c r="I206" s="10">
        <v>236.69</v>
      </c>
      <c r="O206">
        <v>1</v>
      </c>
      <c r="P206">
        <v>1</v>
      </c>
      <c r="Q206">
        <f t="shared" si="70"/>
        <v>0</v>
      </c>
      <c r="R206" s="16" t="s">
        <v>874</v>
      </c>
      <c r="S206" t="str">
        <f t="shared" si="71"/>
        <v/>
      </c>
      <c r="U206">
        <f>IFERROR(VLOOKUP(F206,tab!A:B,2,FALSE),1)</f>
        <v>114</v>
      </c>
      <c r="V206" s="14">
        <f t="shared" si="72"/>
        <v>0</v>
      </c>
      <c r="W206">
        <f t="shared" si="73"/>
        <v>1</v>
      </c>
      <c r="X206" t="str">
        <f t="shared" si="74"/>
        <v/>
      </c>
      <c r="Y206" s="14">
        <f t="shared" si="75"/>
        <v>236.69</v>
      </c>
      <c r="AA206" t="str">
        <f t="shared" si="76"/>
        <v/>
      </c>
      <c r="AB206" t="str">
        <f t="shared" si="76"/>
        <v/>
      </c>
      <c r="AC206" t="str">
        <f t="shared" si="56"/>
        <v/>
      </c>
      <c r="AD206" t="str">
        <f t="shared" si="57"/>
        <v/>
      </c>
      <c r="AE206" t="str">
        <f t="shared" si="58"/>
        <v/>
      </c>
      <c r="AF206" t="str">
        <f t="shared" si="59"/>
        <v/>
      </c>
      <c r="AG206" t="str">
        <f t="shared" si="60"/>
        <v/>
      </c>
      <c r="AH206" t="str">
        <f t="shared" si="61"/>
        <v/>
      </c>
      <c r="AI206" t="str">
        <f t="shared" si="62"/>
        <v/>
      </c>
      <c r="AJ206" t="str">
        <f t="shared" si="63"/>
        <v/>
      </c>
      <c r="AK206" t="str">
        <f t="shared" si="64"/>
        <v/>
      </c>
      <c r="AL206" t="str">
        <f t="shared" si="65"/>
        <v/>
      </c>
      <c r="AN206" t="str">
        <f t="shared" si="77"/>
        <v/>
      </c>
    </row>
    <row r="207" spans="1:40" x14ac:dyDescent="0.25">
      <c r="C207" s="1"/>
      <c r="E207" t="str">
        <f>IF(F207&lt;&gt;"",INDEX(Balance!A:A,MATCH(F207,Balance!B:B,0)),"")</f>
        <v>Fournisseurs</v>
      </c>
      <c r="F207" t="s">
        <v>273</v>
      </c>
      <c r="I207" s="10">
        <v>285.91000000000003</v>
      </c>
      <c r="O207">
        <v>1</v>
      </c>
      <c r="P207">
        <v>1</v>
      </c>
      <c r="Q207">
        <f t="shared" si="70"/>
        <v>0</v>
      </c>
      <c r="R207" s="16" t="s">
        <v>874</v>
      </c>
      <c r="S207" t="str">
        <f t="shared" si="71"/>
        <v/>
      </c>
      <c r="U207">
        <f>IFERROR(VLOOKUP(F207,tab!A:B,2,FALSE),1)</f>
        <v>32</v>
      </c>
      <c r="V207" s="14">
        <f t="shared" si="72"/>
        <v>0</v>
      </c>
      <c r="W207">
        <f t="shared" si="73"/>
        <v>1</v>
      </c>
      <c r="X207" t="str">
        <f t="shared" si="74"/>
        <v/>
      </c>
      <c r="Y207" s="14">
        <f t="shared" si="75"/>
        <v>285.91000000000003</v>
      </c>
      <c r="AA207" t="str">
        <f t="shared" si="76"/>
        <v/>
      </c>
      <c r="AB207" t="str">
        <f t="shared" si="76"/>
        <v/>
      </c>
      <c r="AC207" t="str">
        <f t="shared" si="56"/>
        <v/>
      </c>
      <c r="AD207" t="str">
        <f t="shared" si="57"/>
        <v/>
      </c>
      <c r="AE207" t="str">
        <f t="shared" si="58"/>
        <v/>
      </c>
      <c r="AF207" t="str">
        <f t="shared" si="59"/>
        <v/>
      </c>
      <c r="AG207" t="str">
        <f t="shared" si="60"/>
        <v/>
      </c>
      <c r="AH207" t="str">
        <f t="shared" si="61"/>
        <v/>
      </c>
      <c r="AI207" t="str">
        <f t="shared" si="62"/>
        <v/>
      </c>
      <c r="AJ207" t="str">
        <f t="shared" si="63"/>
        <v/>
      </c>
      <c r="AK207" t="str">
        <f t="shared" si="64"/>
        <v/>
      </c>
      <c r="AL207" t="str">
        <f t="shared" si="65"/>
        <v/>
      </c>
      <c r="AN207" t="str">
        <f t="shared" si="77"/>
        <v/>
      </c>
    </row>
    <row r="208" spans="1:40" x14ac:dyDescent="0.25">
      <c r="C208" s="1"/>
      <c r="E208" t="str">
        <f>IF(F208&lt;&gt;"",INDEX(Balance!A:A,MATCH(F208,Balance!B:B,0)),"")</f>
        <v>Fournisseurs</v>
      </c>
      <c r="F208" t="s">
        <v>274</v>
      </c>
      <c r="I208" s="10">
        <v>753.74</v>
      </c>
      <c r="O208">
        <v>1</v>
      </c>
      <c r="P208">
        <v>1</v>
      </c>
      <c r="Q208">
        <f t="shared" si="70"/>
        <v>0</v>
      </c>
      <c r="R208" s="16" t="s">
        <v>874</v>
      </c>
      <c r="S208" t="str">
        <f t="shared" si="71"/>
        <v/>
      </c>
      <c r="U208">
        <f>IFERROR(VLOOKUP(F208,tab!A:B,2,FALSE),1)</f>
        <v>63</v>
      </c>
      <c r="V208" s="14">
        <f t="shared" si="72"/>
        <v>0</v>
      </c>
      <c r="W208">
        <f t="shared" si="73"/>
        <v>1</v>
      </c>
      <c r="X208" t="str">
        <f t="shared" si="74"/>
        <v/>
      </c>
      <c r="Y208" s="14">
        <f t="shared" si="75"/>
        <v>753.74</v>
      </c>
      <c r="AA208" t="str">
        <f t="shared" si="76"/>
        <v/>
      </c>
      <c r="AB208" t="str">
        <f t="shared" si="76"/>
        <v/>
      </c>
      <c r="AC208" t="str">
        <f t="shared" si="56"/>
        <v/>
      </c>
      <c r="AD208" t="str">
        <f t="shared" si="57"/>
        <v/>
      </c>
      <c r="AE208" t="str">
        <f t="shared" si="58"/>
        <v/>
      </c>
      <c r="AF208" t="str">
        <f t="shared" si="59"/>
        <v/>
      </c>
      <c r="AG208" t="str">
        <f t="shared" si="60"/>
        <v/>
      </c>
      <c r="AH208" t="str">
        <f t="shared" si="61"/>
        <v/>
      </c>
      <c r="AI208" t="str">
        <f t="shared" si="62"/>
        <v/>
      </c>
      <c r="AJ208" t="str">
        <f t="shared" si="63"/>
        <v/>
      </c>
      <c r="AK208" t="str">
        <f t="shared" si="64"/>
        <v/>
      </c>
      <c r="AL208" t="str">
        <f t="shared" si="65"/>
        <v/>
      </c>
      <c r="AN208" t="str">
        <f t="shared" si="77"/>
        <v/>
      </c>
    </row>
    <row r="209" spans="1:40" x14ac:dyDescent="0.25">
      <c r="C209" s="1"/>
      <c r="E209" t="str">
        <f>IF(F209&lt;&gt;"",INDEX(Balance!A:A,MATCH(F209,Balance!B:B,0)),"")</f>
        <v>Fournisseurs</v>
      </c>
      <c r="F209" t="s">
        <v>259</v>
      </c>
      <c r="I209" s="10">
        <v>1871.94</v>
      </c>
      <c r="O209">
        <v>1</v>
      </c>
      <c r="P209">
        <v>1</v>
      </c>
      <c r="Q209">
        <f t="shared" si="70"/>
        <v>0</v>
      </c>
      <c r="R209" s="16" t="s">
        <v>874</v>
      </c>
      <c r="S209" t="str">
        <f t="shared" si="71"/>
        <v/>
      </c>
      <c r="U209">
        <f>IFERROR(VLOOKUP(F209,tab!A:B,2,FALSE),1)</f>
        <v>72</v>
      </c>
      <c r="V209" s="14">
        <f t="shared" si="72"/>
        <v>0</v>
      </c>
      <c r="W209">
        <f t="shared" si="73"/>
        <v>0</v>
      </c>
      <c r="X209" t="str">
        <f t="shared" si="74"/>
        <v/>
      </c>
      <c r="Y209" s="14">
        <f t="shared" si="75"/>
        <v>1871.94</v>
      </c>
      <c r="AA209" t="str">
        <f t="shared" si="76"/>
        <v/>
      </c>
      <c r="AB209" t="str">
        <f t="shared" si="76"/>
        <v/>
      </c>
      <c r="AC209" t="str">
        <f t="shared" si="56"/>
        <v/>
      </c>
      <c r="AD209" t="str">
        <f t="shared" si="57"/>
        <v/>
      </c>
      <c r="AE209" t="str">
        <f t="shared" si="58"/>
        <v/>
      </c>
      <c r="AF209" t="str">
        <f t="shared" si="59"/>
        <v/>
      </c>
      <c r="AG209" t="str">
        <f t="shared" si="60"/>
        <v/>
      </c>
      <c r="AH209" t="str">
        <f t="shared" si="61"/>
        <v/>
      </c>
      <c r="AI209" t="str">
        <f t="shared" si="62"/>
        <v/>
      </c>
      <c r="AJ209" t="str">
        <f t="shared" si="63"/>
        <v/>
      </c>
      <c r="AK209" t="str">
        <f t="shared" si="64"/>
        <v/>
      </c>
      <c r="AL209" t="str">
        <f t="shared" si="65"/>
        <v/>
      </c>
      <c r="AN209" t="str">
        <f t="shared" si="77"/>
        <v/>
      </c>
    </row>
    <row r="210" spans="1:40" x14ac:dyDescent="0.25">
      <c r="A210" t="s">
        <v>414</v>
      </c>
      <c r="B210">
        <v>185</v>
      </c>
      <c r="C210" s="1">
        <v>43556</v>
      </c>
      <c r="D210">
        <v>1</v>
      </c>
      <c r="E210" t="str">
        <f>IF(F210&lt;&gt;"",INDEX(Balance!A:A,MATCH(F210,Balance!B:B,0)),"")</f>
        <v>Depense</v>
      </c>
      <c r="F210" t="s">
        <v>254</v>
      </c>
      <c r="G210" t="s">
        <v>415</v>
      </c>
      <c r="I210" s="10">
        <v>7.4</v>
      </c>
      <c r="K210" s="11">
        <f>IF(I210&gt;0,I210-(I210/TVA),-(J210-(J210/TVA)))</f>
        <v>1.2333333333333334</v>
      </c>
      <c r="L210" s="10">
        <f>L202-I210+J210</f>
        <v>21958.55</v>
      </c>
      <c r="N210">
        <v>185</v>
      </c>
      <c r="O210">
        <v>1</v>
      </c>
      <c r="P210">
        <v>1</v>
      </c>
      <c r="Q210" t="str">
        <f t="shared" si="70"/>
        <v>300760283626261100200EUR201904011072636500</v>
      </c>
      <c r="R210" s="16" t="s">
        <v>907</v>
      </c>
      <c r="S210" t="str">
        <f t="shared" si="71"/>
        <v>CB 454106 GERSTEP     59WASQUEHA</v>
      </c>
      <c r="U210">
        <f>IFERROR(VLOOKUP(F210,tab!A:B,2,FALSE),1)</f>
        <v>27</v>
      </c>
      <c r="V210" s="14">
        <f t="shared" si="72"/>
        <v>21958.55</v>
      </c>
      <c r="W210">
        <f t="shared" si="73"/>
        <v>0</v>
      </c>
      <c r="X210">
        <f t="shared" si="74"/>
        <v>1</v>
      </c>
      <c r="Y210" s="14">
        <f t="shared" si="75"/>
        <v>7.4</v>
      </c>
      <c r="AA210" t="str">
        <f t="shared" si="76"/>
        <v>&lt;Valeur name="no"&gt;185&lt;/Valeur&gt;</v>
      </c>
      <c r="AB210" t="str">
        <f t="shared" si="76"/>
        <v>&lt;Valeur name="banque"&gt;1&lt;/Valeur&gt;</v>
      </c>
      <c r="AC210" t="str">
        <f t="shared" ref="AC210:AC273" si="78">IF(ISBLANK($N210),"",P$1&amp;P210&amp;"&lt;/Valeur&gt;")</f>
        <v>&lt;Valeur name="pointer"&gt;1&lt;/Valeur&gt;</v>
      </c>
      <c r="AD210" t="str">
        <f t="shared" ref="AD210:AD273" si="79">IF(ISBLANK($N210),"",Q$1&amp;Q210&amp;"&lt;/Valeur&gt;")</f>
        <v>&lt;Valeur name="idbanque"&gt;300760283626261100200EUR201904011072636500&lt;/Valeur&gt;</v>
      </c>
      <c r="AE210" t="str">
        <f t="shared" ref="AE210:AE273" si="80">IF(ISBLANK($N210),"",R$1&amp;R210&amp;"&lt;/Valeur&gt;")</f>
        <v>&lt;Valeur name="datevaleur"&gt;2019/04/01&lt;/Valeur&gt;</v>
      </c>
      <c r="AF210" t="str">
        <f t="shared" ref="AF210:AF273" si="81">IF(ISBLANK($N210),"",S$1&amp;S210&amp;"&lt;/Valeur&gt;")</f>
        <v>&lt;Valeur name="intitule"&gt;CB 454106 GERSTEP     59WASQUEHA&lt;/Valeur&gt;</v>
      </c>
      <c r="AG210" t="str">
        <f t="shared" ref="AG210:AG273" si="82">IF(ISBLANK($N210),"",T$1&amp;T210&amp;"&lt;/Valeur&gt;")</f>
        <v>&lt;Valeur name="description"&gt;&lt;/Valeur&gt;</v>
      </c>
      <c r="AH210" t="str">
        <f t="shared" ref="AH210:AH273" si="83">IF(ISBLANK($N210),"",U$1&amp;U210&amp;"&lt;/Valeur&gt;")</f>
        <v>&lt;Valeur name="compte"&gt;27&lt;/Valeur&gt;</v>
      </c>
      <c r="AI210" t="str">
        <f t="shared" ref="AI210:AI273" si="84">IF(ISBLANK($N210),"",V$1&amp;V210&amp;"&lt;/Valeur&gt;")</f>
        <v>&lt;Valeur name="solde"&gt;21958.55&lt;/Valeur&gt;</v>
      </c>
      <c r="AJ210" t="str">
        <f t="shared" ref="AJ210:AJ273" si="85">IF(ISBLANK($N210),"",W$1&amp;W210&amp;"&lt;/Valeur&gt;")</f>
        <v>&lt;Valeur name="ventiler"&gt;0&lt;/Valeur&gt;</v>
      </c>
      <c r="AK210" t="str">
        <f t="shared" ref="AK210:AK273" si="86">IF(ISBLANK($N210),"",X$1&amp;X210&amp;"&lt;/Valeur&gt;")</f>
        <v>&lt;Valeur name="compta"&gt;1&lt;/Valeur&gt;</v>
      </c>
      <c r="AL210" t="str">
        <f t="shared" ref="AL210:AL273" si="87">IF(ISBLANK($N210),"",Y$1&amp;Y210&amp;"&lt;/Valeur&gt;")</f>
        <v>&lt;Valeur name="valeur"&gt;7.4&lt;/Valeur&gt;</v>
      </c>
      <c r="AN210" t="str">
        <f t="shared" si="77"/>
        <v>&lt;Insert&gt;&lt;Valeur name="no"&gt;185&lt;/Valeur&gt;&lt;Valeur name="banque"&gt;1&lt;/Valeur&gt;&lt;Valeur name="pointer"&gt;1&lt;/Valeur&gt;&lt;Valeur name="idbanque"&gt;300760283626261100200EUR201904011072636500&lt;/Valeur&gt;&lt;Valeur name="datevaleur"&gt;2019/04/01&lt;/Valeur&gt;&lt;Valeur name="intitule"&gt;CB 454106 GERSTEP     59WASQUEHA&lt;/Valeur&gt;&lt;Valeur name="description"&gt;&lt;/Valeur&gt;&lt;Valeur name="compte"&gt;27&lt;/Valeur&gt;&lt;Valeur name="solde"&gt;21958.55&lt;/Valeur&gt;&lt;Valeur name="ventiler"&gt;0&lt;/Valeur&gt;&lt;Valeur name="compta"&gt;1&lt;/Valeur&gt;&lt;Valeur name="valeur"&gt;7.4&lt;/Valeur&gt;&lt;/Insert&gt;</v>
      </c>
    </row>
    <row r="211" spans="1:40" x14ac:dyDescent="0.25">
      <c r="A211" t="s">
        <v>416</v>
      </c>
      <c r="B211">
        <v>186</v>
      </c>
      <c r="C211" s="1">
        <v>43556</v>
      </c>
      <c r="D211">
        <v>1</v>
      </c>
      <c r="E211" t="str">
        <f>IF(F211&lt;&gt;"",INDEX(Balance!A:A,MATCH(F211,Balance!B:B,0)),"")</f>
        <v>Recette</v>
      </c>
      <c r="F211" t="s">
        <v>287</v>
      </c>
      <c r="G211" t="s">
        <v>153</v>
      </c>
      <c r="H211" t="s">
        <v>417</v>
      </c>
      <c r="J211" s="10">
        <v>1100</v>
      </c>
      <c r="K211" s="11">
        <f>IF(I211&gt;0,I211-(I211/TVA),-(J211-(J211/TVA)))</f>
        <v>-183.33333333333326</v>
      </c>
      <c r="L211" s="10">
        <f t="shared" ref="L211:L274" si="88">L210-I211+J211</f>
        <v>23058.55</v>
      </c>
      <c r="N211">
        <v>186</v>
      </c>
      <c r="O211">
        <v>1</v>
      </c>
      <c r="P211">
        <v>1</v>
      </c>
      <c r="Q211" t="str">
        <f t="shared" si="70"/>
        <v>300760283626261100200EUR201904016312451200</v>
      </c>
      <c r="R211" s="16" t="s">
        <v>907</v>
      </c>
      <c r="S211" t="str">
        <f t="shared" si="71"/>
        <v>VIR DRFIP ILE DE FRANCE ET D / 087402054 TPEJ TPE-JA04068122740</v>
      </c>
      <c r="U211">
        <f>IFERROR(VLOOKUP(F211,tab!A:B,2,FALSE),1)</f>
        <v>132</v>
      </c>
      <c r="V211" s="14">
        <f t="shared" si="72"/>
        <v>23058.55</v>
      </c>
      <c r="W211">
        <f t="shared" si="73"/>
        <v>0</v>
      </c>
      <c r="X211">
        <f t="shared" si="74"/>
        <v>1</v>
      </c>
      <c r="Y211" s="14">
        <f t="shared" si="75"/>
        <v>1100</v>
      </c>
      <c r="AA211" t="str">
        <f t="shared" si="76"/>
        <v>&lt;Valeur name="no"&gt;186&lt;/Valeur&gt;</v>
      </c>
      <c r="AB211" t="str">
        <f t="shared" si="76"/>
        <v>&lt;Valeur name="banque"&gt;1&lt;/Valeur&gt;</v>
      </c>
      <c r="AC211" t="str">
        <f t="shared" si="78"/>
        <v>&lt;Valeur name="pointer"&gt;1&lt;/Valeur&gt;</v>
      </c>
      <c r="AD211" t="str">
        <f t="shared" si="79"/>
        <v>&lt;Valeur name="idbanque"&gt;300760283626261100200EUR201904016312451200&lt;/Valeur&gt;</v>
      </c>
      <c r="AE211" t="str">
        <f t="shared" si="80"/>
        <v>&lt;Valeur name="datevaleur"&gt;2019/04/01&lt;/Valeur&gt;</v>
      </c>
      <c r="AF211" t="str">
        <f t="shared" si="81"/>
        <v>&lt;Valeur name="intitule"&gt;VIR DRFIP ILE DE FRANCE ET D / 087402054 TPEJ TPE-JA04068122740&lt;/Valeur&gt;</v>
      </c>
      <c r="AG211" t="str">
        <f t="shared" si="82"/>
        <v>&lt;Valeur name="description"&gt;&lt;/Valeur&gt;</v>
      </c>
      <c r="AH211" t="str">
        <f t="shared" si="83"/>
        <v>&lt;Valeur name="compte"&gt;132&lt;/Valeur&gt;</v>
      </c>
      <c r="AI211" t="str">
        <f t="shared" si="84"/>
        <v>&lt;Valeur name="solde"&gt;23058.55&lt;/Valeur&gt;</v>
      </c>
      <c r="AJ211" t="str">
        <f t="shared" si="85"/>
        <v>&lt;Valeur name="ventiler"&gt;0&lt;/Valeur&gt;</v>
      </c>
      <c r="AK211" t="str">
        <f t="shared" si="86"/>
        <v>&lt;Valeur name="compta"&gt;1&lt;/Valeur&gt;</v>
      </c>
      <c r="AL211" t="str">
        <f t="shared" si="87"/>
        <v>&lt;Valeur name="valeur"&gt;1100&lt;/Valeur&gt;</v>
      </c>
      <c r="AN211" t="str">
        <f t="shared" si="77"/>
        <v>&lt;Insert&gt;&lt;Valeur name="no"&gt;186&lt;/Valeur&gt;&lt;Valeur name="banque"&gt;1&lt;/Valeur&gt;&lt;Valeur name="pointer"&gt;1&lt;/Valeur&gt;&lt;Valeur name="idbanque"&gt;300760283626261100200EUR201904016312451200&lt;/Valeur&gt;&lt;Valeur name="datevaleur"&gt;2019/04/01&lt;/Valeur&gt;&lt;Valeur name="intitule"&gt;VIR DRFIP ILE DE FRANCE ET D / 087402054 TPEJ TPE-JA04068122740&lt;/Valeur&gt;&lt;Valeur name="description"&gt;&lt;/Valeur&gt;&lt;Valeur name="compte"&gt;132&lt;/Valeur&gt;&lt;Valeur name="solde"&gt;23058.55&lt;/Valeur&gt;&lt;Valeur name="ventiler"&gt;0&lt;/Valeur&gt;&lt;Valeur name="compta"&gt;1&lt;/Valeur&gt;&lt;Valeur name="valeur"&gt;1100&lt;/Valeur&gt;&lt;/Insert&gt;</v>
      </c>
    </row>
    <row r="212" spans="1:40" x14ac:dyDescent="0.25">
      <c r="A212" t="s">
        <v>418</v>
      </c>
      <c r="B212">
        <v>187</v>
      </c>
      <c r="C212" s="1">
        <v>43556</v>
      </c>
      <c r="D212">
        <v>1</v>
      </c>
      <c r="E212" t="str">
        <f>IF(F212&lt;&gt;"",INDEX(Balance!A:A,MATCH(F212,Balance!B:B,0)),"")</f>
        <v>Depense</v>
      </c>
      <c r="F212" t="s">
        <v>257</v>
      </c>
      <c r="G212" t="s">
        <v>419</v>
      </c>
      <c r="I212" s="10">
        <v>59</v>
      </c>
      <c r="K212" s="11">
        <f>IF(I212&gt;0,I212-(I212/TVA),-(J212-(J212/TVA)))</f>
        <v>9.8333333333333286</v>
      </c>
      <c r="L212" s="10">
        <f t="shared" si="88"/>
        <v>22999.55</v>
      </c>
      <c r="N212">
        <v>187</v>
      </c>
      <c r="O212">
        <v>1</v>
      </c>
      <c r="P212">
        <v>1</v>
      </c>
      <c r="Q212" t="str">
        <f t="shared" si="70"/>
        <v>300760283626261100200EUR201904019350908200</v>
      </c>
      <c r="R212" s="16" t="s">
        <v>907</v>
      </c>
      <c r="S212" t="str">
        <f t="shared" si="71"/>
        <v>OPERATION SUR CAUTION</v>
      </c>
      <c r="U212">
        <f>IFERROR(VLOOKUP(F212,tab!A:B,2,FALSE),1)</f>
        <v>18</v>
      </c>
      <c r="V212" s="14">
        <f t="shared" si="72"/>
        <v>22999.55</v>
      </c>
      <c r="W212">
        <f t="shared" si="73"/>
        <v>0</v>
      </c>
      <c r="X212">
        <f t="shared" si="74"/>
        <v>1</v>
      </c>
      <c r="Y212" s="14">
        <f t="shared" si="75"/>
        <v>59</v>
      </c>
      <c r="AA212" t="str">
        <f t="shared" si="76"/>
        <v>&lt;Valeur name="no"&gt;187&lt;/Valeur&gt;</v>
      </c>
      <c r="AB212" t="str">
        <f t="shared" si="76"/>
        <v>&lt;Valeur name="banque"&gt;1&lt;/Valeur&gt;</v>
      </c>
      <c r="AC212" t="str">
        <f t="shared" si="78"/>
        <v>&lt;Valeur name="pointer"&gt;1&lt;/Valeur&gt;</v>
      </c>
      <c r="AD212" t="str">
        <f t="shared" si="79"/>
        <v>&lt;Valeur name="idbanque"&gt;300760283626261100200EUR201904019350908200&lt;/Valeur&gt;</v>
      </c>
      <c r="AE212" t="str">
        <f t="shared" si="80"/>
        <v>&lt;Valeur name="datevaleur"&gt;2019/04/01&lt;/Valeur&gt;</v>
      </c>
      <c r="AF212" t="str">
        <f t="shared" si="81"/>
        <v>&lt;Valeur name="intitule"&gt;OPERATION SUR CAUTION&lt;/Valeur&gt;</v>
      </c>
      <c r="AG212" t="str">
        <f t="shared" si="82"/>
        <v>&lt;Valeur name="description"&gt;&lt;/Valeur&gt;</v>
      </c>
      <c r="AH212" t="str">
        <f t="shared" si="83"/>
        <v>&lt;Valeur name="compte"&gt;18&lt;/Valeur&gt;</v>
      </c>
      <c r="AI212" t="str">
        <f t="shared" si="84"/>
        <v>&lt;Valeur name="solde"&gt;22999.55&lt;/Valeur&gt;</v>
      </c>
      <c r="AJ212" t="str">
        <f t="shared" si="85"/>
        <v>&lt;Valeur name="ventiler"&gt;0&lt;/Valeur&gt;</v>
      </c>
      <c r="AK212" t="str">
        <f t="shared" si="86"/>
        <v>&lt;Valeur name="compta"&gt;1&lt;/Valeur&gt;</v>
      </c>
      <c r="AL212" t="str">
        <f t="shared" si="87"/>
        <v>&lt;Valeur name="valeur"&gt;59&lt;/Valeur&gt;</v>
      </c>
      <c r="AN212" t="str">
        <f t="shared" si="77"/>
        <v>&lt;Insert&gt;&lt;Valeur name="no"&gt;187&lt;/Valeur&gt;&lt;Valeur name="banque"&gt;1&lt;/Valeur&gt;&lt;Valeur name="pointer"&gt;1&lt;/Valeur&gt;&lt;Valeur name="idbanque"&gt;300760283626261100200EUR201904019350908200&lt;/Valeur&gt;&lt;Valeur name="datevaleur"&gt;2019/04/01&lt;/Valeur&gt;&lt;Valeur name="intitule"&gt;OPERATION SUR CAUTION&lt;/Valeur&gt;&lt;Valeur name="description"&gt;&lt;/Valeur&gt;&lt;Valeur name="compte"&gt;18&lt;/Valeur&gt;&lt;Valeur name="solde"&gt;22999.55&lt;/Valeur&gt;&lt;Valeur name="ventiler"&gt;0&lt;/Valeur&gt;&lt;Valeur name="compta"&gt;1&lt;/Valeur&gt;&lt;Valeur name="valeur"&gt;59&lt;/Valeur&gt;&lt;/Insert&gt;</v>
      </c>
    </row>
    <row r="213" spans="1:40" x14ac:dyDescent="0.25">
      <c r="A213" t="s">
        <v>420</v>
      </c>
      <c r="B213">
        <v>188</v>
      </c>
      <c r="C213" s="1">
        <v>43557</v>
      </c>
      <c r="D213">
        <v>1</v>
      </c>
      <c r="E213" t="str">
        <f>IF(F213&lt;&gt;"",INDEX(Balance!A:A,MATCH(F213,Balance!B:B,0)),"")</f>
        <v>Fournisseurs</v>
      </c>
      <c r="F213" t="s">
        <v>424</v>
      </c>
      <c r="G213" t="s">
        <v>421</v>
      </c>
      <c r="H213" t="s">
        <v>422</v>
      </c>
      <c r="I213" s="10">
        <v>590.44000000000005</v>
      </c>
      <c r="K213" s="11">
        <f>IF(I213&gt;0,I213-(I213/TVA),-(J213-(J213/TVA)))</f>
        <v>98.406666666666638</v>
      </c>
      <c r="L213" s="10">
        <f t="shared" si="88"/>
        <v>22409.11</v>
      </c>
      <c r="N213">
        <v>188</v>
      </c>
      <c r="O213">
        <v>1</v>
      </c>
      <c r="P213">
        <v>1</v>
      </c>
      <c r="Q213" t="str">
        <f t="shared" si="70"/>
        <v>300760283626261100200EUR201904026330235500</v>
      </c>
      <c r="R213" s="16" t="s">
        <v>968</v>
      </c>
      <c r="S213" t="str">
        <f t="shared" si="71"/>
        <v>PRLV SEPA LEASECOM / LP2728359/218L87051, date echean</v>
      </c>
      <c r="U213">
        <f>IFERROR(VLOOKUP(F213,tab!A:B,2,FALSE),1)</f>
        <v>109</v>
      </c>
      <c r="V213" s="14">
        <f t="shared" si="72"/>
        <v>22409.11</v>
      </c>
      <c r="W213">
        <f t="shared" si="73"/>
        <v>0</v>
      </c>
      <c r="X213">
        <f t="shared" si="74"/>
        <v>1</v>
      </c>
      <c r="Y213" s="14">
        <f t="shared" si="75"/>
        <v>590.44000000000005</v>
      </c>
      <c r="AA213" t="str">
        <f t="shared" si="76"/>
        <v>&lt;Valeur name="no"&gt;188&lt;/Valeur&gt;</v>
      </c>
      <c r="AB213" t="str">
        <f t="shared" si="76"/>
        <v>&lt;Valeur name="banque"&gt;1&lt;/Valeur&gt;</v>
      </c>
      <c r="AC213" t="str">
        <f t="shared" si="78"/>
        <v>&lt;Valeur name="pointer"&gt;1&lt;/Valeur&gt;</v>
      </c>
      <c r="AD213" t="str">
        <f t="shared" si="79"/>
        <v>&lt;Valeur name="idbanque"&gt;300760283626261100200EUR201904026330235500&lt;/Valeur&gt;</v>
      </c>
      <c r="AE213" t="str">
        <f t="shared" si="80"/>
        <v>&lt;Valeur name="datevaleur"&gt;2019/04/02&lt;/Valeur&gt;</v>
      </c>
      <c r="AF213" t="str">
        <f t="shared" si="81"/>
        <v>&lt;Valeur name="intitule"&gt;PRLV SEPA LEASECOM / LP2728359/218L87051, date echean&lt;/Valeur&gt;</v>
      </c>
      <c r="AG213" t="str">
        <f t="shared" si="82"/>
        <v>&lt;Valeur name="description"&gt;&lt;/Valeur&gt;</v>
      </c>
      <c r="AH213" t="str">
        <f t="shared" si="83"/>
        <v>&lt;Valeur name="compte"&gt;109&lt;/Valeur&gt;</v>
      </c>
      <c r="AI213" t="str">
        <f t="shared" si="84"/>
        <v>&lt;Valeur name="solde"&gt;22409.11&lt;/Valeur&gt;</v>
      </c>
      <c r="AJ213" t="str">
        <f t="shared" si="85"/>
        <v>&lt;Valeur name="ventiler"&gt;0&lt;/Valeur&gt;</v>
      </c>
      <c r="AK213" t="str">
        <f t="shared" si="86"/>
        <v>&lt;Valeur name="compta"&gt;1&lt;/Valeur&gt;</v>
      </c>
      <c r="AL213" t="str">
        <f t="shared" si="87"/>
        <v>&lt;Valeur name="valeur"&gt;590.44&lt;/Valeur&gt;</v>
      </c>
      <c r="AN213" t="str">
        <f t="shared" si="77"/>
        <v>&lt;Insert&gt;&lt;Valeur name="no"&gt;188&lt;/Valeur&gt;&lt;Valeur name="banque"&gt;1&lt;/Valeur&gt;&lt;Valeur name="pointer"&gt;1&lt;/Valeur&gt;&lt;Valeur name="idbanque"&gt;300760283626261100200EUR201904026330235500&lt;/Valeur&gt;&lt;Valeur name="datevaleur"&gt;2019/04/02&lt;/Valeur&gt;&lt;Valeur name="intitule"&gt;PRLV SEPA LEASECOM / LP2728359/218L87051, date echean&lt;/Valeur&gt;&lt;Valeur name="description"&gt;&lt;/Valeur&gt;&lt;Valeur name="compte"&gt;109&lt;/Valeur&gt;&lt;Valeur name="solde"&gt;22409.11&lt;/Valeur&gt;&lt;Valeur name="ventiler"&gt;0&lt;/Valeur&gt;&lt;Valeur name="compta"&gt;1&lt;/Valeur&gt;&lt;Valeur name="valeur"&gt;590.44&lt;/Valeur&gt;&lt;/Insert&gt;</v>
      </c>
    </row>
    <row r="214" spans="1:40" x14ac:dyDescent="0.25">
      <c r="A214" t="s">
        <v>440</v>
      </c>
      <c r="B214">
        <v>189</v>
      </c>
      <c r="C214" s="1">
        <v>43556</v>
      </c>
      <c r="D214">
        <v>1</v>
      </c>
      <c r="E214" t="str">
        <f>IF(F214&lt;&gt;"",INDEX(Balance!A:A,MATCH(F214,Balance!B:B,0)),"")</f>
        <v>Depense</v>
      </c>
      <c r="F214" t="s">
        <v>256</v>
      </c>
      <c r="G214" t="s">
        <v>441</v>
      </c>
      <c r="I214" s="10">
        <v>1600.95</v>
      </c>
      <c r="L214" s="10">
        <f t="shared" si="88"/>
        <v>20808.16</v>
      </c>
      <c r="N214">
        <v>189</v>
      </c>
      <c r="O214">
        <v>1</v>
      </c>
      <c r="P214">
        <v>1</v>
      </c>
      <c r="Q214" t="str">
        <f t="shared" si="70"/>
        <v>300760283626261100200EUR201904010290684400</v>
      </c>
      <c r="R214" s="16" t="s">
        <v>907</v>
      </c>
      <c r="S214" t="str">
        <f t="shared" si="71"/>
        <v>E-VIR SEPA Salaire Etienne 03/20</v>
      </c>
      <c r="U214">
        <f>IFERROR(VLOOKUP(F214,tab!A:B,2,FALSE),1)</f>
        <v>28</v>
      </c>
      <c r="V214" s="14">
        <f t="shared" si="72"/>
        <v>20808.16</v>
      </c>
      <c r="W214">
        <f t="shared" si="73"/>
        <v>0</v>
      </c>
      <c r="X214">
        <f t="shared" si="74"/>
        <v>1</v>
      </c>
      <c r="Y214" s="14">
        <f t="shared" si="75"/>
        <v>1600.95</v>
      </c>
      <c r="AA214" t="str">
        <f t="shared" si="76"/>
        <v>&lt;Valeur name="no"&gt;189&lt;/Valeur&gt;</v>
      </c>
      <c r="AB214" t="str">
        <f t="shared" si="76"/>
        <v>&lt;Valeur name="banque"&gt;1&lt;/Valeur&gt;</v>
      </c>
      <c r="AC214" t="str">
        <f t="shared" si="78"/>
        <v>&lt;Valeur name="pointer"&gt;1&lt;/Valeur&gt;</v>
      </c>
      <c r="AD214" t="str">
        <f t="shared" si="79"/>
        <v>&lt;Valeur name="idbanque"&gt;300760283626261100200EUR201904010290684400&lt;/Valeur&gt;</v>
      </c>
      <c r="AE214" t="str">
        <f t="shared" si="80"/>
        <v>&lt;Valeur name="datevaleur"&gt;2019/04/01&lt;/Valeur&gt;</v>
      </c>
      <c r="AF214" t="str">
        <f t="shared" si="81"/>
        <v>&lt;Valeur name="intitule"&gt;E-VIR SEPA Salaire Etienne 03/20&lt;/Valeur&gt;</v>
      </c>
      <c r="AG214" t="str">
        <f t="shared" si="82"/>
        <v>&lt;Valeur name="description"&gt;&lt;/Valeur&gt;</v>
      </c>
      <c r="AH214" t="str">
        <f t="shared" si="83"/>
        <v>&lt;Valeur name="compte"&gt;28&lt;/Valeur&gt;</v>
      </c>
      <c r="AI214" t="str">
        <f t="shared" si="84"/>
        <v>&lt;Valeur name="solde"&gt;20808.16&lt;/Valeur&gt;</v>
      </c>
      <c r="AJ214" t="str">
        <f t="shared" si="85"/>
        <v>&lt;Valeur name="ventiler"&gt;0&lt;/Valeur&gt;</v>
      </c>
      <c r="AK214" t="str">
        <f t="shared" si="86"/>
        <v>&lt;Valeur name="compta"&gt;1&lt;/Valeur&gt;</v>
      </c>
      <c r="AL214" t="str">
        <f t="shared" si="87"/>
        <v>&lt;Valeur name="valeur"&gt;1600.95&lt;/Valeur&gt;</v>
      </c>
      <c r="AN214" t="str">
        <f t="shared" si="77"/>
        <v>&lt;Insert&gt;&lt;Valeur name="no"&gt;189&lt;/Valeur&gt;&lt;Valeur name="banque"&gt;1&lt;/Valeur&gt;&lt;Valeur name="pointer"&gt;1&lt;/Valeur&gt;&lt;Valeur name="idbanque"&gt;300760283626261100200EUR201904010290684400&lt;/Valeur&gt;&lt;Valeur name="datevaleur"&gt;2019/04/01&lt;/Valeur&gt;&lt;Valeur name="intitule"&gt;E-VIR SEPA Salaire Etienne 03/20&lt;/Valeur&gt;&lt;Valeur name="description"&gt;&lt;/Valeur&gt;&lt;Valeur name="compte"&gt;28&lt;/Valeur&gt;&lt;Valeur name="solde"&gt;20808.16&lt;/Valeur&gt;&lt;Valeur name="ventiler"&gt;0&lt;/Valeur&gt;&lt;Valeur name="compta"&gt;1&lt;/Valeur&gt;&lt;Valeur name="valeur"&gt;1600.95&lt;/Valeur&gt;&lt;/Insert&gt;</v>
      </c>
    </row>
    <row r="215" spans="1:40" x14ac:dyDescent="0.25">
      <c r="A215" t="s">
        <v>442</v>
      </c>
      <c r="B215">
        <v>190</v>
      </c>
      <c r="C215" s="1">
        <v>43556</v>
      </c>
      <c r="E215" t="str">
        <f>IF(F215&lt;&gt;"",INDEX(Balance!A:A,MATCH(F215,Balance!B:B,0)),"")</f>
        <v>Fournisseurs</v>
      </c>
      <c r="F215" t="s">
        <v>300</v>
      </c>
      <c r="G215" t="s">
        <v>443</v>
      </c>
      <c r="I215" s="10">
        <v>310.3</v>
      </c>
      <c r="L215" s="10">
        <f t="shared" si="88"/>
        <v>20497.86</v>
      </c>
      <c r="N215">
        <v>190</v>
      </c>
      <c r="O215">
        <v>1</v>
      </c>
      <c r="P215">
        <v>1</v>
      </c>
      <c r="Q215" t="str">
        <f t="shared" si="70"/>
        <v>300760283626261100200EUR201904010290684500</v>
      </c>
      <c r="R215" s="16" t="s">
        <v>907</v>
      </c>
      <c r="S215" t="str">
        <f t="shared" si="71"/>
        <v>E-VIR SEPA Siligom Berlingo 1950</v>
      </c>
      <c r="U215">
        <f>IFERROR(VLOOKUP(F215,tab!A:B,2,FALSE),1)</f>
        <v>107</v>
      </c>
      <c r="V215" s="14">
        <f t="shared" si="72"/>
        <v>20497.86</v>
      </c>
      <c r="W215">
        <f t="shared" si="73"/>
        <v>0</v>
      </c>
      <c r="X215" t="str">
        <f t="shared" si="74"/>
        <v/>
      </c>
      <c r="Y215" s="14">
        <f t="shared" si="75"/>
        <v>310.3</v>
      </c>
      <c r="AA215" t="str">
        <f t="shared" si="76"/>
        <v>&lt;Valeur name="no"&gt;190&lt;/Valeur&gt;</v>
      </c>
      <c r="AB215" t="str">
        <f t="shared" si="76"/>
        <v>&lt;Valeur name="banque"&gt;1&lt;/Valeur&gt;</v>
      </c>
      <c r="AC215" t="str">
        <f t="shared" si="78"/>
        <v>&lt;Valeur name="pointer"&gt;1&lt;/Valeur&gt;</v>
      </c>
      <c r="AD215" t="str">
        <f t="shared" si="79"/>
        <v>&lt;Valeur name="idbanque"&gt;300760283626261100200EUR201904010290684500&lt;/Valeur&gt;</v>
      </c>
      <c r="AE215" t="str">
        <f t="shared" si="80"/>
        <v>&lt;Valeur name="datevaleur"&gt;2019/04/01&lt;/Valeur&gt;</v>
      </c>
      <c r="AF215" t="str">
        <f t="shared" si="81"/>
        <v>&lt;Valeur name="intitule"&gt;E-VIR SEPA Siligom Berlingo 1950&lt;/Valeur&gt;</v>
      </c>
      <c r="AG215" t="str">
        <f t="shared" si="82"/>
        <v>&lt;Valeur name="description"&gt;&lt;/Valeur&gt;</v>
      </c>
      <c r="AH215" t="str">
        <f t="shared" si="83"/>
        <v>&lt;Valeur name="compte"&gt;107&lt;/Valeur&gt;</v>
      </c>
      <c r="AI215" t="str">
        <f t="shared" si="84"/>
        <v>&lt;Valeur name="solde"&gt;20497.86&lt;/Valeur&gt;</v>
      </c>
      <c r="AJ215" t="str">
        <f t="shared" si="85"/>
        <v>&lt;Valeur name="ventiler"&gt;0&lt;/Valeur&gt;</v>
      </c>
      <c r="AK215" t="str">
        <f t="shared" si="86"/>
        <v>&lt;Valeur name="compta"&gt;&lt;/Valeur&gt;</v>
      </c>
      <c r="AL215" t="str">
        <f t="shared" si="87"/>
        <v>&lt;Valeur name="valeur"&gt;310.3&lt;/Valeur&gt;</v>
      </c>
      <c r="AN215" t="str">
        <f t="shared" si="77"/>
        <v>&lt;Insert&gt;&lt;Valeur name="no"&gt;190&lt;/Valeur&gt;&lt;Valeur name="banque"&gt;1&lt;/Valeur&gt;&lt;Valeur name="pointer"&gt;1&lt;/Valeur&gt;&lt;Valeur name="idbanque"&gt;300760283626261100200EUR201904010290684500&lt;/Valeur&gt;&lt;Valeur name="datevaleur"&gt;2019/04/01&lt;/Valeur&gt;&lt;Valeur name="intitule"&gt;E-VIR SEPA Siligom Berlingo 1950&lt;/Valeur&gt;&lt;Valeur name="description"&gt;&lt;/Valeur&gt;&lt;Valeur name="compte"&gt;107&lt;/Valeur&gt;&lt;Valeur name="solde"&gt;20497.86&lt;/Valeur&gt;&lt;Valeur name="ventiler"&gt;0&lt;/Valeur&gt;&lt;Valeur name="compta"&gt;&lt;/Valeur&gt;&lt;Valeur name="valeur"&gt;310.3&lt;/Valeur&gt;&lt;/Insert&gt;</v>
      </c>
    </row>
    <row r="216" spans="1:40" x14ac:dyDescent="0.25">
      <c r="A216" t="s">
        <v>444</v>
      </c>
      <c r="B216">
        <v>191</v>
      </c>
      <c r="C216" s="1">
        <v>43556</v>
      </c>
      <c r="E216" t="str">
        <f>IF(F216&lt;&gt;"",INDEX(Balance!A:A,MATCH(F216,Balance!B:B,0)),"")</f>
        <v>Fournisseurs</v>
      </c>
      <c r="F216" t="s">
        <v>303</v>
      </c>
      <c r="G216" t="s">
        <v>445</v>
      </c>
      <c r="I216" s="10">
        <v>1169.4000000000001</v>
      </c>
      <c r="L216" s="10">
        <f t="shared" si="88"/>
        <v>19328.46</v>
      </c>
      <c r="N216">
        <v>191</v>
      </c>
      <c r="O216">
        <v>1</v>
      </c>
      <c r="P216">
        <v>1</v>
      </c>
      <c r="Q216" t="str">
        <f t="shared" si="70"/>
        <v>300760283626261100200EUR201904010290684600</v>
      </c>
      <c r="R216" s="16" t="s">
        <v>907</v>
      </c>
      <c r="S216" t="str">
        <f t="shared" si="71"/>
        <v>E-VIR SEPA Metaux Express Anor</v>
      </c>
      <c r="U216">
        <f>IFERROR(VLOOKUP(F216,tab!A:B,2,FALSE),1)</f>
        <v>91</v>
      </c>
      <c r="V216" s="14">
        <f t="shared" si="72"/>
        <v>19328.46</v>
      </c>
      <c r="W216">
        <f t="shared" si="73"/>
        <v>0</v>
      </c>
      <c r="X216" t="str">
        <f t="shared" si="74"/>
        <v/>
      </c>
      <c r="Y216" s="14">
        <f t="shared" si="75"/>
        <v>1169.4000000000001</v>
      </c>
      <c r="AA216" t="str">
        <f t="shared" si="76"/>
        <v>&lt;Valeur name="no"&gt;191&lt;/Valeur&gt;</v>
      </c>
      <c r="AB216" t="str">
        <f t="shared" si="76"/>
        <v>&lt;Valeur name="banque"&gt;1&lt;/Valeur&gt;</v>
      </c>
      <c r="AC216" t="str">
        <f t="shared" si="78"/>
        <v>&lt;Valeur name="pointer"&gt;1&lt;/Valeur&gt;</v>
      </c>
      <c r="AD216" t="str">
        <f t="shared" si="79"/>
        <v>&lt;Valeur name="idbanque"&gt;300760283626261100200EUR201904010290684600&lt;/Valeur&gt;</v>
      </c>
      <c r="AE216" t="str">
        <f t="shared" si="80"/>
        <v>&lt;Valeur name="datevaleur"&gt;2019/04/01&lt;/Valeur&gt;</v>
      </c>
      <c r="AF216" t="str">
        <f t="shared" si="81"/>
        <v>&lt;Valeur name="intitule"&gt;E-VIR SEPA Metaux Express Anor&lt;/Valeur&gt;</v>
      </c>
      <c r="AG216" t="str">
        <f t="shared" si="82"/>
        <v>&lt;Valeur name="description"&gt;&lt;/Valeur&gt;</v>
      </c>
      <c r="AH216" t="str">
        <f t="shared" si="83"/>
        <v>&lt;Valeur name="compte"&gt;91&lt;/Valeur&gt;</v>
      </c>
      <c r="AI216" t="str">
        <f t="shared" si="84"/>
        <v>&lt;Valeur name="solde"&gt;19328.46&lt;/Valeur&gt;</v>
      </c>
      <c r="AJ216" t="str">
        <f t="shared" si="85"/>
        <v>&lt;Valeur name="ventiler"&gt;0&lt;/Valeur&gt;</v>
      </c>
      <c r="AK216" t="str">
        <f t="shared" si="86"/>
        <v>&lt;Valeur name="compta"&gt;&lt;/Valeur&gt;</v>
      </c>
      <c r="AL216" t="str">
        <f t="shared" si="87"/>
        <v>&lt;Valeur name="valeur"&gt;1169.4&lt;/Valeur&gt;</v>
      </c>
      <c r="AN216" t="str">
        <f t="shared" si="77"/>
        <v>&lt;Insert&gt;&lt;Valeur name="no"&gt;191&lt;/Valeur&gt;&lt;Valeur name="banque"&gt;1&lt;/Valeur&gt;&lt;Valeur name="pointer"&gt;1&lt;/Valeur&gt;&lt;Valeur name="idbanque"&gt;300760283626261100200EUR201904010290684600&lt;/Valeur&gt;&lt;Valeur name="datevaleur"&gt;2019/04/01&lt;/Valeur&gt;&lt;Valeur name="intitule"&gt;E-VIR SEPA Metaux Express Anor&lt;/Valeur&gt;&lt;Valeur name="description"&gt;&lt;/Valeur&gt;&lt;Valeur name="compte"&gt;91&lt;/Valeur&gt;&lt;Valeur name="solde"&gt;19328.46&lt;/Valeur&gt;&lt;Valeur name="ventiler"&gt;0&lt;/Valeur&gt;&lt;Valeur name="compta"&gt;&lt;/Valeur&gt;&lt;Valeur name="valeur"&gt;1169.4&lt;/Valeur&gt;&lt;/Insert&gt;</v>
      </c>
    </row>
    <row r="217" spans="1:40" x14ac:dyDescent="0.25">
      <c r="A217" t="s">
        <v>446</v>
      </c>
      <c r="B217">
        <v>192</v>
      </c>
      <c r="C217" s="1">
        <v>43556</v>
      </c>
      <c r="E217" t="str">
        <f>IF(F217&lt;&gt;"",INDEX(Balance!A:A,MATCH(F217,Balance!B:B,0)),"")</f>
        <v>Fournisseurs</v>
      </c>
      <c r="F217" t="s">
        <v>289</v>
      </c>
      <c r="G217" t="s">
        <v>447</v>
      </c>
      <c r="I217" s="10">
        <v>244.32</v>
      </c>
      <c r="L217" s="10">
        <f t="shared" si="88"/>
        <v>19084.14</v>
      </c>
      <c r="N217">
        <v>192</v>
      </c>
      <c r="O217">
        <v>1</v>
      </c>
      <c r="P217">
        <v>1</v>
      </c>
      <c r="Q217" t="str">
        <f t="shared" si="70"/>
        <v>300760283626261100200EUR201904010290684700</v>
      </c>
      <c r="R217" s="16" t="s">
        <v>907</v>
      </c>
      <c r="S217" t="str">
        <f t="shared" si="71"/>
        <v>E-VIR SEPA Dimatex Loc poste TIG</v>
      </c>
      <c r="U217">
        <f>IFERROR(VLOOKUP(F217,tab!A:B,2,FALSE),1)</f>
        <v>57</v>
      </c>
      <c r="V217" s="14">
        <f t="shared" si="72"/>
        <v>19084.14</v>
      </c>
      <c r="W217">
        <f t="shared" si="73"/>
        <v>0</v>
      </c>
      <c r="X217" t="str">
        <f t="shared" si="74"/>
        <v/>
      </c>
      <c r="Y217" s="14">
        <f t="shared" si="75"/>
        <v>244.32</v>
      </c>
      <c r="AA217" t="str">
        <f t="shared" si="76"/>
        <v>&lt;Valeur name="no"&gt;192&lt;/Valeur&gt;</v>
      </c>
      <c r="AB217" t="str">
        <f t="shared" si="76"/>
        <v>&lt;Valeur name="banque"&gt;1&lt;/Valeur&gt;</v>
      </c>
      <c r="AC217" t="str">
        <f t="shared" si="78"/>
        <v>&lt;Valeur name="pointer"&gt;1&lt;/Valeur&gt;</v>
      </c>
      <c r="AD217" t="str">
        <f t="shared" si="79"/>
        <v>&lt;Valeur name="idbanque"&gt;300760283626261100200EUR201904010290684700&lt;/Valeur&gt;</v>
      </c>
      <c r="AE217" t="str">
        <f t="shared" si="80"/>
        <v>&lt;Valeur name="datevaleur"&gt;2019/04/01&lt;/Valeur&gt;</v>
      </c>
      <c r="AF217" t="str">
        <f t="shared" si="81"/>
        <v>&lt;Valeur name="intitule"&gt;E-VIR SEPA Dimatex Loc poste TIG&lt;/Valeur&gt;</v>
      </c>
      <c r="AG217" t="str">
        <f t="shared" si="82"/>
        <v>&lt;Valeur name="description"&gt;&lt;/Valeur&gt;</v>
      </c>
      <c r="AH217" t="str">
        <f t="shared" si="83"/>
        <v>&lt;Valeur name="compte"&gt;57&lt;/Valeur&gt;</v>
      </c>
      <c r="AI217" t="str">
        <f t="shared" si="84"/>
        <v>&lt;Valeur name="solde"&gt;19084.14&lt;/Valeur&gt;</v>
      </c>
      <c r="AJ217" t="str">
        <f t="shared" si="85"/>
        <v>&lt;Valeur name="ventiler"&gt;0&lt;/Valeur&gt;</v>
      </c>
      <c r="AK217" t="str">
        <f t="shared" si="86"/>
        <v>&lt;Valeur name="compta"&gt;&lt;/Valeur&gt;</v>
      </c>
      <c r="AL217" t="str">
        <f t="shared" si="87"/>
        <v>&lt;Valeur name="valeur"&gt;244.32&lt;/Valeur&gt;</v>
      </c>
      <c r="AN217" t="str">
        <f t="shared" si="77"/>
        <v>&lt;Insert&gt;&lt;Valeur name="no"&gt;192&lt;/Valeur&gt;&lt;Valeur name="banque"&gt;1&lt;/Valeur&gt;&lt;Valeur name="pointer"&gt;1&lt;/Valeur&gt;&lt;Valeur name="idbanque"&gt;300760283626261100200EUR201904010290684700&lt;/Valeur&gt;&lt;Valeur name="datevaleur"&gt;2019/04/01&lt;/Valeur&gt;&lt;Valeur name="intitule"&gt;E-VIR SEPA Dimatex Loc poste TIG&lt;/Valeur&gt;&lt;Valeur name="description"&gt;&lt;/Valeur&gt;&lt;Valeur name="compte"&gt;57&lt;/Valeur&gt;&lt;Valeur name="solde"&gt;19084.14&lt;/Valeur&gt;&lt;Valeur name="ventiler"&gt;0&lt;/Valeur&gt;&lt;Valeur name="compta"&gt;&lt;/Valeur&gt;&lt;Valeur name="valeur"&gt;244.32&lt;/Valeur&gt;&lt;/Insert&gt;</v>
      </c>
    </row>
    <row r="218" spans="1:40" x14ac:dyDescent="0.25">
      <c r="A218" t="s">
        <v>448</v>
      </c>
      <c r="B218">
        <v>193</v>
      </c>
      <c r="C218" s="1">
        <v>43556</v>
      </c>
      <c r="E218" t="str">
        <f>IF(F218&lt;&gt;"",INDEX(Balance!A:A,MATCH(F218,Balance!B:B,0)),"")</f>
        <v>Fournisseurs</v>
      </c>
      <c r="F218" t="s">
        <v>261</v>
      </c>
      <c r="G218" t="s">
        <v>449</v>
      </c>
      <c r="I218" s="10">
        <v>552</v>
      </c>
      <c r="L218" s="10">
        <f t="shared" si="88"/>
        <v>18532.14</v>
      </c>
      <c r="N218">
        <v>193</v>
      </c>
      <c r="O218">
        <v>1</v>
      </c>
      <c r="P218">
        <v>1</v>
      </c>
      <c r="Q218" t="str">
        <f t="shared" si="70"/>
        <v>300760283626261100200EUR201904010290684800</v>
      </c>
      <c r="R218" s="16" t="s">
        <v>907</v>
      </c>
      <c r="S218" t="str">
        <f t="shared" si="71"/>
        <v>E-VIR SEPA Dessenne Inox+Pied De</v>
      </c>
      <c r="U218">
        <f>IFERROR(VLOOKUP(F218,tab!A:B,2,FALSE),1)</f>
        <v>53</v>
      </c>
      <c r="V218" s="14">
        <f t="shared" si="72"/>
        <v>18532.14</v>
      </c>
      <c r="W218">
        <f t="shared" si="73"/>
        <v>0</v>
      </c>
      <c r="X218" t="str">
        <f t="shared" si="74"/>
        <v/>
      </c>
      <c r="Y218" s="14">
        <f t="shared" si="75"/>
        <v>552</v>
      </c>
      <c r="AA218" t="str">
        <f t="shared" si="76"/>
        <v>&lt;Valeur name="no"&gt;193&lt;/Valeur&gt;</v>
      </c>
      <c r="AB218" t="str">
        <f t="shared" si="76"/>
        <v>&lt;Valeur name="banque"&gt;1&lt;/Valeur&gt;</v>
      </c>
      <c r="AC218" t="str">
        <f t="shared" si="78"/>
        <v>&lt;Valeur name="pointer"&gt;1&lt;/Valeur&gt;</v>
      </c>
      <c r="AD218" t="str">
        <f t="shared" si="79"/>
        <v>&lt;Valeur name="idbanque"&gt;300760283626261100200EUR201904010290684800&lt;/Valeur&gt;</v>
      </c>
      <c r="AE218" t="str">
        <f t="shared" si="80"/>
        <v>&lt;Valeur name="datevaleur"&gt;2019/04/01&lt;/Valeur&gt;</v>
      </c>
      <c r="AF218" t="str">
        <f t="shared" si="81"/>
        <v>&lt;Valeur name="intitule"&gt;E-VIR SEPA Dessenne Inox+Pied De&lt;/Valeur&gt;</v>
      </c>
      <c r="AG218" t="str">
        <f t="shared" si="82"/>
        <v>&lt;Valeur name="description"&gt;&lt;/Valeur&gt;</v>
      </c>
      <c r="AH218" t="str">
        <f t="shared" si="83"/>
        <v>&lt;Valeur name="compte"&gt;53&lt;/Valeur&gt;</v>
      </c>
      <c r="AI218" t="str">
        <f t="shared" si="84"/>
        <v>&lt;Valeur name="solde"&gt;18532.14&lt;/Valeur&gt;</v>
      </c>
      <c r="AJ218" t="str">
        <f t="shared" si="85"/>
        <v>&lt;Valeur name="ventiler"&gt;0&lt;/Valeur&gt;</v>
      </c>
      <c r="AK218" t="str">
        <f t="shared" si="86"/>
        <v>&lt;Valeur name="compta"&gt;&lt;/Valeur&gt;</v>
      </c>
      <c r="AL218" t="str">
        <f t="shared" si="87"/>
        <v>&lt;Valeur name="valeur"&gt;552&lt;/Valeur&gt;</v>
      </c>
      <c r="AN218" t="str">
        <f t="shared" si="77"/>
        <v>&lt;Insert&gt;&lt;Valeur name="no"&gt;193&lt;/Valeur&gt;&lt;Valeur name="banque"&gt;1&lt;/Valeur&gt;&lt;Valeur name="pointer"&gt;1&lt;/Valeur&gt;&lt;Valeur name="idbanque"&gt;300760283626261100200EUR201904010290684800&lt;/Valeur&gt;&lt;Valeur name="datevaleur"&gt;2019/04/01&lt;/Valeur&gt;&lt;Valeur name="intitule"&gt;E-VIR SEPA Dessenne Inox+Pied De&lt;/Valeur&gt;&lt;Valeur name="description"&gt;&lt;/Valeur&gt;&lt;Valeur name="compte"&gt;53&lt;/Valeur&gt;&lt;Valeur name="solde"&gt;18532.14&lt;/Valeur&gt;&lt;Valeur name="ventiler"&gt;0&lt;/Valeur&gt;&lt;Valeur name="compta"&gt;&lt;/Valeur&gt;&lt;Valeur name="valeur"&gt;552&lt;/Valeur&gt;&lt;/Insert&gt;</v>
      </c>
    </row>
    <row r="219" spans="1:40" x14ac:dyDescent="0.25">
      <c r="A219" t="s">
        <v>450</v>
      </c>
      <c r="B219">
        <v>194</v>
      </c>
      <c r="C219" s="1">
        <v>43556</v>
      </c>
      <c r="E219" t="str">
        <f>IF(F219&lt;&gt;"",INDEX(Balance!A:A,MATCH(F219,Balance!B:B,0)),"")</f>
        <v>Fournisseurs</v>
      </c>
      <c r="F219" t="s">
        <v>289</v>
      </c>
      <c r="G219" t="s">
        <v>451</v>
      </c>
      <c r="I219" s="10">
        <v>81.599999999999994</v>
      </c>
      <c r="L219" s="10">
        <f t="shared" si="88"/>
        <v>18450.54</v>
      </c>
      <c r="N219">
        <v>194</v>
      </c>
      <c r="O219">
        <v>1</v>
      </c>
      <c r="P219">
        <v>1</v>
      </c>
      <c r="Q219" t="str">
        <f t="shared" si="70"/>
        <v>300760283626261100200EUR201904010290684900</v>
      </c>
      <c r="R219" s="16" t="s">
        <v>907</v>
      </c>
      <c r="S219" t="str">
        <f t="shared" si="71"/>
        <v>E-VIR SEPA Dimatex fournitures</v>
      </c>
      <c r="U219">
        <f>IFERROR(VLOOKUP(F219,tab!A:B,2,FALSE),1)</f>
        <v>57</v>
      </c>
      <c r="V219" s="14">
        <f t="shared" si="72"/>
        <v>18450.54</v>
      </c>
      <c r="W219">
        <f t="shared" si="73"/>
        <v>0</v>
      </c>
      <c r="X219" t="str">
        <f t="shared" si="74"/>
        <v/>
      </c>
      <c r="Y219" s="14">
        <f t="shared" si="75"/>
        <v>81.599999999999994</v>
      </c>
      <c r="AA219" t="str">
        <f t="shared" si="76"/>
        <v>&lt;Valeur name="no"&gt;194&lt;/Valeur&gt;</v>
      </c>
      <c r="AB219" t="str">
        <f t="shared" si="76"/>
        <v>&lt;Valeur name="banque"&gt;1&lt;/Valeur&gt;</v>
      </c>
      <c r="AC219" t="str">
        <f t="shared" si="78"/>
        <v>&lt;Valeur name="pointer"&gt;1&lt;/Valeur&gt;</v>
      </c>
      <c r="AD219" t="str">
        <f t="shared" si="79"/>
        <v>&lt;Valeur name="idbanque"&gt;300760283626261100200EUR201904010290684900&lt;/Valeur&gt;</v>
      </c>
      <c r="AE219" t="str">
        <f t="shared" si="80"/>
        <v>&lt;Valeur name="datevaleur"&gt;2019/04/01&lt;/Valeur&gt;</v>
      </c>
      <c r="AF219" t="str">
        <f t="shared" si="81"/>
        <v>&lt;Valeur name="intitule"&gt;E-VIR SEPA Dimatex fournitures&lt;/Valeur&gt;</v>
      </c>
      <c r="AG219" t="str">
        <f t="shared" si="82"/>
        <v>&lt;Valeur name="description"&gt;&lt;/Valeur&gt;</v>
      </c>
      <c r="AH219" t="str">
        <f t="shared" si="83"/>
        <v>&lt;Valeur name="compte"&gt;57&lt;/Valeur&gt;</v>
      </c>
      <c r="AI219" t="str">
        <f t="shared" si="84"/>
        <v>&lt;Valeur name="solde"&gt;18450.54&lt;/Valeur&gt;</v>
      </c>
      <c r="AJ219" t="str">
        <f t="shared" si="85"/>
        <v>&lt;Valeur name="ventiler"&gt;0&lt;/Valeur&gt;</v>
      </c>
      <c r="AK219" t="str">
        <f t="shared" si="86"/>
        <v>&lt;Valeur name="compta"&gt;&lt;/Valeur&gt;</v>
      </c>
      <c r="AL219" t="str">
        <f t="shared" si="87"/>
        <v>&lt;Valeur name="valeur"&gt;81.6&lt;/Valeur&gt;</v>
      </c>
      <c r="AN219" t="str">
        <f t="shared" si="77"/>
        <v>&lt;Insert&gt;&lt;Valeur name="no"&gt;194&lt;/Valeur&gt;&lt;Valeur name="banque"&gt;1&lt;/Valeur&gt;&lt;Valeur name="pointer"&gt;1&lt;/Valeur&gt;&lt;Valeur name="idbanque"&gt;300760283626261100200EUR201904010290684900&lt;/Valeur&gt;&lt;Valeur name="datevaleur"&gt;2019/04/01&lt;/Valeur&gt;&lt;Valeur name="intitule"&gt;E-VIR SEPA Dimatex fournitures&lt;/Valeur&gt;&lt;Valeur name="description"&gt;&lt;/Valeur&gt;&lt;Valeur name="compte"&gt;57&lt;/Valeur&gt;&lt;Valeur name="solde"&gt;18450.54&lt;/Valeur&gt;&lt;Valeur name="ventiler"&gt;0&lt;/Valeur&gt;&lt;Valeur name="compta"&gt;&lt;/Valeur&gt;&lt;Valeur name="valeur"&gt;81.6&lt;/Valeur&gt;&lt;/Insert&gt;</v>
      </c>
    </row>
    <row r="220" spans="1:40" x14ac:dyDescent="0.25">
      <c r="A220" t="s">
        <v>452</v>
      </c>
      <c r="B220">
        <v>195</v>
      </c>
      <c r="C220" s="1">
        <v>43556</v>
      </c>
      <c r="E220" t="str">
        <f>IF(F220&lt;&gt;"",INDEX(Balance!A:A,MATCH(F220,Balance!B:B,0)),"")</f>
        <v>Fournisseurs</v>
      </c>
      <c r="F220" t="s">
        <v>261</v>
      </c>
      <c r="G220" t="s">
        <v>453</v>
      </c>
      <c r="I220" s="10">
        <v>1020</v>
      </c>
      <c r="L220" s="10">
        <f t="shared" si="88"/>
        <v>17430.54</v>
      </c>
      <c r="N220">
        <v>195</v>
      </c>
      <c r="O220">
        <v>1</v>
      </c>
      <c r="P220">
        <v>1</v>
      </c>
      <c r="Q220" t="str">
        <f t="shared" si="70"/>
        <v>300760283626261100200EUR201904010290685000</v>
      </c>
      <c r="R220" s="16" t="s">
        <v>907</v>
      </c>
      <c r="S220" t="str">
        <f t="shared" si="71"/>
        <v>E-VIR SEPA Dessenne Tableau Vell</v>
      </c>
      <c r="U220">
        <f>IFERROR(VLOOKUP(F220,tab!A:B,2,FALSE),1)</f>
        <v>53</v>
      </c>
      <c r="V220" s="14">
        <f t="shared" si="72"/>
        <v>17430.54</v>
      </c>
      <c r="W220">
        <f t="shared" si="73"/>
        <v>0</v>
      </c>
      <c r="X220" t="str">
        <f t="shared" si="74"/>
        <v/>
      </c>
      <c r="Y220" s="14">
        <f t="shared" si="75"/>
        <v>1020</v>
      </c>
      <c r="AA220" t="str">
        <f t="shared" si="76"/>
        <v>&lt;Valeur name="no"&gt;195&lt;/Valeur&gt;</v>
      </c>
      <c r="AB220" t="str">
        <f t="shared" si="76"/>
        <v>&lt;Valeur name="banque"&gt;1&lt;/Valeur&gt;</v>
      </c>
      <c r="AC220" t="str">
        <f t="shared" si="78"/>
        <v>&lt;Valeur name="pointer"&gt;1&lt;/Valeur&gt;</v>
      </c>
      <c r="AD220" t="str">
        <f t="shared" si="79"/>
        <v>&lt;Valeur name="idbanque"&gt;300760283626261100200EUR201904010290685000&lt;/Valeur&gt;</v>
      </c>
      <c r="AE220" t="str">
        <f t="shared" si="80"/>
        <v>&lt;Valeur name="datevaleur"&gt;2019/04/01&lt;/Valeur&gt;</v>
      </c>
      <c r="AF220" t="str">
        <f t="shared" si="81"/>
        <v>&lt;Valeur name="intitule"&gt;E-VIR SEPA Dessenne Tableau Vell&lt;/Valeur&gt;</v>
      </c>
      <c r="AG220" t="str">
        <f t="shared" si="82"/>
        <v>&lt;Valeur name="description"&gt;&lt;/Valeur&gt;</v>
      </c>
      <c r="AH220" t="str">
        <f t="shared" si="83"/>
        <v>&lt;Valeur name="compte"&gt;53&lt;/Valeur&gt;</v>
      </c>
      <c r="AI220" t="str">
        <f t="shared" si="84"/>
        <v>&lt;Valeur name="solde"&gt;17430.54&lt;/Valeur&gt;</v>
      </c>
      <c r="AJ220" t="str">
        <f t="shared" si="85"/>
        <v>&lt;Valeur name="ventiler"&gt;0&lt;/Valeur&gt;</v>
      </c>
      <c r="AK220" t="str">
        <f t="shared" si="86"/>
        <v>&lt;Valeur name="compta"&gt;&lt;/Valeur&gt;</v>
      </c>
      <c r="AL220" t="str">
        <f t="shared" si="87"/>
        <v>&lt;Valeur name="valeur"&gt;1020&lt;/Valeur&gt;</v>
      </c>
      <c r="AN220" t="str">
        <f t="shared" si="77"/>
        <v>&lt;Insert&gt;&lt;Valeur name="no"&gt;195&lt;/Valeur&gt;&lt;Valeur name="banque"&gt;1&lt;/Valeur&gt;&lt;Valeur name="pointer"&gt;1&lt;/Valeur&gt;&lt;Valeur name="idbanque"&gt;300760283626261100200EUR201904010290685000&lt;/Valeur&gt;&lt;Valeur name="datevaleur"&gt;2019/04/01&lt;/Valeur&gt;&lt;Valeur name="intitule"&gt;E-VIR SEPA Dessenne Tableau Vell&lt;/Valeur&gt;&lt;Valeur name="description"&gt;&lt;/Valeur&gt;&lt;Valeur name="compte"&gt;53&lt;/Valeur&gt;&lt;Valeur name="solde"&gt;17430.54&lt;/Valeur&gt;&lt;Valeur name="ventiler"&gt;0&lt;/Valeur&gt;&lt;Valeur name="compta"&gt;&lt;/Valeur&gt;&lt;Valeur name="valeur"&gt;1020&lt;/Valeur&gt;&lt;/Insert&gt;</v>
      </c>
    </row>
    <row r="221" spans="1:40" x14ac:dyDescent="0.25">
      <c r="A221" t="s">
        <v>454</v>
      </c>
      <c r="B221">
        <v>196</v>
      </c>
      <c r="C221" s="1">
        <v>43557</v>
      </c>
      <c r="E221" t="str">
        <f>IF(F221&lt;&gt;"",INDEX(Balance!A:A,MATCH(F221,Balance!B:B,0)),"")</f>
        <v>Fournisseurs</v>
      </c>
      <c r="F221" t="s">
        <v>299</v>
      </c>
      <c r="G221" t="s">
        <v>455</v>
      </c>
      <c r="I221" s="10">
        <v>348</v>
      </c>
      <c r="L221" s="10">
        <f t="shared" si="88"/>
        <v>17082.54</v>
      </c>
      <c r="N221">
        <v>196</v>
      </c>
      <c r="O221">
        <v>1</v>
      </c>
      <c r="P221">
        <v>1</v>
      </c>
      <c r="Q221" t="str">
        <f t="shared" si="70"/>
        <v>300760283626261100200EUR201904020296209200</v>
      </c>
      <c r="R221" s="16" t="s">
        <v>968</v>
      </c>
      <c r="S221" t="str">
        <f t="shared" si="71"/>
        <v>E-VIR SEPA Dematis</v>
      </c>
      <c r="U221">
        <f>IFERROR(VLOOKUP(F221,tab!A:B,2,FALSE),1)</f>
        <v>51</v>
      </c>
      <c r="V221" s="14">
        <f t="shared" si="72"/>
        <v>17082.54</v>
      </c>
      <c r="W221">
        <f t="shared" si="73"/>
        <v>0</v>
      </c>
      <c r="X221" t="str">
        <f t="shared" si="74"/>
        <v/>
      </c>
      <c r="Y221" s="14">
        <f t="shared" si="75"/>
        <v>348</v>
      </c>
      <c r="AA221" t="str">
        <f t="shared" si="76"/>
        <v>&lt;Valeur name="no"&gt;196&lt;/Valeur&gt;</v>
      </c>
      <c r="AB221" t="str">
        <f t="shared" si="76"/>
        <v>&lt;Valeur name="banque"&gt;1&lt;/Valeur&gt;</v>
      </c>
      <c r="AC221" t="str">
        <f t="shared" si="78"/>
        <v>&lt;Valeur name="pointer"&gt;1&lt;/Valeur&gt;</v>
      </c>
      <c r="AD221" t="str">
        <f t="shared" si="79"/>
        <v>&lt;Valeur name="idbanque"&gt;300760283626261100200EUR201904020296209200&lt;/Valeur&gt;</v>
      </c>
      <c r="AE221" t="str">
        <f t="shared" si="80"/>
        <v>&lt;Valeur name="datevaleur"&gt;2019/04/02&lt;/Valeur&gt;</v>
      </c>
      <c r="AF221" t="str">
        <f t="shared" si="81"/>
        <v>&lt;Valeur name="intitule"&gt;E-VIR SEPA Dematis&lt;/Valeur&gt;</v>
      </c>
      <c r="AG221" t="str">
        <f t="shared" si="82"/>
        <v>&lt;Valeur name="description"&gt;&lt;/Valeur&gt;</v>
      </c>
      <c r="AH221" t="str">
        <f t="shared" si="83"/>
        <v>&lt;Valeur name="compte"&gt;51&lt;/Valeur&gt;</v>
      </c>
      <c r="AI221" t="str">
        <f t="shared" si="84"/>
        <v>&lt;Valeur name="solde"&gt;17082.54&lt;/Valeur&gt;</v>
      </c>
      <c r="AJ221" t="str">
        <f t="shared" si="85"/>
        <v>&lt;Valeur name="ventiler"&gt;0&lt;/Valeur&gt;</v>
      </c>
      <c r="AK221" t="str">
        <f t="shared" si="86"/>
        <v>&lt;Valeur name="compta"&gt;&lt;/Valeur&gt;</v>
      </c>
      <c r="AL221" t="str">
        <f t="shared" si="87"/>
        <v>&lt;Valeur name="valeur"&gt;348&lt;/Valeur&gt;</v>
      </c>
      <c r="AN221" t="str">
        <f t="shared" si="77"/>
        <v>&lt;Insert&gt;&lt;Valeur name="no"&gt;196&lt;/Valeur&gt;&lt;Valeur name="banque"&gt;1&lt;/Valeur&gt;&lt;Valeur name="pointer"&gt;1&lt;/Valeur&gt;&lt;Valeur name="idbanque"&gt;300760283626261100200EUR201904020296209200&lt;/Valeur&gt;&lt;Valeur name="datevaleur"&gt;2019/04/02&lt;/Valeur&gt;&lt;Valeur name="intitule"&gt;E-VIR SEPA Dematis&lt;/Valeur&gt;&lt;Valeur name="description"&gt;&lt;/Valeur&gt;&lt;Valeur name="compte"&gt;51&lt;/Valeur&gt;&lt;Valeur name="solde"&gt;17082.54&lt;/Valeur&gt;&lt;Valeur name="ventiler"&gt;0&lt;/Valeur&gt;&lt;Valeur name="compta"&gt;&lt;/Valeur&gt;&lt;Valeur name="valeur"&gt;348&lt;/Valeur&gt;&lt;/Insert&gt;</v>
      </c>
    </row>
    <row r="222" spans="1:40" x14ac:dyDescent="0.25">
      <c r="A222" t="s">
        <v>456</v>
      </c>
      <c r="B222">
        <v>197</v>
      </c>
      <c r="C222" s="1">
        <v>43557</v>
      </c>
      <c r="E222" t="str">
        <f>IF(F222&lt;&gt;"",INDEX(Balance!A:A,MATCH(F222,Balance!B:B,0)),"")</f>
        <v>Prorata</v>
      </c>
      <c r="F222" t="s">
        <v>301</v>
      </c>
      <c r="G222" t="s">
        <v>457</v>
      </c>
      <c r="I222" s="10">
        <v>360.91</v>
      </c>
      <c r="L222" s="10">
        <f t="shared" si="88"/>
        <v>16721.63</v>
      </c>
      <c r="N222">
        <v>197</v>
      </c>
      <c r="O222">
        <v>1</v>
      </c>
      <c r="P222">
        <v>1</v>
      </c>
      <c r="Q222" t="str">
        <f t="shared" si="70"/>
        <v>300760283626261100200EUR201904020296209300</v>
      </c>
      <c r="R222" s="16" t="s">
        <v>968</v>
      </c>
      <c r="S222" t="str">
        <f t="shared" si="71"/>
        <v>E-VIR SEPA Lefevre prorata Anor</v>
      </c>
      <c r="U222">
        <f>IFERROR(VLOOKUP(F222,tab!A:B,2,FALSE),1)</f>
        <v>123</v>
      </c>
      <c r="V222" s="14">
        <f t="shared" si="72"/>
        <v>16721.63</v>
      </c>
      <c r="W222">
        <f t="shared" si="73"/>
        <v>0</v>
      </c>
      <c r="X222" t="str">
        <f t="shared" si="74"/>
        <v/>
      </c>
      <c r="Y222" s="14">
        <f t="shared" si="75"/>
        <v>360.91</v>
      </c>
      <c r="AA222" t="str">
        <f t="shared" si="76"/>
        <v>&lt;Valeur name="no"&gt;197&lt;/Valeur&gt;</v>
      </c>
      <c r="AB222" t="str">
        <f t="shared" si="76"/>
        <v>&lt;Valeur name="banque"&gt;1&lt;/Valeur&gt;</v>
      </c>
      <c r="AC222" t="str">
        <f t="shared" si="78"/>
        <v>&lt;Valeur name="pointer"&gt;1&lt;/Valeur&gt;</v>
      </c>
      <c r="AD222" t="str">
        <f t="shared" si="79"/>
        <v>&lt;Valeur name="idbanque"&gt;300760283626261100200EUR201904020296209300&lt;/Valeur&gt;</v>
      </c>
      <c r="AE222" t="str">
        <f t="shared" si="80"/>
        <v>&lt;Valeur name="datevaleur"&gt;2019/04/02&lt;/Valeur&gt;</v>
      </c>
      <c r="AF222" t="str">
        <f t="shared" si="81"/>
        <v>&lt;Valeur name="intitule"&gt;E-VIR SEPA Lefevre prorata Anor&lt;/Valeur&gt;</v>
      </c>
      <c r="AG222" t="str">
        <f t="shared" si="82"/>
        <v>&lt;Valeur name="description"&gt;&lt;/Valeur&gt;</v>
      </c>
      <c r="AH222" t="str">
        <f t="shared" si="83"/>
        <v>&lt;Valeur name="compte"&gt;123&lt;/Valeur&gt;</v>
      </c>
      <c r="AI222" t="str">
        <f t="shared" si="84"/>
        <v>&lt;Valeur name="solde"&gt;16721.63&lt;/Valeur&gt;</v>
      </c>
      <c r="AJ222" t="str">
        <f t="shared" si="85"/>
        <v>&lt;Valeur name="ventiler"&gt;0&lt;/Valeur&gt;</v>
      </c>
      <c r="AK222" t="str">
        <f t="shared" si="86"/>
        <v>&lt;Valeur name="compta"&gt;&lt;/Valeur&gt;</v>
      </c>
      <c r="AL222" t="str">
        <f t="shared" si="87"/>
        <v>&lt;Valeur name="valeur"&gt;360.91&lt;/Valeur&gt;</v>
      </c>
      <c r="AN222" t="str">
        <f t="shared" si="77"/>
        <v>&lt;Insert&gt;&lt;Valeur name="no"&gt;197&lt;/Valeur&gt;&lt;Valeur name="banque"&gt;1&lt;/Valeur&gt;&lt;Valeur name="pointer"&gt;1&lt;/Valeur&gt;&lt;Valeur name="idbanque"&gt;300760283626261100200EUR201904020296209300&lt;/Valeur&gt;&lt;Valeur name="datevaleur"&gt;2019/04/02&lt;/Valeur&gt;&lt;Valeur name="intitule"&gt;E-VIR SEPA Lefevre prorata Anor&lt;/Valeur&gt;&lt;Valeur name="description"&gt;&lt;/Valeur&gt;&lt;Valeur name="compte"&gt;123&lt;/Valeur&gt;&lt;Valeur name="solde"&gt;16721.63&lt;/Valeur&gt;&lt;Valeur name="ventiler"&gt;0&lt;/Valeur&gt;&lt;Valeur name="compta"&gt;&lt;/Valeur&gt;&lt;Valeur name="valeur"&gt;360.91&lt;/Valeur&gt;&lt;/Insert&gt;</v>
      </c>
    </row>
    <row r="223" spans="1:40" x14ac:dyDescent="0.25">
      <c r="A223" t="s">
        <v>458</v>
      </c>
      <c r="B223">
        <v>198</v>
      </c>
      <c r="C223" s="1">
        <v>43557</v>
      </c>
      <c r="E223" t="str">
        <f>IF(F223&lt;&gt;"",INDEX(Balance!A:A,MATCH(F223,Balance!B:B,0)),"")</f>
        <v>Prorata</v>
      </c>
      <c r="F223" t="s">
        <v>283</v>
      </c>
      <c r="G223" t="s">
        <v>459</v>
      </c>
      <c r="I223" s="10">
        <v>86.87</v>
      </c>
      <c r="L223" s="10">
        <f t="shared" si="88"/>
        <v>16634.760000000002</v>
      </c>
      <c r="N223">
        <v>198</v>
      </c>
      <c r="O223">
        <v>1</v>
      </c>
      <c r="P223">
        <v>1</v>
      </c>
      <c r="Q223" t="str">
        <f t="shared" si="70"/>
        <v>300760283626261100200EUR201904020296209400</v>
      </c>
      <c r="R223" s="16" t="s">
        <v>968</v>
      </c>
      <c r="S223" t="str">
        <f t="shared" si="71"/>
        <v>E-VIR SEPA Ramery prorata Arras</v>
      </c>
      <c r="U223">
        <f>IFERROR(VLOOKUP(F223,tab!A:B,2,FALSE),1)</f>
        <v>124</v>
      </c>
      <c r="V223" s="14">
        <f t="shared" si="72"/>
        <v>16634.760000000002</v>
      </c>
      <c r="W223">
        <f t="shared" si="73"/>
        <v>0</v>
      </c>
      <c r="X223" t="str">
        <f t="shared" si="74"/>
        <v/>
      </c>
      <c r="Y223" s="14">
        <f t="shared" si="75"/>
        <v>86.87</v>
      </c>
      <c r="AA223" t="str">
        <f t="shared" si="76"/>
        <v>&lt;Valeur name="no"&gt;198&lt;/Valeur&gt;</v>
      </c>
      <c r="AB223" t="str">
        <f t="shared" si="76"/>
        <v>&lt;Valeur name="banque"&gt;1&lt;/Valeur&gt;</v>
      </c>
      <c r="AC223" t="str">
        <f t="shared" si="78"/>
        <v>&lt;Valeur name="pointer"&gt;1&lt;/Valeur&gt;</v>
      </c>
      <c r="AD223" t="str">
        <f t="shared" si="79"/>
        <v>&lt;Valeur name="idbanque"&gt;300760283626261100200EUR201904020296209400&lt;/Valeur&gt;</v>
      </c>
      <c r="AE223" t="str">
        <f t="shared" si="80"/>
        <v>&lt;Valeur name="datevaleur"&gt;2019/04/02&lt;/Valeur&gt;</v>
      </c>
      <c r="AF223" t="str">
        <f t="shared" si="81"/>
        <v>&lt;Valeur name="intitule"&gt;E-VIR SEPA Ramery prorata Arras&lt;/Valeur&gt;</v>
      </c>
      <c r="AG223" t="str">
        <f t="shared" si="82"/>
        <v>&lt;Valeur name="description"&gt;&lt;/Valeur&gt;</v>
      </c>
      <c r="AH223" t="str">
        <f t="shared" si="83"/>
        <v>&lt;Valeur name="compte"&gt;124&lt;/Valeur&gt;</v>
      </c>
      <c r="AI223" t="str">
        <f t="shared" si="84"/>
        <v>&lt;Valeur name="solde"&gt;16634.76&lt;/Valeur&gt;</v>
      </c>
      <c r="AJ223" t="str">
        <f t="shared" si="85"/>
        <v>&lt;Valeur name="ventiler"&gt;0&lt;/Valeur&gt;</v>
      </c>
      <c r="AK223" t="str">
        <f t="shared" si="86"/>
        <v>&lt;Valeur name="compta"&gt;&lt;/Valeur&gt;</v>
      </c>
      <c r="AL223" t="str">
        <f t="shared" si="87"/>
        <v>&lt;Valeur name="valeur"&gt;86.87&lt;/Valeur&gt;</v>
      </c>
      <c r="AN223" t="str">
        <f t="shared" si="77"/>
        <v>&lt;Insert&gt;&lt;Valeur name="no"&gt;198&lt;/Valeur&gt;&lt;Valeur name="banque"&gt;1&lt;/Valeur&gt;&lt;Valeur name="pointer"&gt;1&lt;/Valeur&gt;&lt;Valeur name="idbanque"&gt;300760283626261100200EUR201904020296209400&lt;/Valeur&gt;&lt;Valeur name="datevaleur"&gt;2019/04/02&lt;/Valeur&gt;&lt;Valeur name="intitule"&gt;E-VIR SEPA Ramery prorata Arras&lt;/Valeur&gt;&lt;Valeur name="description"&gt;&lt;/Valeur&gt;&lt;Valeur name="compte"&gt;124&lt;/Valeur&gt;&lt;Valeur name="solde"&gt;16634.76&lt;/Valeur&gt;&lt;Valeur name="ventiler"&gt;0&lt;/Valeur&gt;&lt;Valeur name="compta"&gt;&lt;/Valeur&gt;&lt;Valeur name="valeur"&gt;86.87&lt;/Valeur&gt;&lt;/Insert&gt;</v>
      </c>
    </row>
    <row r="224" spans="1:40" x14ac:dyDescent="0.25">
      <c r="A224" t="s">
        <v>460</v>
      </c>
      <c r="B224">
        <v>199</v>
      </c>
      <c r="C224" s="1">
        <v>43557</v>
      </c>
      <c r="D224">
        <v>1</v>
      </c>
      <c r="E224" t="str">
        <f>IF(F224&lt;&gt;"",INDEX(Balance!A:A,MATCH(F224,Balance!B:B,0)),"")</f>
        <v>Depense</v>
      </c>
      <c r="F224" t="s">
        <v>254</v>
      </c>
      <c r="G224" t="s">
        <v>461</v>
      </c>
      <c r="I224" s="10">
        <v>10.5</v>
      </c>
      <c r="K224" s="11">
        <f>IF(I224&gt;0,I224-(I224/TVA),-(J224-(J224/TVA)))</f>
        <v>1.75</v>
      </c>
      <c r="L224" s="10">
        <f t="shared" si="88"/>
        <v>16624.260000000002</v>
      </c>
      <c r="N224">
        <v>199</v>
      </c>
      <c r="O224">
        <v>1</v>
      </c>
      <c r="P224">
        <v>1</v>
      </c>
      <c r="Q224" t="str">
        <f t="shared" si="70"/>
        <v>300760283626261100200EUR201904021072392200</v>
      </c>
      <c r="R224" s="16" t="s">
        <v>968</v>
      </c>
      <c r="S224" t="str">
        <f t="shared" si="71"/>
        <v>CB 454106 BOULANGERIE 59FERRIERE</v>
      </c>
      <c r="U224">
        <f>IFERROR(VLOOKUP(F224,tab!A:B,2,FALSE),1)</f>
        <v>27</v>
      </c>
      <c r="V224" s="14">
        <f t="shared" si="72"/>
        <v>16624.260000000002</v>
      </c>
      <c r="W224">
        <f t="shared" si="73"/>
        <v>0</v>
      </c>
      <c r="X224">
        <f t="shared" si="74"/>
        <v>1</v>
      </c>
      <c r="Y224" s="14">
        <f t="shared" si="75"/>
        <v>10.5</v>
      </c>
      <c r="AA224" t="str">
        <f t="shared" si="76"/>
        <v>&lt;Valeur name="no"&gt;199&lt;/Valeur&gt;</v>
      </c>
      <c r="AB224" t="str">
        <f t="shared" si="76"/>
        <v>&lt;Valeur name="banque"&gt;1&lt;/Valeur&gt;</v>
      </c>
      <c r="AC224" t="str">
        <f t="shared" si="78"/>
        <v>&lt;Valeur name="pointer"&gt;1&lt;/Valeur&gt;</v>
      </c>
      <c r="AD224" t="str">
        <f t="shared" si="79"/>
        <v>&lt;Valeur name="idbanque"&gt;300760283626261100200EUR201904021072392200&lt;/Valeur&gt;</v>
      </c>
      <c r="AE224" t="str">
        <f t="shared" si="80"/>
        <v>&lt;Valeur name="datevaleur"&gt;2019/04/02&lt;/Valeur&gt;</v>
      </c>
      <c r="AF224" t="str">
        <f t="shared" si="81"/>
        <v>&lt;Valeur name="intitule"&gt;CB 454106 BOULANGERIE 59FERRIERE&lt;/Valeur&gt;</v>
      </c>
      <c r="AG224" t="str">
        <f t="shared" si="82"/>
        <v>&lt;Valeur name="description"&gt;&lt;/Valeur&gt;</v>
      </c>
      <c r="AH224" t="str">
        <f t="shared" si="83"/>
        <v>&lt;Valeur name="compte"&gt;27&lt;/Valeur&gt;</v>
      </c>
      <c r="AI224" t="str">
        <f t="shared" si="84"/>
        <v>&lt;Valeur name="solde"&gt;16624.26&lt;/Valeur&gt;</v>
      </c>
      <c r="AJ224" t="str">
        <f t="shared" si="85"/>
        <v>&lt;Valeur name="ventiler"&gt;0&lt;/Valeur&gt;</v>
      </c>
      <c r="AK224" t="str">
        <f t="shared" si="86"/>
        <v>&lt;Valeur name="compta"&gt;1&lt;/Valeur&gt;</v>
      </c>
      <c r="AL224" t="str">
        <f t="shared" si="87"/>
        <v>&lt;Valeur name="valeur"&gt;10.5&lt;/Valeur&gt;</v>
      </c>
      <c r="AN224" t="str">
        <f t="shared" si="77"/>
        <v>&lt;Insert&gt;&lt;Valeur name="no"&gt;199&lt;/Valeur&gt;&lt;Valeur name="banque"&gt;1&lt;/Valeur&gt;&lt;Valeur name="pointer"&gt;1&lt;/Valeur&gt;&lt;Valeur name="idbanque"&gt;300760283626261100200EUR201904021072392200&lt;/Valeur&gt;&lt;Valeur name="datevaleur"&gt;2019/04/02&lt;/Valeur&gt;&lt;Valeur name="intitule"&gt;CB 454106 BOULANGERIE 59FERRIERE&lt;/Valeur&gt;&lt;Valeur name="description"&gt;&lt;/Valeur&gt;&lt;Valeur name="compte"&gt;27&lt;/Valeur&gt;&lt;Valeur name="solde"&gt;16624.26&lt;/Valeur&gt;&lt;Valeur name="ventiler"&gt;0&lt;/Valeur&gt;&lt;Valeur name="compta"&gt;1&lt;/Valeur&gt;&lt;Valeur name="valeur"&gt;10.5&lt;/Valeur&gt;&lt;/Insert&gt;</v>
      </c>
    </row>
    <row r="225" spans="1:40" x14ac:dyDescent="0.25">
      <c r="A225" t="s">
        <v>462</v>
      </c>
      <c r="B225">
        <v>200</v>
      </c>
      <c r="C225" s="1">
        <v>43557</v>
      </c>
      <c r="D225">
        <v>1</v>
      </c>
      <c r="E225" t="str">
        <f>IF(F225&lt;&gt;"",INDEX(Balance!A:A,MATCH(F225,Balance!B:B,0)),"")</f>
        <v>Depense</v>
      </c>
      <c r="F225" t="s">
        <v>257</v>
      </c>
      <c r="G225" t="s">
        <v>31</v>
      </c>
      <c r="I225" s="10">
        <v>0.21</v>
      </c>
      <c r="L225" s="10">
        <f t="shared" si="88"/>
        <v>16624.050000000003</v>
      </c>
      <c r="N225">
        <v>200</v>
      </c>
      <c r="O225">
        <v>1</v>
      </c>
      <c r="P225">
        <v>1</v>
      </c>
      <c r="Q225" t="str">
        <f t="shared" si="70"/>
        <v>300760283626261100200EUR201904029229138500</v>
      </c>
      <c r="R225" s="16" t="s">
        <v>968</v>
      </c>
      <c r="S225" t="str">
        <f t="shared" si="71"/>
        <v>FRAIS E-VIR SEPA VERS EEE</v>
      </c>
      <c r="U225">
        <f>IFERROR(VLOOKUP(F225,tab!A:B,2,FALSE),1)</f>
        <v>18</v>
      </c>
      <c r="V225" s="14">
        <f t="shared" si="72"/>
        <v>16624.050000000003</v>
      </c>
      <c r="W225">
        <f t="shared" si="73"/>
        <v>0</v>
      </c>
      <c r="X225">
        <f t="shared" si="74"/>
        <v>1</v>
      </c>
      <c r="Y225" s="14">
        <f t="shared" si="75"/>
        <v>0.21</v>
      </c>
      <c r="AA225" t="str">
        <f t="shared" si="76"/>
        <v>&lt;Valeur name="no"&gt;200&lt;/Valeur&gt;</v>
      </c>
      <c r="AB225" t="str">
        <f t="shared" si="76"/>
        <v>&lt;Valeur name="banque"&gt;1&lt;/Valeur&gt;</v>
      </c>
      <c r="AC225" t="str">
        <f t="shared" si="78"/>
        <v>&lt;Valeur name="pointer"&gt;1&lt;/Valeur&gt;</v>
      </c>
      <c r="AD225" t="str">
        <f t="shared" si="79"/>
        <v>&lt;Valeur name="idbanque"&gt;300760283626261100200EUR201904029229138500&lt;/Valeur&gt;</v>
      </c>
      <c r="AE225" t="str">
        <f t="shared" si="80"/>
        <v>&lt;Valeur name="datevaleur"&gt;2019/04/02&lt;/Valeur&gt;</v>
      </c>
      <c r="AF225" t="str">
        <f t="shared" si="81"/>
        <v>&lt;Valeur name="intitule"&gt;FRAIS E-VIR SEPA VERS EEE&lt;/Valeur&gt;</v>
      </c>
      <c r="AG225" t="str">
        <f t="shared" si="82"/>
        <v>&lt;Valeur name="description"&gt;&lt;/Valeur&gt;</v>
      </c>
      <c r="AH225" t="str">
        <f t="shared" si="83"/>
        <v>&lt;Valeur name="compte"&gt;18&lt;/Valeur&gt;</v>
      </c>
      <c r="AI225" t="str">
        <f t="shared" si="84"/>
        <v>&lt;Valeur name="solde"&gt;16624.05&lt;/Valeur&gt;</v>
      </c>
      <c r="AJ225" t="str">
        <f t="shared" si="85"/>
        <v>&lt;Valeur name="ventiler"&gt;0&lt;/Valeur&gt;</v>
      </c>
      <c r="AK225" t="str">
        <f t="shared" si="86"/>
        <v>&lt;Valeur name="compta"&gt;1&lt;/Valeur&gt;</v>
      </c>
      <c r="AL225" t="str">
        <f t="shared" si="87"/>
        <v>&lt;Valeur name="valeur"&gt;0.21&lt;/Valeur&gt;</v>
      </c>
      <c r="AN225" t="str">
        <f t="shared" si="77"/>
        <v>&lt;Insert&gt;&lt;Valeur name="no"&gt;200&lt;/Valeur&gt;&lt;Valeur name="banque"&gt;1&lt;/Valeur&gt;&lt;Valeur name="pointer"&gt;1&lt;/Valeur&gt;&lt;Valeur name="idbanque"&gt;300760283626261100200EUR201904029229138500&lt;/Valeur&gt;&lt;Valeur name="datevaleur"&gt;2019/04/02&lt;/Valeur&gt;&lt;Valeur name="intitule"&gt;FRAIS E-VIR SEPA VERS EEE&lt;/Valeur&gt;&lt;Valeur name="description"&gt;&lt;/Valeur&gt;&lt;Valeur name="compte"&gt;18&lt;/Valeur&gt;&lt;Valeur name="solde"&gt;16624.05&lt;/Valeur&gt;&lt;Valeur name="ventiler"&gt;0&lt;/Valeur&gt;&lt;Valeur name="compta"&gt;1&lt;/Valeur&gt;&lt;Valeur name="valeur"&gt;0.21&lt;/Valeur&gt;&lt;/Insert&gt;</v>
      </c>
    </row>
    <row r="226" spans="1:40" x14ac:dyDescent="0.25">
      <c r="A226" t="s">
        <v>463</v>
      </c>
      <c r="B226">
        <v>201</v>
      </c>
      <c r="C226" s="1">
        <v>43557</v>
      </c>
      <c r="D226">
        <v>1</v>
      </c>
      <c r="E226" t="str">
        <f>IF(F226&lt;&gt;"",INDEX(Balance!A:A,MATCH(F226,Balance!B:B,0)),"")</f>
        <v>Depense</v>
      </c>
      <c r="F226" t="s">
        <v>257</v>
      </c>
      <c r="G226" t="s">
        <v>31</v>
      </c>
      <c r="I226" s="10">
        <v>0.21</v>
      </c>
      <c r="L226" s="10">
        <f t="shared" si="88"/>
        <v>16623.840000000004</v>
      </c>
      <c r="N226">
        <v>201</v>
      </c>
      <c r="O226">
        <v>1</v>
      </c>
      <c r="P226">
        <v>1</v>
      </c>
      <c r="Q226" t="str">
        <f t="shared" si="70"/>
        <v>300760283626261100200EUR201904029229138600</v>
      </c>
      <c r="R226" s="16" t="s">
        <v>968</v>
      </c>
      <c r="S226" t="str">
        <f t="shared" si="71"/>
        <v>FRAIS E-VIR SEPA VERS EEE</v>
      </c>
      <c r="U226">
        <f>IFERROR(VLOOKUP(F226,tab!A:B,2,FALSE),1)</f>
        <v>18</v>
      </c>
      <c r="V226" s="14">
        <f t="shared" si="72"/>
        <v>16623.840000000004</v>
      </c>
      <c r="W226">
        <f t="shared" si="73"/>
        <v>0</v>
      </c>
      <c r="X226">
        <f t="shared" si="74"/>
        <v>1</v>
      </c>
      <c r="Y226" s="14">
        <f t="shared" si="75"/>
        <v>0.21</v>
      </c>
      <c r="AA226" t="str">
        <f t="shared" si="76"/>
        <v>&lt;Valeur name="no"&gt;201&lt;/Valeur&gt;</v>
      </c>
      <c r="AB226" t="str">
        <f t="shared" si="76"/>
        <v>&lt;Valeur name="banque"&gt;1&lt;/Valeur&gt;</v>
      </c>
      <c r="AC226" t="str">
        <f t="shared" si="78"/>
        <v>&lt;Valeur name="pointer"&gt;1&lt;/Valeur&gt;</v>
      </c>
      <c r="AD226" t="str">
        <f t="shared" si="79"/>
        <v>&lt;Valeur name="idbanque"&gt;300760283626261100200EUR201904029229138600&lt;/Valeur&gt;</v>
      </c>
      <c r="AE226" t="str">
        <f t="shared" si="80"/>
        <v>&lt;Valeur name="datevaleur"&gt;2019/04/02&lt;/Valeur&gt;</v>
      </c>
      <c r="AF226" t="str">
        <f t="shared" si="81"/>
        <v>&lt;Valeur name="intitule"&gt;FRAIS E-VIR SEPA VERS EEE&lt;/Valeur&gt;</v>
      </c>
      <c r="AG226" t="str">
        <f t="shared" si="82"/>
        <v>&lt;Valeur name="description"&gt;&lt;/Valeur&gt;</v>
      </c>
      <c r="AH226" t="str">
        <f t="shared" si="83"/>
        <v>&lt;Valeur name="compte"&gt;18&lt;/Valeur&gt;</v>
      </c>
      <c r="AI226" t="str">
        <f t="shared" si="84"/>
        <v>&lt;Valeur name="solde"&gt;16623.84&lt;/Valeur&gt;</v>
      </c>
      <c r="AJ226" t="str">
        <f t="shared" si="85"/>
        <v>&lt;Valeur name="ventiler"&gt;0&lt;/Valeur&gt;</v>
      </c>
      <c r="AK226" t="str">
        <f t="shared" si="86"/>
        <v>&lt;Valeur name="compta"&gt;1&lt;/Valeur&gt;</v>
      </c>
      <c r="AL226" t="str">
        <f t="shared" si="87"/>
        <v>&lt;Valeur name="valeur"&gt;0.21&lt;/Valeur&gt;</v>
      </c>
      <c r="AN226" t="str">
        <f t="shared" si="77"/>
        <v>&lt;Insert&gt;&lt;Valeur name="no"&gt;201&lt;/Valeur&gt;&lt;Valeur name="banque"&gt;1&lt;/Valeur&gt;&lt;Valeur name="pointer"&gt;1&lt;/Valeur&gt;&lt;Valeur name="idbanque"&gt;300760283626261100200EUR201904029229138600&lt;/Valeur&gt;&lt;Valeur name="datevaleur"&gt;2019/04/02&lt;/Valeur&gt;&lt;Valeur name="intitule"&gt;FRAIS E-VIR SEPA VERS EEE&lt;/Valeur&gt;&lt;Valeur name="description"&gt;&lt;/Valeur&gt;&lt;Valeur name="compte"&gt;18&lt;/Valeur&gt;&lt;Valeur name="solde"&gt;16623.84&lt;/Valeur&gt;&lt;Valeur name="ventiler"&gt;0&lt;/Valeur&gt;&lt;Valeur name="compta"&gt;1&lt;/Valeur&gt;&lt;Valeur name="valeur"&gt;0.21&lt;/Valeur&gt;&lt;/Insert&gt;</v>
      </c>
    </row>
    <row r="227" spans="1:40" x14ac:dyDescent="0.25">
      <c r="A227" t="s">
        <v>464</v>
      </c>
      <c r="B227">
        <v>202</v>
      </c>
      <c r="C227" s="1">
        <v>43557</v>
      </c>
      <c r="D227">
        <v>1</v>
      </c>
      <c r="E227" t="str">
        <f>IF(F227&lt;&gt;"",INDEX(Balance!A:A,MATCH(F227,Balance!B:B,0)),"")</f>
        <v>Depense</v>
      </c>
      <c r="F227" t="s">
        <v>257</v>
      </c>
      <c r="G227" t="s">
        <v>31</v>
      </c>
      <c r="I227" s="10">
        <v>0.21</v>
      </c>
      <c r="L227" s="10">
        <f t="shared" si="88"/>
        <v>16623.630000000005</v>
      </c>
      <c r="N227">
        <v>202</v>
      </c>
      <c r="O227">
        <v>1</v>
      </c>
      <c r="P227">
        <v>1</v>
      </c>
      <c r="Q227" t="str">
        <f t="shared" si="70"/>
        <v>300760283626261100200EUR201904029229138700</v>
      </c>
      <c r="R227" s="16" t="s">
        <v>968</v>
      </c>
      <c r="S227" t="str">
        <f t="shared" si="71"/>
        <v>FRAIS E-VIR SEPA VERS EEE</v>
      </c>
      <c r="U227">
        <f>IFERROR(VLOOKUP(F227,tab!A:B,2,FALSE),1)</f>
        <v>18</v>
      </c>
      <c r="V227" s="14">
        <f t="shared" si="72"/>
        <v>16623.630000000005</v>
      </c>
      <c r="W227">
        <f t="shared" si="73"/>
        <v>0</v>
      </c>
      <c r="X227">
        <f t="shared" si="74"/>
        <v>1</v>
      </c>
      <c r="Y227" s="14">
        <f t="shared" si="75"/>
        <v>0.21</v>
      </c>
      <c r="AA227" t="str">
        <f t="shared" si="76"/>
        <v>&lt;Valeur name="no"&gt;202&lt;/Valeur&gt;</v>
      </c>
      <c r="AB227" t="str">
        <f t="shared" si="76"/>
        <v>&lt;Valeur name="banque"&gt;1&lt;/Valeur&gt;</v>
      </c>
      <c r="AC227" t="str">
        <f t="shared" si="78"/>
        <v>&lt;Valeur name="pointer"&gt;1&lt;/Valeur&gt;</v>
      </c>
      <c r="AD227" t="str">
        <f t="shared" si="79"/>
        <v>&lt;Valeur name="idbanque"&gt;300760283626261100200EUR201904029229138700&lt;/Valeur&gt;</v>
      </c>
      <c r="AE227" t="str">
        <f t="shared" si="80"/>
        <v>&lt;Valeur name="datevaleur"&gt;2019/04/02&lt;/Valeur&gt;</v>
      </c>
      <c r="AF227" t="str">
        <f t="shared" si="81"/>
        <v>&lt;Valeur name="intitule"&gt;FRAIS E-VIR SEPA VERS EEE&lt;/Valeur&gt;</v>
      </c>
      <c r="AG227" t="str">
        <f t="shared" si="82"/>
        <v>&lt;Valeur name="description"&gt;&lt;/Valeur&gt;</v>
      </c>
      <c r="AH227" t="str">
        <f t="shared" si="83"/>
        <v>&lt;Valeur name="compte"&gt;18&lt;/Valeur&gt;</v>
      </c>
      <c r="AI227" t="str">
        <f t="shared" si="84"/>
        <v>&lt;Valeur name="solde"&gt;16623.63&lt;/Valeur&gt;</v>
      </c>
      <c r="AJ227" t="str">
        <f t="shared" si="85"/>
        <v>&lt;Valeur name="ventiler"&gt;0&lt;/Valeur&gt;</v>
      </c>
      <c r="AK227" t="str">
        <f t="shared" si="86"/>
        <v>&lt;Valeur name="compta"&gt;1&lt;/Valeur&gt;</v>
      </c>
      <c r="AL227" t="str">
        <f t="shared" si="87"/>
        <v>&lt;Valeur name="valeur"&gt;0.21&lt;/Valeur&gt;</v>
      </c>
      <c r="AN227" t="str">
        <f t="shared" si="77"/>
        <v>&lt;Insert&gt;&lt;Valeur name="no"&gt;202&lt;/Valeur&gt;&lt;Valeur name="banque"&gt;1&lt;/Valeur&gt;&lt;Valeur name="pointer"&gt;1&lt;/Valeur&gt;&lt;Valeur name="idbanque"&gt;300760283626261100200EUR201904029229138700&lt;/Valeur&gt;&lt;Valeur name="datevaleur"&gt;2019/04/02&lt;/Valeur&gt;&lt;Valeur name="intitule"&gt;FRAIS E-VIR SEPA VERS EEE&lt;/Valeur&gt;&lt;Valeur name="description"&gt;&lt;/Valeur&gt;&lt;Valeur name="compte"&gt;18&lt;/Valeur&gt;&lt;Valeur name="solde"&gt;16623.63&lt;/Valeur&gt;&lt;Valeur name="ventiler"&gt;0&lt;/Valeur&gt;&lt;Valeur name="compta"&gt;1&lt;/Valeur&gt;&lt;Valeur name="valeur"&gt;0.21&lt;/Valeur&gt;&lt;/Insert&gt;</v>
      </c>
    </row>
    <row r="228" spans="1:40" x14ac:dyDescent="0.25">
      <c r="A228" t="s">
        <v>465</v>
      </c>
      <c r="B228">
        <v>203</v>
      </c>
      <c r="C228" s="1">
        <v>43557</v>
      </c>
      <c r="D228">
        <v>1</v>
      </c>
      <c r="E228" t="str">
        <f>IF(F228&lt;&gt;"",INDEX(Balance!A:A,MATCH(F228,Balance!B:B,0)),"")</f>
        <v>Depense</v>
      </c>
      <c r="F228" t="s">
        <v>257</v>
      </c>
      <c r="G228" t="s">
        <v>31</v>
      </c>
      <c r="I228" s="10">
        <v>0.21</v>
      </c>
      <c r="L228" s="10">
        <f t="shared" si="88"/>
        <v>16623.420000000006</v>
      </c>
      <c r="N228">
        <v>203</v>
      </c>
      <c r="O228">
        <v>1</v>
      </c>
      <c r="P228">
        <v>1</v>
      </c>
      <c r="Q228" t="str">
        <f t="shared" si="70"/>
        <v>300760283626261100200EUR201904029229138800</v>
      </c>
      <c r="R228" s="16" t="s">
        <v>968</v>
      </c>
      <c r="S228" t="str">
        <f t="shared" si="71"/>
        <v>FRAIS E-VIR SEPA VERS EEE</v>
      </c>
      <c r="U228">
        <f>IFERROR(VLOOKUP(F228,tab!A:B,2,FALSE),1)</f>
        <v>18</v>
      </c>
      <c r="V228" s="14">
        <f t="shared" si="72"/>
        <v>16623.420000000006</v>
      </c>
      <c r="W228">
        <f t="shared" si="73"/>
        <v>0</v>
      </c>
      <c r="X228">
        <f t="shared" si="74"/>
        <v>1</v>
      </c>
      <c r="Y228" s="14">
        <f t="shared" si="75"/>
        <v>0.21</v>
      </c>
      <c r="AA228" t="str">
        <f t="shared" si="76"/>
        <v>&lt;Valeur name="no"&gt;203&lt;/Valeur&gt;</v>
      </c>
      <c r="AB228" t="str">
        <f t="shared" si="76"/>
        <v>&lt;Valeur name="banque"&gt;1&lt;/Valeur&gt;</v>
      </c>
      <c r="AC228" t="str">
        <f t="shared" si="78"/>
        <v>&lt;Valeur name="pointer"&gt;1&lt;/Valeur&gt;</v>
      </c>
      <c r="AD228" t="str">
        <f t="shared" si="79"/>
        <v>&lt;Valeur name="idbanque"&gt;300760283626261100200EUR201904029229138800&lt;/Valeur&gt;</v>
      </c>
      <c r="AE228" t="str">
        <f t="shared" si="80"/>
        <v>&lt;Valeur name="datevaleur"&gt;2019/04/02&lt;/Valeur&gt;</v>
      </c>
      <c r="AF228" t="str">
        <f t="shared" si="81"/>
        <v>&lt;Valeur name="intitule"&gt;FRAIS E-VIR SEPA VERS EEE&lt;/Valeur&gt;</v>
      </c>
      <c r="AG228" t="str">
        <f t="shared" si="82"/>
        <v>&lt;Valeur name="description"&gt;&lt;/Valeur&gt;</v>
      </c>
      <c r="AH228" t="str">
        <f t="shared" si="83"/>
        <v>&lt;Valeur name="compte"&gt;18&lt;/Valeur&gt;</v>
      </c>
      <c r="AI228" t="str">
        <f t="shared" si="84"/>
        <v>&lt;Valeur name="solde"&gt;16623.42&lt;/Valeur&gt;</v>
      </c>
      <c r="AJ228" t="str">
        <f t="shared" si="85"/>
        <v>&lt;Valeur name="ventiler"&gt;0&lt;/Valeur&gt;</v>
      </c>
      <c r="AK228" t="str">
        <f t="shared" si="86"/>
        <v>&lt;Valeur name="compta"&gt;1&lt;/Valeur&gt;</v>
      </c>
      <c r="AL228" t="str">
        <f t="shared" si="87"/>
        <v>&lt;Valeur name="valeur"&gt;0.21&lt;/Valeur&gt;</v>
      </c>
      <c r="AN228" t="str">
        <f t="shared" si="77"/>
        <v>&lt;Insert&gt;&lt;Valeur name="no"&gt;203&lt;/Valeur&gt;&lt;Valeur name="banque"&gt;1&lt;/Valeur&gt;&lt;Valeur name="pointer"&gt;1&lt;/Valeur&gt;&lt;Valeur name="idbanque"&gt;300760283626261100200EUR201904029229138800&lt;/Valeur&gt;&lt;Valeur name="datevaleur"&gt;2019/04/02&lt;/Valeur&gt;&lt;Valeur name="intitule"&gt;FRAIS E-VIR SEPA VERS EEE&lt;/Valeur&gt;&lt;Valeur name="description"&gt;&lt;/Valeur&gt;&lt;Valeur name="compte"&gt;18&lt;/Valeur&gt;&lt;Valeur name="solde"&gt;16623.42&lt;/Valeur&gt;&lt;Valeur name="ventiler"&gt;0&lt;/Valeur&gt;&lt;Valeur name="compta"&gt;1&lt;/Valeur&gt;&lt;Valeur name="valeur"&gt;0.21&lt;/Valeur&gt;&lt;/Insert&gt;</v>
      </c>
    </row>
    <row r="229" spans="1:40" x14ac:dyDescent="0.25">
      <c r="A229" t="s">
        <v>466</v>
      </c>
      <c r="B229">
        <v>204</v>
      </c>
      <c r="C229" s="1">
        <v>43557</v>
      </c>
      <c r="D229">
        <v>1</v>
      </c>
      <c r="E229" t="str">
        <f>IF(F229&lt;&gt;"",INDEX(Balance!A:A,MATCH(F229,Balance!B:B,0)),"")</f>
        <v>Depense</v>
      </c>
      <c r="F229" t="s">
        <v>257</v>
      </c>
      <c r="G229" t="s">
        <v>31</v>
      </c>
      <c r="I229" s="10">
        <v>0.21</v>
      </c>
      <c r="L229" s="10">
        <f t="shared" si="88"/>
        <v>16623.210000000006</v>
      </c>
      <c r="N229">
        <v>204</v>
      </c>
      <c r="O229">
        <v>1</v>
      </c>
      <c r="P229">
        <v>1</v>
      </c>
      <c r="Q229" t="str">
        <f t="shared" si="70"/>
        <v>300760283626261100200EUR201904029229138900</v>
      </c>
      <c r="R229" s="16" t="s">
        <v>968</v>
      </c>
      <c r="S229" t="str">
        <f t="shared" si="71"/>
        <v>FRAIS E-VIR SEPA VERS EEE</v>
      </c>
      <c r="U229">
        <f>IFERROR(VLOOKUP(F229,tab!A:B,2,FALSE),1)</f>
        <v>18</v>
      </c>
      <c r="V229" s="14">
        <f t="shared" si="72"/>
        <v>16623.210000000006</v>
      </c>
      <c r="W229">
        <f t="shared" si="73"/>
        <v>0</v>
      </c>
      <c r="X229">
        <f t="shared" si="74"/>
        <v>1</v>
      </c>
      <c r="Y229" s="14">
        <f t="shared" si="75"/>
        <v>0.21</v>
      </c>
      <c r="AA229" t="str">
        <f t="shared" si="76"/>
        <v>&lt;Valeur name="no"&gt;204&lt;/Valeur&gt;</v>
      </c>
      <c r="AB229" t="str">
        <f t="shared" si="76"/>
        <v>&lt;Valeur name="banque"&gt;1&lt;/Valeur&gt;</v>
      </c>
      <c r="AC229" t="str">
        <f t="shared" si="78"/>
        <v>&lt;Valeur name="pointer"&gt;1&lt;/Valeur&gt;</v>
      </c>
      <c r="AD229" t="str">
        <f t="shared" si="79"/>
        <v>&lt;Valeur name="idbanque"&gt;300760283626261100200EUR201904029229138900&lt;/Valeur&gt;</v>
      </c>
      <c r="AE229" t="str">
        <f t="shared" si="80"/>
        <v>&lt;Valeur name="datevaleur"&gt;2019/04/02&lt;/Valeur&gt;</v>
      </c>
      <c r="AF229" t="str">
        <f t="shared" si="81"/>
        <v>&lt;Valeur name="intitule"&gt;FRAIS E-VIR SEPA VERS EEE&lt;/Valeur&gt;</v>
      </c>
      <c r="AG229" t="str">
        <f t="shared" si="82"/>
        <v>&lt;Valeur name="description"&gt;&lt;/Valeur&gt;</v>
      </c>
      <c r="AH229" t="str">
        <f t="shared" si="83"/>
        <v>&lt;Valeur name="compte"&gt;18&lt;/Valeur&gt;</v>
      </c>
      <c r="AI229" t="str">
        <f t="shared" si="84"/>
        <v>&lt;Valeur name="solde"&gt;16623.21&lt;/Valeur&gt;</v>
      </c>
      <c r="AJ229" t="str">
        <f t="shared" si="85"/>
        <v>&lt;Valeur name="ventiler"&gt;0&lt;/Valeur&gt;</v>
      </c>
      <c r="AK229" t="str">
        <f t="shared" si="86"/>
        <v>&lt;Valeur name="compta"&gt;1&lt;/Valeur&gt;</v>
      </c>
      <c r="AL229" t="str">
        <f t="shared" si="87"/>
        <v>&lt;Valeur name="valeur"&gt;0.21&lt;/Valeur&gt;</v>
      </c>
      <c r="AN229" t="str">
        <f t="shared" si="77"/>
        <v>&lt;Insert&gt;&lt;Valeur name="no"&gt;204&lt;/Valeur&gt;&lt;Valeur name="banque"&gt;1&lt;/Valeur&gt;&lt;Valeur name="pointer"&gt;1&lt;/Valeur&gt;&lt;Valeur name="idbanque"&gt;300760283626261100200EUR201904029229138900&lt;/Valeur&gt;&lt;Valeur name="datevaleur"&gt;2019/04/02&lt;/Valeur&gt;&lt;Valeur name="intitule"&gt;FRAIS E-VIR SEPA VERS EEE&lt;/Valeur&gt;&lt;Valeur name="description"&gt;&lt;/Valeur&gt;&lt;Valeur name="compte"&gt;18&lt;/Valeur&gt;&lt;Valeur name="solde"&gt;16623.21&lt;/Valeur&gt;&lt;Valeur name="ventiler"&gt;0&lt;/Valeur&gt;&lt;Valeur name="compta"&gt;1&lt;/Valeur&gt;&lt;Valeur name="valeur"&gt;0.21&lt;/Valeur&gt;&lt;/Insert&gt;</v>
      </c>
    </row>
    <row r="230" spans="1:40" x14ac:dyDescent="0.25">
      <c r="A230" t="s">
        <v>467</v>
      </c>
      <c r="B230">
        <v>205</v>
      </c>
      <c r="C230" s="1">
        <v>43557</v>
      </c>
      <c r="D230">
        <v>1</v>
      </c>
      <c r="E230" t="str">
        <f>IF(F230&lt;&gt;"",INDEX(Balance!A:A,MATCH(F230,Balance!B:B,0)),"")</f>
        <v>Depense</v>
      </c>
      <c r="F230" t="s">
        <v>257</v>
      </c>
      <c r="G230" t="s">
        <v>31</v>
      </c>
      <c r="I230" s="10">
        <v>0.21</v>
      </c>
      <c r="L230" s="10">
        <f t="shared" si="88"/>
        <v>16623.000000000007</v>
      </c>
      <c r="N230">
        <v>205</v>
      </c>
      <c r="O230">
        <v>1</v>
      </c>
      <c r="P230">
        <v>1</v>
      </c>
      <c r="Q230" t="str">
        <f t="shared" si="70"/>
        <v>300760283626261100200EUR201904029229139000</v>
      </c>
      <c r="R230" s="16" t="s">
        <v>968</v>
      </c>
      <c r="S230" t="str">
        <f t="shared" si="71"/>
        <v>FRAIS E-VIR SEPA VERS EEE</v>
      </c>
      <c r="U230">
        <f>IFERROR(VLOOKUP(F230,tab!A:B,2,FALSE),1)</f>
        <v>18</v>
      </c>
      <c r="V230" s="14">
        <f t="shared" si="72"/>
        <v>16623.000000000007</v>
      </c>
      <c r="W230">
        <f t="shared" si="73"/>
        <v>0</v>
      </c>
      <c r="X230">
        <f t="shared" si="74"/>
        <v>1</v>
      </c>
      <c r="Y230" s="14">
        <f t="shared" si="75"/>
        <v>0.21</v>
      </c>
      <c r="AA230" t="str">
        <f t="shared" si="76"/>
        <v>&lt;Valeur name="no"&gt;205&lt;/Valeur&gt;</v>
      </c>
      <c r="AB230" t="str">
        <f t="shared" si="76"/>
        <v>&lt;Valeur name="banque"&gt;1&lt;/Valeur&gt;</v>
      </c>
      <c r="AC230" t="str">
        <f t="shared" si="78"/>
        <v>&lt;Valeur name="pointer"&gt;1&lt;/Valeur&gt;</v>
      </c>
      <c r="AD230" t="str">
        <f t="shared" si="79"/>
        <v>&lt;Valeur name="idbanque"&gt;300760283626261100200EUR201904029229139000&lt;/Valeur&gt;</v>
      </c>
      <c r="AE230" t="str">
        <f t="shared" si="80"/>
        <v>&lt;Valeur name="datevaleur"&gt;2019/04/02&lt;/Valeur&gt;</v>
      </c>
      <c r="AF230" t="str">
        <f t="shared" si="81"/>
        <v>&lt;Valeur name="intitule"&gt;FRAIS E-VIR SEPA VERS EEE&lt;/Valeur&gt;</v>
      </c>
      <c r="AG230" t="str">
        <f t="shared" si="82"/>
        <v>&lt;Valeur name="description"&gt;&lt;/Valeur&gt;</v>
      </c>
      <c r="AH230" t="str">
        <f t="shared" si="83"/>
        <v>&lt;Valeur name="compte"&gt;18&lt;/Valeur&gt;</v>
      </c>
      <c r="AI230" t="str">
        <f t="shared" si="84"/>
        <v>&lt;Valeur name="solde"&gt;16623&lt;/Valeur&gt;</v>
      </c>
      <c r="AJ230" t="str">
        <f t="shared" si="85"/>
        <v>&lt;Valeur name="ventiler"&gt;0&lt;/Valeur&gt;</v>
      </c>
      <c r="AK230" t="str">
        <f t="shared" si="86"/>
        <v>&lt;Valeur name="compta"&gt;1&lt;/Valeur&gt;</v>
      </c>
      <c r="AL230" t="str">
        <f t="shared" si="87"/>
        <v>&lt;Valeur name="valeur"&gt;0.21&lt;/Valeur&gt;</v>
      </c>
      <c r="AN230" t="str">
        <f t="shared" si="77"/>
        <v>&lt;Insert&gt;&lt;Valeur name="no"&gt;205&lt;/Valeur&gt;&lt;Valeur name="banque"&gt;1&lt;/Valeur&gt;&lt;Valeur name="pointer"&gt;1&lt;/Valeur&gt;&lt;Valeur name="idbanque"&gt;300760283626261100200EUR201904029229139000&lt;/Valeur&gt;&lt;Valeur name="datevaleur"&gt;2019/04/02&lt;/Valeur&gt;&lt;Valeur name="intitule"&gt;FRAIS E-VIR SEPA VERS EEE&lt;/Valeur&gt;&lt;Valeur name="description"&gt;&lt;/Valeur&gt;&lt;Valeur name="compte"&gt;18&lt;/Valeur&gt;&lt;Valeur name="solde"&gt;16623&lt;/Valeur&gt;&lt;Valeur name="ventiler"&gt;0&lt;/Valeur&gt;&lt;Valeur name="compta"&gt;1&lt;/Valeur&gt;&lt;Valeur name="valeur"&gt;0.21&lt;/Valeur&gt;&lt;/Insert&gt;</v>
      </c>
    </row>
    <row r="231" spans="1:40" x14ac:dyDescent="0.25">
      <c r="A231" t="s">
        <v>468</v>
      </c>
      <c r="B231">
        <v>206</v>
      </c>
      <c r="C231" s="1">
        <v>43557</v>
      </c>
      <c r="D231">
        <v>1</v>
      </c>
      <c r="E231" t="str">
        <f>IF(F231&lt;&gt;"",INDEX(Balance!A:A,MATCH(F231,Balance!B:B,0)),"")</f>
        <v>Depense</v>
      </c>
      <c r="F231" t="s">
        <v>257</v>
      </c>
      <c r="G231" t="s">
        <v>31</v>
      </c>
      <c r="I231" s="10">
        <v>0.21</v>
      </c>
      <c r="L231" s="10">
        <f t="shared" si="88"/>
        <v>16622.790000000008</v>
      </c>
      <c r="N231">
        <v>206</v>
      </c>
      <c r="O231">
        <v>1</v>
      </c>
      <c r="P231">
        <v>1</v>
      </c>
      <c r="Q231" t="str">
        <f t="shared" si="70"/>
        <v>300760283626261100200EUR201904029229139100</v>
      </c>
      <c r="R231" s="16" t="s">
        <v>968</v>
      </c>
      <c r="S231" t="str">
        <f t="shared" si="71"/>
        <v>FRAIS E-VIR SEPA VERS EEE</v>
      </c>
      <c r="U231">
        <f>IFERROR(VLOOKUP(F231,tab!A:B,2,FALSE),1)</f>
        <v>18</v>
      </c>
      <c r="V231" s="14">
        <f t="shared" si="72"/>
        <v>16622.790000000008</v>
      </c>
      <c r="W231">
        <f t="shared" si="73"/>
        <v>0</v>
      </c>
      <c r="X231">
        <f t="shared" si="74"/>
        <v>1</v>
      </c>
      <c r="Y231" s="14">
        <f t="shared" si="75"/>
        <v>0.21</v>
      </c>
      <c r="AA231" t="str">
        <f t="shared" si="76"/>
        <v>&lt;Valeur name="no"&gt;206&lt;/Valeur&gt;</v>
      </c>
      <c r="AB231" t="str">
        <f t="shared" si="76"/>
        <v>&lt;Valeur name="banque"&gt;1&lt;/Valeur&gt;</v>
      </c>
      <c r="AC231" t="str">
        <f t="shared" si="78"/>
        <v>&lt;Valeur name="pointer"&gt;1&lt;/Valeur&gt;</v>
      </c>
      <c r="AD231" t="str">
        <f t="shared" si="79"/>
        <v>&lt;Valeur name="idbanque"&gt;300760283626261100200EUR201904029229139100&lt;/Valeur&gt;</v>
      </c>
      <c r="AE231" t="str">
        <f t="shared" si="80"/>
        <v>&lt;Valeur name="datevaleur"&gt;2019/04/02&lt;/Valeur&gt;</v>
      </c>
      <c r="AF231" t="str">
        <f t="shared" si="81"/>
        <v>&lt;Valeur name="intitule"&gt;FRAIS E-VIR SEPA VERS EEE&lt;/Valeur&gt;</v>
      </c>
      <c r="AG231" t="str">
        <f t="shared" si="82"/>
        <v>&lt;Valeur name="description"&gt;&lt;/Valeur&gt;</v>
      </c>
      <c r="AH231" t="str">
        <f t="shared" si="83"/>
        <v>&lt;Valeur name="compte"&gt;18&lt;/Valeur&gt;</v>
      </c>
      <c r="AI231" t="str">
        <f t="shared" si="84"/>
        <v>&lt;Valeur name="solde"&gt;16622.79&lt;/Valeur&gt;</v>
      </c>
      <c r="AJ231" t="str">
        <f t="shared" si="85"/>
        <v>&lt;Valeur name="ventiler"&gt;0&lt;/Valeur&gt;</v>
      </c>
      <c r="AK231" t="str">
        <f t="shared" si="86"/>
        <v>&lt;Valeur name="compta"&gt;1&lt;/Valeur&gt;</v>
      </c>
      <c r="AL231" t="str">
        <f t="shared" si="87"/>
        <v>&lt;Valeur name="valeur"&gt;0.21&lt;/Valeur&gt;</v>
      </c>
      <c r="AN231" t="str">
        <f t="shared" si="77"/>
        <v>&lt;Insert&gt;&lt;Valeur name="no"&gt;206&lt;/Valeur&gt;&lt;Valeur name="banque"&gt;1&lt;/Valeur&gt;&lt;Valeur name="pointer"&gt;1&lt;/Valeur&gt;&lt;Valeur name="idbanque"&gt;300760283626261100200EUR201904029229139100&lt;/Valeur&gt;&lt;Valeur name="datevaleur"&gt;2019/04/02&lt;/Valeur&gt;&lt;Valeur name="intitule"&gt;FRAIS E-VIR SEPA VERS EEE&lt;/Valeur&gt;&lt;Valeur name="description"&gt;&lt;/Valeur&gt;&lt;Valeur name="compte"&gt;18&lt;/Valeur&gt;&lt;Valeur name="solde"&gt;16622.79&lt;/Valeur&gt;&lt;Valeur name="ventiler"&gt;0&lt;/Valeur&gt;&lt;Valeur name="compta"&gt;1&lt;/Valeur&gt;&lt;Valeur name="valeur"&gt;0.21&lt;/Valeur&gt;&lt;/Insert&gt;</v>
      </c>
    </row>
    <row r="232" spans="1:40" x14ac:dyDescent="0.25">
      <c r="A232" t="s">
        <v>469</v>
      </c>
      <c r="B232">
        <v>207</v>
      </c>
      <c r="C232" s="1">
        <v>43557</v>
      </c>
      <c r="D232">
        <v>1</v>
      </c>
      <c r="E232" t="str">
        <f>IF(F232&lt;&gt;"",INDEX(Balance!A:A,MATCH(F232,Balance!B:B,0)),"")</f>
        <v>Depense</v>
      </c>
      <c r="F232" t="s">
        <v>257</v>
      </c>
      <c r="G232" t="s">
        <v>31</v>
      </c>
      <c r="I232" s="10">
        <v>0.21</v>
      </c>
      <c r="L232" s="10">
        <f t="shared" si="88"/>
        <v>16622.580000000009</v>
      </c>
      <c r="N232">
        <v>207</v>
      </c>
      <c r="O232">
        <v>1</v>
      </c>
      <c r="P232">
        <v>1</v>
      </c>
      <c r="Q232" t="str">
        <f t="shared" si="70"/>
        <v>300760283626261100200EUR201904029229139200</v>
      </c>
      <c r="R232" s="16" t="s">
        <v>968</v>
      </c>
      <c r="S232" t="str">
        <f t="shared" si="71"/>
        <v>FRAIS E-VIR SEPA VERS EEE</v>
      </c>
      <c r="U232">
        <f>IFERROR(VLOOKUP(F232,tab!A:B,2,FALSE),1)</f>
        <v>18</v>
      </c>
      <c r="V232" s="14">
        <f t="shared" si="72"/>
        <v>16622.580000000009</v>
      </c>
      <c r="W232">
        <f t="shared" si="73"/>
        <v>0</v>
      </c>
      <c r="X232">
        <f t="shared" si="74"/>
        <v>1</v>
      </c>
      <c r="Y232" s="14">
        <f t="shared" si="75"/>
        <v>0.21</v>
      </c>
      <c r="AA232" t="str">
        <f t="shared" si="76"/>
        <v>&lt;Valeur name="no"&gt;207&lt;/Valeur&gt;</v>
      </c>
      <c r="AB232" t="str">
        <f t="shared" si="76"/>
        <v>&lt;Valeur name="banque"&gt;1&lt;/Valeur&gt;</v>
      </c>
      <c r="AC232" t="str">
        <f t="shared" si="78"/>
        <v>&lt;Valeur name="pointer"&gt;1&lt;/Valeur&gt;</v>
      </c>
      <c r="AD232" t="str">
        <f t="shared" si="79"/>
        <v>&lt;Valeur name="idbanque"&gt;300760283626261100200EUR201904029229139200&lt;/Valeur&gt;</v>
      </c>
      <c r="AE232" t="str">
        <f t="shared" si="80"/>
        <v>&lt;Valeur name="datevaleur"&gt;2019/04/02&lt;/Valeur&gt;</v>
      </c>
      <c r="AF232" t="str">
        <f t="shared" si="81"/>
        <v>&lt;Valeur name="intitule"&gt;FRAIS E-VIR SEPA VERS EEE&lt;/Valeur&gt;</v>
      </c>
      <c r="AG232" t="str">
        <f t="shared" si="82"/>
        <v>&lt;Valeur name="description"&gt;&lt;/Valeur&gt;</v>
      </c>
      <c r="AH232" t="str">
        <f t="shared" si="83"/>
        <v>&lt;Valeur name="compte"&gt;18&lt;/Valeur&gt;</v>
      </c>
      <c r="AI232" t="str">
        <f t="shared" si="84"/>
        <v>&lt;Valeur name="solde"&gt;16622.58&lt;/Valeur&gt;</v>
      </c>
      <c r="AJ232" t="str">
        <f t="shared" si="85"/>
        <v>&lt;Valeur name="ventiler"&gt;0&lt;/Valeur&gt;</v>
      </c>
      <c r="AK232" t="str">
        <f t="shared" si="86"/>
        <v>&lt;Valeur name="compta"&gt;1&lt;/Valeur&gt;</v>
      </c>
      <c r="AL232" t="str">
        <f t="shared" si="87"/>
        <v>&lt;Valeur name="valeur"&gt;0.21&lt;/Valeur&gt;</v>
      </c>
      <c r="AN232" t="str">
        <f t="shared" si="77"/>
        <v>&lt;Insert&gt;&lt;Valeur name="no"&gt;207&lt;/Valeur&gt;&lt;Valeur name="banque"&gt;1&lt;/Valeur&gt;&lt;Valeur name="pointer"&gt;1&lt;/Valeur&gt;&lt;Valeur name="idbanque"&gt;300760283626261100200EUR201904029229139200&lt;/Valeur&gt;&lt;Valeur name="datevaleur"&gt;2019/04/02&lt;/Valeur&gt;&lt;Valeur name="intitule"&gt;FRAIS E-VIR SEPA VERS EEE&lt;/Valeur&gt;&lt;Valeur name="description"&gt;&lt;/Valeur&gt;&lt;Valeur name="compte"&gt;18&lt;/Valeur&gt;&lt;Valeur name="solde"&gt;16622.58&lt;/Valeur&gt;&lt;Valeur name="ventiler"&gt;0&lt;/Valeur&gt;&lt;Valeur name="compta"&gt;1&lt;/Valeur&gt;&lt;Valeur name="valeur"&gt;0.21&lt;/Valeur&gt;&lt;/Insert&gt;</v>
      </c>
    </row>
    <row r="233" spans="1:40" x14ac:dyDescent="0.25">
      <c r="A233" t="s">
        <v>470</v>
      </c>
      <c r="B233">
        <v>208</v>
      </c>
      <c r="C233" s="1">
        <v>43557</v>
      </c>
      <c r="D233">
        <v>1</v>
      </c>
      <c r="E233" t="str">
        <f>IF(F233&lt;&gt;"",INDEX(Balance!A:A,MATCH(F233,Balance!B:B,0)),"")</f>
        <v>Depense</v>
      </c>
      <c r="F233" t="s">
        <v>257</v>
      </c>
      <c r="G233" t="s">
        <v>146</v>
      </c>
      <c r="I233" s="10">
        <v>77.599999999999994</v>
      </c>
      <c r="L233" s="10">
        <f t="shared" si="88"/>
        <v>16544.98000000001</v>
      </c>
      <c r="N233">
        <v>208</v>
      </c>
      <c r="O233">
        <v>1</v>
      </c>
      <c r="P233">
        <v>1</v>
      </c>
      <c r="Q233" t="str">
        <f t="shared" si="70"/>
        <v>300760283626261100200EUR201904029229139300</v>
      </c>
      <c r="R233" s="16" t="s">
        <v>968</v>
      </c>
      <c r="S233" t="str">
        <f t="shared" si="71"/>
        <v>COMMISSION D'INTERVENTION</v>
      </c>
      <c r="U233">
        <f>IFERROR(VLOOKUP(F233,tab!A:B,2,FALSE),1)</f>
        <v>18</v>
      </c>
      <c r="V233" s="14">
        <f t="shared" si="72"/>
        <v>16544.98000000001</v>
      </c>
      <c r="W233">
        <f t="shared" si="73"/>
        <v>0</v>
      </c>
      <c r="X233">
        <f t="shared" si="74"/>
        <v>1</v>
      </c>
      <c r="Y233" s="14">
        <f t="shared" si="75"/>
        <v>77.599999999999994</v>
      </c>
      <c r="AA233" t="str">
        <f t="shared" si="76"/>
        <v>&lt;Valeur name="no"&gt;208&lt;/Valeur&gt;</v>
      </c>
      <c r="AB233" t="str">
        <f t="shared" si="76"/>
        <v>&lt;Valeur name="banque"&gt;1&lt;/Valeur&gt;</v>
      </c>
      <c r="AC233" t="str">
        <f t="shared" si="78"/>
        <v>&lt;Valeur name="pointer"&gt;1&lt;/Valeur&gt;</v>
      </c>
      <c r="AD233" t="str">
        <f t="shared" si="79"/>
        <v>&lt;Valeur name="idbanque"&gt;300760283626261100200EUR201904029229139300&lt;/Valeur&gt;</v>
      </c>
      <c r="AE233" t="str">
        <f t="shared" si="80"/>
        <v>&lt;Valeur name="datevaleur"&gt;2019/04/02&lt;/Valeur&gt;</v>
      </c>
      <c r="AF233" t="str">
        <f t="shared" si="81"/>
        <v>&lt;Valeur name="intitule"&gt;COMMISSION D'INTERVENTION&lt;/Valeur&gt;</v>
      </c>
      <c r="AG233" t="str">
        <f t="shared" si="82"/>
        <v>&lt;Valeur name="description"&gt;&lt;/Valeur&gt;</v>
      </c>
      <c r="AH233" t="str">
        <f t="shared" si="83"/>
        <v>&lt;Valeur name="compte"&gt;18&lt;/Valeur&gt;</v>
      </c>
      <c r="AI233" t="str">
        <f t="shared" si="84"/>
        <v>&lt;Valeur name="solde"&gt;16544.98&lt;/Valeur&gt;</v>
      </c>
      <c r="AJ233" t="str">
        <f t="shared" si="85"/>
        <v>&lt;Valeur name="ventiler"&gt;0&lt;/Valeur&gt;</v>
      </c>
      <c r="AK233" t="str">
        <f t="shared" si="86"/>
        <v>&lt;Valeur name="compta"&gt;1&lt;/Valeur&gt;</v>
      </c>
      <c r="AL233" t="str">
        <f t="shared" si="87"/>
        <v>&lt;Valeur name="valeur"&gt;77.6&lt;/Valeur&gt;</v>
      </c>
      <c r="AN233" t="str">
        <f t="shared" si="77"/>
        <v>&lt;Insert&gt;&lt;Valeur name="no"&gt;208&lt;/Valeur&gt;&lt;Valeur name="banque"&gt;1&lt;/Valeur&gt;&lt;Valeur name="pointer"&gt;1&lt;/Valeur&gt;&lt;Valeur name="idbanque"&gt;300760283626261100200EUR201904029229139300&lt;/Valeur&gt;&lt;Valeur name="datevaleur"&gt;2019/04/02&lt;/Valeur&gt;&lt;Valeur name="intitule"&gt;COMMISSION D'INTERVENTION&lt;/Valeur&gt;&lt;Valeur name="description"&gt;&lt;/Valeur&gt;&lt;Valeur name="compte"&gt;18&lt;/Valeur&gt;&lt;Valeur name="solde"&gt;16544.98&lt;/Valeur&gt;&lt;Valeur name="ventiler"&gt;0&lt;/Valeur&gt;&lt;Valeur name="compta"&gt;1&lt;/Valeur&gt;&lt;Valeur name="valeur"&gt;77.6&lt;/Valeur&gt;&lt;/Insert&gt;</v>
      </c>
    </row>
    <row r="234" spans="1:40" x14ac:dyDescent="0.25">
      <c r="A234" t="s">
        <v>471</v>
      </c>
      <c r="B234">
        <v>209</v>
      </c>
      <c r="C234" s="1">
        <v>43558</v>
      </c>
      <c r="D234">
        <v>1</v>
      </c>
      <c r="E234" t="str">
        <f>IF(F234&lt;&gt;"",INDEX(Balance!A:A,MATCH(F234,Balance!B:B,0)),"")</f>
        <v>Depense</v>
      </c>
      <c r="F234" t="s">
        <v>257</v>
      </c>
      <c r="G234" t="s">
        <v>472</v>
      </c>
      <c r="I234" s="10">
        <v>611.45000000000005</v>
      </c>
      <c r="L234" s="10">
        <f t="shared" si="88"/>
        <v>15933.53000000001</v>
      </c>
      <c r="N234">
        <v>209</v>
      </c>
      <c r="O234">
        <v>1</v>
      </c>
      <c r="P234">
        <v>1</v>
      </c>
      <c r="Q234" t="str">
        <f t="shared" si="70"/>
        <v>300760283626261100200EUR201904030619874400</v>
      </c>
      <c r="R234" s="16" t="s">
        <v>969</v>
      </c>
      <c r="S234" t="str">
        <f t="shared" si="71"/>
        <v>INTERETS-FRAIS/ARRETE DE COMPTE</v>
      </c>
      <c r="U234">
        <f>IFERROR(VLOOKUP(F234,tab!A:B,2,FALSE),1)</f>
        <v>18</v>
      </c>
      <c r="V234" s="14">
        <f t="shared" si="72"/>
        <v>15933.53000000001</v>
      </c>
      <c r="W234">
        <f t="shared" si="73"/>
        <v>0</v>
      </c>
      <c r="X234">
        <f t="shared" si="74"/>
        <v>1</v>
      </c>
      <c r="Y234" s="14">
        <f t="shared" si="75"/>
        <v>611.45000000000005</v>
      </c>
      <c r="AA234" t="str">
        <f t="shared" si="76"/>
        <v>&lt;Valeur name="no"&gt;209&lt;/Valeur&gt;</v>
      </c>
      <c r="AB234" t="str">
        <f t="shared" si="76"/>
        <v>&lt;Valeur name="banque"&gt;1&lt;/Valeur&gt;</v>
      </c>
      <c r="AC234" t="str">
        <f t="shared" si="78"/>
        <v>&lt;Valeur name="pointer"&gt;1&lt;/Valeur&gt;</v>
      </c>
      <c r="AD234" t="str">
        <f t="shared" si="79"/>
        <v>&lt;Valeur name="idbanque"&gt;300760283626261100200EUR201904030619874400&lt;/Valeur&gt;</v>
      </c>
      <c r="AE234" t="str">
        <f t="shared" si="80"/>
        <v>&lt;Valeur name="datevaleur"&gt;2019/04/03&lt;/Valeur&gt;</v>
      </c>
      <c r="AF234" t="str">
        <f t="shared" si="81"/>
        <v>&lt;Valeur name="intitule"&gt;INTERETS-FRAIS/ARRETE DE COMPTE&lt;/Valeur&gt;</v>
      </c>
      <c r="AG234" t="str">
        <f t="shared" si="82"/>
        <v>&lt;Valeur name="description"&gt;&lt;/Valeur&gt;</v>
      </c>
      <c r="AH234" t="str">
        <f t="shared" si="83"/>
        <v>&lt;Valeur name="compte"&gt;18&lt;/Valeur&gt;</v>
      </c>
      <c r="AI234" t="str">
        <f t="shared" si="84"/>
        <v>&lt;Valeur name="solde"&gt;15933.53&lt;/Valeur&gt;</v>
      </c>
      <c r="AJ234" t="str">
        <f t="shared" si="85"/>
        <v>&lt;Valeur name="ventiler"&gt;0&lt;/Valeur&gt;</v>
      </c>
      <c r="AK234" t="str">
        <f t="shared" si="86"/>
        <v>&lt;Valeur name="compta"&gt;1&lt;/Valeur&gt;</v>
      </c>
      <c r="AL234" t="str">
        <f t="shared" si="87"/>
        <v>&lt;Valeur name="valeur"&gt;611.45&lt;/Valeur&gt;</v>
      </c>
      <c r="AN234" t="str">
        <f t="shared" si="77"/>
        <v>&lt;Insert&gt;&lt;Valeur name="no"&gt;209&lt;/Valeur&gt;&lt;Valeur name="banque"&gt;1&lt;/Valeur&gt;&lt;Valeur name="pointer"&gt;1&lt;/Valeur&gt;&lt;Valeur name="idbanque"&gt;300760283626261100200EUR201904030619874400&lt;/Valeur&gt;&lt;Valeur name="datevaleur"&gt;2019/04/03&lt;/Valeur&gt;&lt;Valeur name="intitule"&gt;INTERETS-FRAIS/ARRETE DE COMPTE&lt;/Valeur&gt;&lt;Valeur name="description"&gt;&lt;/Valeur&gt;&lt;Valeur name="compte"&gt;18&lt;/Valeur&gt;&lt;Valeur name="solde"&gt;15933.53&lt;/Valeur&gt;&lt;Valeur name="ventiler"&gt;0&lt;/Valeur&gt;&lt;Valeur name="compta"&gt;1&lt;/Valeur&gt;&lt;Valeur name="valeur"&gt;611.45&lt;/Valeur&gt;&lt;/Insert&gt;</v>
      </c>
    </row>
    <row r="235" spans="1:40" x14ac:dyDescent="0.25">
      <c r="A235" t="s">
        <v>473</v>
      </c>
      <c r="B235">
        <v>210</v>
      </c>
      <c r="C235" s="1">
        <v>43558</v>
      </c>
      <c r="D235">
        <v>1</v>
      </c>
      <c r="E235" t="str">
        <f>IF(F235&lt;&gt;"",INDEX(Balance!A:A,MATCH(F235,Balance!B:B,0)),"")</f>
        <v>Depense</v>
      </c>
      <c r="F235" t="s">
        <v>257</v>
      </c>
      <c r="G235" t="s">
        <v>156</v>
      </c>
      <c r="J235" s="10">
        <v>0</v>
      </c>
      <c r="L235" s="10">
        <f t="shared" si="88"/>
        <v>15933.53000000001</v>
      </c>
      <c r="N235">
        <v>210</v>
      </c>
      <c r="O235">
        <v>1</v>
      </c>
      <c r="P235">
        <v>1</v>
      </c>
      <c r="Q235" t="str">
        <f t="shared" si="70"/>
        <v>300760283626261100200EUR201904030842634000</v>
      </c>
      <c r="R235" s="16" t="s">
        <v>969</v>
      </c>
      <c r="S235" t="str">
        <f t="shared" si="71"/>
        <v>INTERNET PRO (GRATUIT AVEC C.ALL</v>
      </c>
      <c r="U235">
        <f>IFERROR(VLOOKUP(F235,tab!A:B,2,FALSE),1)</f>
        <v>18</v>
      </c>
      <c r="V235" s="14">
        <f t="shared" si="72"/>
        <v>15933.53000000001</v>
      </c>
      <c r="W235">
        <f t="shared" si="73"/>
        <v>0</v>
      </c>
      <c r="X235">
        <f t="shared" si="74"/>
        <v>1</v>
      </c>
      <c r="Y235" s="14">
        <f t="shared" si="75"/>
        <v>0</v>
      </c>
      <c r="AA235" t="str">
        <f t="shared" si="76"/>
        <v>&lt;Valeur name="no"&gt;210&lt;/Valeur&gt;</v>
      </c>
      <c r="AB235" t="str">
        <f t="shared" si="76"/>
        <v>&lt;Valeur name="banque"&gt;1&lt;/Valeur&gt;</v>
      </c>
      <c r="AC235" t="str">
        <f t="shared" si="78"/>
        <v>&lt;Valeur name="pointer"&gt;1&lt;/Valeur&gt;</v>
      </c>
      <c r="AD235" t="str">
        <f t="shared" si="79"/>
        <v>&lt;Valeur name="idbanque"&gt;300760283626261100200EUR201904030842634000&lt;/Valeur&gt;</v>
      </c>
      <c r="AE235" t="str">
        <f t="shared" si="80"/>
        <v>&lt;Valeur name="datevaleur"&gt;2019/04/03&lt;/Valeur&gt;</v>
      </c>
      <c r="AF235" t="str">
        <f t="shared" si="81"/>
        <v>&lt;Valeur name="intitule"&gt;INTERNET PRO (GRATUIT AVEC C.ALL&lt;/Valeur&gt;</v>
      </c>
      <c r="AG235" t="str">
        <f t="shared" si="82"/>
        <v>&lt;Valeur name="description"&gt;&lt;/Valeur&gt;</v>
      </c>
      <c r="AH235" t="str">
        <f t="shared" si="83"/>
        <v>&lt;Valeur name="compte"&gt;18&lt;/Valeur&gt;</v>
      </c>
      <c r="AI235" t="str">
        <f t="shared" si="84"/>
        <v>&lt;Valeur name="solde"&gt;15933.53&lt;/Valeur&gt;</v>
      </c>
      <c r="AJ235" t="str">
        <f t="shared" si="85"/>
        <v>&lt;Valeur name="ventiler"&gt;0&lt;/Valeur&gt;</v>
      </c>
      <c r="AK235" t="str">
        <f t="shared" si="86"/>
        <v>&lt;Valeur name="compta"&gt;1&lt;/Valeur&gt;</v>
      </c>
      <c r="AL235" t="str">
        <f t="shared" si="87"/>
        <v>&lt;Valeur name="valeur"&gt;0&lt;/Valeur&gt;</v>
      </c>
      <c r="AN235" t="str">
        <f t="shared" si="77"/>
        <v>&lt;Insert&gt;&lt;Valeur name="no"&gt;210&lt;/Valeur&gt;&lt;Valeur name="banque"&gt;1&lt;/Valeur&gt;&lt;Valeur name="pointer"&gt;1&lt;/Valeur&gt;&lt;Valeur name="idbanque"&gt;300760283626261100200EUR201904030842634000&lt;/Valeur&gt;&lt;Valeur name="datevaleur"&gt;2019/04/03&lt;/Valeur&gt;&lt;Valeur name="intitule"&gt;INTERNET PRO (GRATUIT AVEC C.ALL&lt;/Valeur&gt;&lt;Valeur name="description"&gt;&lt;/Valeur&gt;&lt;Valeur name="compte"&gt;18&lt;/Valeur&gt;&lt;Valeur name="solde"&gt;15933.53&lt;/Valeur&gt;&lt;Valeur name="ventiler"&gt;0&lt;/Valeur&gt;&lt;Valeur name="compta"&gt;1&lt;/Valeur&gt;&lt;Valeur name="valeur"&gt;0&lt;/Valeur&gt;&lt;/Insert&gt;</v>
      </c>
    </row>
    <row r="236" spans="1:40" x14ac:dyDescent="0.25">
      <c r="A236" t="s">
        <v>474</v>
      </c>
      <c r="B236">
        <v>211</v>
      </c>
      <c r="C236" s="1">
        <v>43558</v>
      </c>
      <c r="D236">
        <v>1</v>
      </c>
      <c r="E236" t="str">
        <f>IF(F236&lt;&gt;"",INDEX(Balance!A:A,MATCH(F236,Balance!B:B,0)),"")</f>
        <v>Depense</v>
      </c>
      <c r="F236" t="s">
        <v>253</v>
      </c>
      <c r="G236" t="s">
        <v>122</v>
      </c>
      <c r="I236" s="10">
        <v>82.42</v>
      </c>
      <c r="K236" s="11">
        <f t="shared" ref="K236" si="89">IF(I236&gt;0,I236-(I236/TVA),-(J236-(J236/TVA)))</f>
        <v>13.736666666666665</v>
      </c>
      <c r="L236" s="10">
        <f t="shared" si="88"/>
        <v>15851.11000000001</v>
      </c>
      <c r="N236">
        <v>211</v>
      </c>
      <c r="O236">
        <v>1</v>
      </c>
      <c r="P236">
        <v>1</v>
      </c>
      <c r="Q236" t="str">
        <f t="shared" si="70"/>
        <v>300760283626261100200EUR201904031079601800</v>
      </c>
      <c r="R236" s="16" t="s">
        <v>969</v>
      </c>
      <c r="S236" t="str">
        <f t="shared" si="71"/>
        <v>CB 548222 DAC SM MATC 59BAVAY</v>
      </c>
      <c r="U236">
        <f>IFERROR(VLOOKUP(F236,tab!A:B,2,FALSE),1)</f>
        <v>13</v>
      </c>
      <c r="V236" s="14">
        <f t="shared" si="72"/>
        <v>15851.11000000001</v>
      </c>
      <c r="W236">
        <f t="shared" si="73"/>
        <v>0</v>
      </c>
      <c r="X236">
        <f t="shared" si="74"/>
        <v>1</v>
      </c>
      <c r="Y236" s="14">
        <f t="shared" si="75"/>
        <v>82.42</v>
      </c>
      <c r="AA236" t="str">
        <f t="shared" si="76"/>
        <v>&lt;Valeur name="no"&gt;211&lt;/Valeur&gt;</v>
      </c>
      <c r="AB236" t="str">
        <f t="shared" si="76"/>
        <v>&lt;Valeur name="banque"&gt;1&lt;/Valeur&gt;</v>
      </c>
      <c r="AC236" t="str">
        <f t="shared" si="78"/>
        <v>&lt;Valeur name="pointer"&gt;1&lt;/Valeur&gt;</v>
      </c>
      <c r="AD236" t="str">
        <f t="shared" si="79"/>
        <v>&lt;Valeur name="idbanque"&gt;300760283626261100200EUR201904031079601800&lt;/Valeur&gt;</v>
      </c>
      <c r="AE236" t="str">
        <f t="shared" si="80"/>
        <v>&lt;Valeur name="datevaleur"&gt;2019/04/03&lt;/Valeur&gt;</v>
      </c>
      <c r="AF236" t="str">
        <f t="shared" si="81"/>
        <v>&lt;Valeur name="intitule"&gt;CB 548222 DAC SM MATC 59BAVAY&lt;/Valeur&gt;</v>
      </c>
      <c r="AG236" t="str">
        <f t="shared" si="82"/>
        <v>&lt;Valeur name="description"&gt;&lt;/Valeur&gt;</v>
      </c>
      <c r="AH236" t="str">
        <f t="shared" si="83"/>
        <v>&lt;Valeur name="compte"&gt;13&lt;/Valeur&gt;</v>
      </c>
      <c r="AI236" t="str">
        <f t="shared" si="84"/>
        <v>&lt;Valeur name="solde"&gt;15851.11&lt;/Valeur&gt;</v>
      </c>
      <c r="AJ236" t="str">
        <f t="shared" si="85"/>
        <v>&lt;Valeur name="ventiler"&gt;0&lt;/Valeur&gt;</v>
      </c>
      <c r="AK236" t="str">
        <f t="shared" si="86"/>
        <v>&lt;Valeur name="compta"&gt;1&lt;/Valeur&gt;</v>
      </c>
      <c r="AL236" t="str">
        <f t="shared" si="87"/>
        <v>&lt;Valeur name="valeur"&gt;82.42&lt;/Valeur&gt;</v>
      </c>
      <c r="AN236" t="str">
        <f t="shared" si="77"/>
        <v>&lt;Insert&gt;&lt;Valeur name="no"&gt;211&lt;/Valeur&gt;&lt;Valeur name="banque"&gt;1&lt;/Valeur&gt;&lt;Valeur name="pointer"&gt;1&lt;/Valeur&gt;&lt;Valeur name="idbanque"&gt;300760283626261100200EUR201904031079601800&lt;/Valeur&gt;&lt;Valeur name="datevaleur"&gt;2019/04/03&lt;/Valeur&gt;&lt;Valeur name="intitule"&gt;CB 548222 DAC SM MATC 59BAVAY&lt;/Valeur&gt;&lt;Valeur name="description"&gt;&lt;/Valeur&gt;&lt;Valeur name="compte"&gt;13&lt;/Valeur&gt;&lt;Valeur name="solde"&gt;15851.11&lt;/Valeur&gt;&lt;Valeur name="ventiler"&gt;0&lt;/Valeur&gt;&lt;Valeur name="compta"&gt;1&lt;/Valeur&gt;&lt;Valeur name="valeur"&gt;82.42&lt;/Valeur&gt;&lt;/Insert&gt;</v>
      </c>
    </row>
    <row r="237" spans="1:40" x14ac:dyDescent="0.25">
      <c r="A237" t="s">
        <v>475</v>
      </c>
      <c r="B237">
        <v>212</v>
      </c>
      <c r="C237" s="1">
        <v>43558</v>
      </c>
      <c r="D237">
        <v>1</v>
      </c>
      <c r="E237" t="str">
        <f>IF(F237&lt;&gt;"",INDEX(Balance!A:A,MATCH(F237,Balance!B:B,0)),"")</f>
        <v>Depense</v>
      </c>
      <c r="F237" t="s">
        <v>254</v>
      </c>
      <c r="G237" t="s">
        <v>7</v>
      </c>
      <c r="I237" s="10">
        <v>29.5</v>
      </c>
      <c r="K237" s="11">
        <f>IF(I237&gt;0,I237-(I237/TVA),-(J237-(J237/TVA)))</f>
        <v>4.9166666666666643</v>
      </c>
      <c r="L237" s="10">
        <f t="shared" si="88"/>
        <v>15821.61000000001</v>
      </c>
      <c r="N237">
        <v>212</v>
      </c>
      <c r="O237">
        <v>1</v>
      </c>
      <c r="P237">
        <v>1</v>
      </c>
      <c r="Q237" t="str">
        <f t="shared" si="70"/>
        <v>300760283626261100200EUR201904031079601900</v>
      </c>
      <c r="R237" s="16" t="s">
        <v>969</v>
      </c>
      <c r="S237" t="str">
        <f t="shared" si="71"/>
        <v>CB 454106 SNACK THIER 59BAVAY</v>
      </c>
      <c r="U237">
        <f>IFERROR(VLOOKUP(F237,tab!A:B,2,FALSE),1)</f>
        <v>27</v>
      </c>
      <c r="V237" s="14">
        <f t="shared" si="72"/>
        <v>15821.61000000001</v>
      </c>
      <c r="W237">
        <f t="shared" si="73"/>
        <v>0</v>
      </c>
      <c r="X237">
        <f t="shared" si="74"/>
        <v>1</v>
      </c>
      <c r="Y237" s="14">
        <f t="shared" si="75"/>
        <v>29.5</v>
      </c>
      <c r="AA237" t="str">
        <f t="shared" si="76"/>
        <v>&lt;Valeur name="no"&gt;212&lt;/Valeur&gt;</v>
      </c>
      <c r="AB237" t="str">
        <f t="shared" si="76"/>
        <v>&lt;Valeur name="banque"&gt;1&lt;/Valeur&gt;</v>
      </c>
      <c r="AC237" t="str">
        <f t="shared" si="78"/>
        <v>&lt;Valeur name="pointer"&gt;1&lt;/Valeur&gt;</v>
      </c>
      <c r="AD237" t="str">
        <f t="shared" si="79"/>
        <v>&lt;Valeur name="idbanque"&gt;300760283626261100200EUR201904031079601900&lt;/Valeur&gt;</v>
      </c>
      <c r="AE237" t="str">
        <f t="shared" si="80"/>
        <v>&lt;Valeur name="datevaleur"&gt;2019/04/03&lt;/Valeur&gt;</v>
      </c>
      <c r="AF237" t="str">
        <f t="shared" si="81"/>
        <v>&lt;Valeur name="intitule"&gt;CB 454106 SNACK THIER 59BAVAY&lt;/Valeur&gt;</v>
      </c>
      <c r="AG237" t="str">
        <f t="shared" si="82"/>
        <v>&lt;Valeur name="description"&gt;&lt;/Valeur&gt;</v>
      </c>
      <c r="AH237" t="str">
        <f t="shared" si="83"/>
        <v>&lt;Valeur name="compte"&gt;27&lt;/Valeur&gt;</v>
      </c>
      <c r="AI237" t="str">
        <f t="shared" si="84"/>
        <v>&lt;Valeur name="solde"&gt;15821.61&lt;/Valeur&gt;</v>
      </c>
      <c r="AJ237" t="str">
        <f t="shared" si="85"/>
        <v>&lt;Valeur name="ventiler"&gt;0&lt;/Valeur&gt;</v>
      </c>
      <c r="AK237" t="str">
        <f t="shared" si="86"/>
        <v>&lt;Valeur name="compta"&gt;1&lt;/Valeur&gt;</v>
      </c>
      <c r="AL237" t="str">
        <f t="shared" si="87"/>
        <v>&lt;Valeur name="valeur"&gt;29.5&lt;/Valeur&gt;</v>
      </c>
      <c r="AN237" t="str">
        <f t="shared" si="77"/>
        <v>&lt;Insert&gt;&lt;Valeur name="no"&gt;212&lt;/Valeur&gt;&lt;Valeur name="banque"&gt;1&lt;/Valeur&gt;&lt;Valeur name="pointer"&gt;1&lt;/Valeur&gt;&lt;Valeur name="idbanque"&gt;300760283626261100200EUR201904031079601900&lt;/Valeur&gt;&lt;Valeur name="datevaleur"&gt;2019/04/03&lt;/Valeur&gt;&lt;Valeur name="intitule"&gt;CB 454106 SNACK THIER 59BAVAY&lt;/Valeur&gt;&lt;Valeur name="description"&gt;&lt;/Valeur&gt;&lt;Valeur name="compte"&gt;27&lt;/Valeur&gt;&lt;Valeur name="solde"&gt;15821.61&lt;/Valeur&gt;&lt;Valeur name="ventiler"&gt;0&lt;/Valeur&gt;&lt;Valeur name="compta"&gt;1&lt;/Valeur&gt;&lt;Valeur name="valeur"&gt;29.5&lt;/Valeur&gt;&lt;/Insert&gt;</v>
      </c>
    </row>
    <row r="238" spans="1:40" x14ac:dyDescent="0.25">
      <c r="A238" t="s">
        <v>476</v>
      </c>
      <c r="B238">
        <v>213</v>
      </c>
      <c r="C238" s="1">
        <v>43558</v>
      </c>
      <c r="D238">
        <v>1</v>
      </c>
      <c r="E238" t="str">
        <f>IF(F238&lt;&gt;"",INDEX(Balance!A:A,MATCH(F238,Balance!B:B,0)),"")</f>
        <v>Depense</v>
      </c>
      <c r="F238" t="s">
        <v>253</v>
      </c>
      <c r="G238" t="s">
        <v>27</v>
      </c>
      <c r="I238" s="10">
        <v>69.22</v>
      </c>
      <c r="K238" s="11">
        <f t="shared" ref="K238:K278" si="90">IF(I238&gt;0,I238-(I238/TVA),-(J238-(J238/TVA)))</f>
        <v>11.536666666666662</v>
      </c>
      <c r="L238" s="10">
        <f t="shared" si="88"/>
        <v>15752.39000000001</v>
      </c>
      <c r="N238">
        <v>213</v>
      </c>
      <c r="O238">
        <v>1</v>
      </c>
      <c r="P238">
        <v>1</v>
      </c>
      <c r="Q238" t="str">
        <f t="shared" si="70"/>
        <v>300760283626261100200EUR201904031079602000</v>
      </c>
      <c r="R238" s="16" t="s">
        <v>969</v>
      </c>
      <c r="S238" t="str">
        <f t="shared" si="71"/>
        <v>CB 454106 CARREFOUR D 59AULNOY L</v>
      </c>
      <c r="U238">
        <f>IFERROR(VLOOKUP(F238,tab!A:B,2,FALSE),1)</f>
        <v>13</v>
      </c>
      <c r="V238" s="14">
        <f t="shared" si="72"/>
        <v>15752.39000000001</v>
      </c>
      <c r="W238">
        <f t="shared" si="73"/>
        <v>0</v>
      </c>
      <c r="X238">
        <f t="shared" si="74"/>
        <v>1</v>
      </c>
      <c r="Y238" s="14">
        <f t="shared" si="75"/>
        <v>69.22</v>
      </c>
      <c r="AA238" t="str">
        <f t="shared" si="76"/>
        <v>&lt;Valeur name="no"&gt;213&lt;/Valeur&gt;</v>
      </c>
      <c r="AB238" t="str">
        <f t="shared" si="76"/>
        <v>&lt;Valeur name="banque"&gt;1&lt;/Valeur&gt;</v>
      </c>
      <c r="AC238" t="str">
        <f t="shared" si="78"/>
        <v>&lt;Valeur name="pointer"&gt;1&lt;/Valeur&gt;</v>
      </c>
      <c r="AD238" t="str">
        <f t="shared" si="79"/>
        <v>&lt;Valeur name="idbanque"&gt;300760283626261100200EUR201904031079602000&lt;/Valeur&gt;</v>
      </c>
      <c r="AE238" t="str">
        <f t="shared" si="80"/>
        <v>&lt;Valeur name="datevaleur"&gt;2019/04/03&lt;/Valeur&gt;</v>
      </c>
      <c r="AF238" t="str">
        <f t="shared" si="81"/>
        <v>&lt;Valeur name="intitule"&gt;CB 454106 CARREFOUR D 59AULNOY L&lt;/Valeur&gt;</v>
      </c>
      <c r="AG238" t="str">
        <f t="shared" si="82"/>
        <v>&lt;Valeur name="description"&gt;&lt;/Valeur&gt;</v>
      </c>
      <c r="AH238" t="str">
        <f t="shared" si="83"/>
        <v>&lt;Valeur name="compte"&gt;13&lt;/Valeur&gt;</v>
      </c>
      <c r="AI238" t="str">
        <f t="shared" si="84"/>
        <v>&lt;Valeur name="solde"&gt;15752.39&lt;/Valeur&gt;</v>
      </c>
      <c r="AJ238" t="str">
        <f t="shared" si="85"/>
        <v>&lt;Valeur name="ventiler"&gt;0&lt;/Valeur&gt;</v>
      </c>
      <c r="AK238" t="str">
        <f t="shared" si="86"/>
        <v>&lt;Valeur name="compta"&gt;1&lt;/Valeur&gt;</v>
      </c>
      <c r="AL238" t="str">
        <f t="shared" si="87"/>
        <v>&lt;Valeur name="valeur"&gt;69.22&lt;/Valeur&gt;</v>
      </c>
      <c r="AN238" t="str">
        <f t="shared" si="77"/>
        <v>&lt;Insert&gt;&lt;Valeur name="no"&gt;213&lt;/Valeur&gt;&lt;Valeur name="banque"&gt;1&lt;/Valeur&gt;&lt;Valeur name="pointer"&gt;1&lt;/Valeur&gt;&lt;Valeur name="idbanque"&gt;300760283626261100200EUR201904031079602000&lt;/Valeur&gt;&lt;Valeur name="datevaleur"&gt;2019/04/03&lt;/Valeur&gt;&lt;Valeur name="intitule"&gt;CB 454106 CARREFOUR D 59AULNOY L&lt;/Valeur&gt;&lt;Valeur name="description"&gt;&lt;/Valeur&gt;&lt;Valeur name="compte"&gt;13&lt;/Valeur&gt;&lt;Valeur name="solde"&gt;15752.39&lt;/Valeur&gt;&lt;Valeur name="ventiler"&gt;0&lt;/Valeur&gt;&lt;Valeur name="compta"&gt;1&lt;/Valeur&gt;&lt;Valeur name="valeur"&gt;69.22&lt;/Valeur&gt;&lt;/Insert&gt;</v>
      </c>
    </row>
    <row r="239" spans="1:40" x14ac:dyDescent="0.25">
      <c r="A239" t="s">
        <v>477</v>
      </c>
      <c r="B239">
        <v>214</v>
      </c>
      <c r="C239" s="1">
        <v>43558</v>
      </c>
      <c r="D239">
        <v>1</v>
      </c>
      <c r="E239" t="str">
        <f>IF(F239&lt;&gt;"",INDEX(Balance!A:A,MATCH(F239,Balance!B:B,0)),"")</f>
        <v>Depense</v>
      </c>
      <c r="F239" t="s">
        <v>256</v>
      </c>
      <c r="G239" t="s">
        <v>478</v>
      </c>
      <c r="H239" t="s">
        <v>500</v>
      </c>
      <c r="I239" s="10">
        <v>1814.95</v>
      </c>
      <c r="K239" s="11">
        <f t="shared" si="90"/>
        <v>302.49166666666656</v>
      </c>
      <c r="L239" s="10">
        <f t="shared" si="88"/>
        <v>13937.44000000001</v>
      </c>
      <c r="N239">
        <v>214</v>
      </c>
      <c r="O239">
        <v>1</v>
      </c>
      <c r="P239">
        <v>1</v>
      </c>
      <c r="Q239" t="str">
        <f t="shared" si="70"/>
        <v>300760283626261100200EUR201904033360983400</v>
      </c>
      <c r="R239" s="16" t="s">
        <v>969</v>
      </c>
      <c r="S239" t="str">
        <f t="shared" si="71"/>
        <v>CHEQUE  N 1000067 / Salaire Alex Avril 2018</v>
      </c>
      <c r="U239">
        <f>IFERROR(VLOOKUP(F239,tab!A:B,2,FALSE),1)</f>
        <v>28</v>
      </c>
      <c r="V239" s="14">
        <f t="shared" si="72"/>
        <v>13937.44000000001</v>
      </c>
      <c r="W239">
        <f t="shared" si="73"/>
        <v>0</v>
      </c>
      <c r="X239">
        <f t="shared" si="74"/>
        <v>1</v>
      </c>
      <c r="Y239" s="14">
        <f t="shared" si="75"/>
        <v>1814.95</v>
      </c>
      <c r="AA239" t="str">
        <f t="shared" si="76"/>
        <v>&lt;Valeur name="no"&gt;214&lt;/Valeur&gt;</v>
      </c>
      <c r="AB239" t="str">
        <f t="shared" si="76"/>
        <v>&lt;Valeur name="banque"&gt;1&lt;/Valeur&gt;</v>
      </c>
      <c r="AC239" t="str">
        <f t="shared" si="78"/>
        <v>&lt;Valeur name="pointer"&gt;1&lt;/Valeur&gt;</v>
      </c>
      <c r="AD239" t="str">
        <f t="shared" si="79"/>
        <v>&lt;Valeur name="idbanque"&gt;300760283626261100200EUR201904033360983400&lt;/Valeur&gt;</v>
      </c>
      <c r="AE239" t="str">
        <f t="shared" si="80"/>
        <v>&lt;Valeur name="datevaleur"&gt;2019/04/03&lt;/Valeur&gt;</v>
      </c>
      <c r="AF239" t="str">
        <f t="shared" si="81"/>
        <v>&lt;Valeur name="intitule"&gt;CHEQUE  N 1000067 / Salaire Alex Avril 2018&lt;/Valeur&gt;</v>
      </c>
      <c r="AG239" t="str">
        <f t="shared" si="82"/>
        <v>&lt;Valeur name="description"&gt;&lt;/Valeur&gt;</v>
      </c>
      <c r="AH239" t="str">
        <f t="shared" si="83"/>
        <v>&lt;Valeur name="compte"&gt;28&lt;/Valeur&gt;</v>
      </c>
      <c r="AI239" t="str">
        <f t="shared" si="84"/>
        <v>&lt;Valeur name="solde"&gt;13937.44&lt;/Valeur&gt;</v>
      </c>
      <c r="AJ239" t="str">
        <f t="shared" si="85"/>
        <v>&lt;Valeur name="ventiler"&gt;0&lt;/Valeur&gt;</v>
      </c>
      <c r="AK239" t="str">
        <f t="shared" si="86"/>
        <v>&lt;Valeur name="compta"&gt;1&lt;/Valeur&gt;</v>
      </c>
      <c r="AL239" t="str">
        <f t="shared" si="87"/>
        <v>&lt;Valeur name="valeur"&gt;1814.95&lt;/Valeur&gt;</v>
      </c>
      <c r="AN239" t="str">
        <f t="shared" si="77"/>
        <v>&lt;Insert&gt;&lt;Valeur name="no"&gt;214&lt;/Valeur&gt;&lt;Valeur name="banque"&gt;1&lt;/Valeur&gt;&lt;Valeur name="pointer"&gt;1&lt;/Valeur&gt;&lt;Valeur name="idbanque"&gt;300760283626261100200EUR201904033360983400&lt;/Valeur&gt;&lt;Valeur name="datevaleur"&gt;2019/04/03&lt;/Valeur&gt;&lt;Valeur name="intitule"&gt;CHEQUE  N 1000067 / Salaire Alex Avril 2018&lt;/Valeur&gt;&lt;Valeur name="description"&gt;&lt;/Valeur&gt;&lt;Valeur name="compte"&gt;28&lt;/Valeur&gt;&lt;Valeur name="solde"&gt;13937.44&lt;/Valeur&gt;&lt;Valeur name="ventiler"&gt;0&lt;/Valeur&gt;&lt;Valeur name="compta"&gt;1&lt;/Valeur&gt;&lt;Valeur name="valeur"&gt;1814.95&lt;/Valeur&gt;&lt;/Insert&gt;</v>
      </c>
    </row>
    <row r="240" spans="1:40" x14ac:dyDescent="0.25">
      <c r="A240" t="s">
        <v>479</v>
      </c>
      <c r="B240">
        <v>215</v>
      </c>
      <c r="C240" s="1">
        <v>43558</v>
      </c>
      <c r="D240">
        <v>1</v>
      </c>
      <c r="E240" t="str">
        <f>IF(F240&lt;&gt;"",INDEX(Balance!A:A,MATCH(F240,Balance!B:B,0)),"")</f>
        <v>Depense</v>
      </c>
      <c r="F240" t="s">
        <v>257</v>
      </c>
      <c r="G240" t="s">
        <v>480</v>
      </c>
      <c r="I240" s="10">
        <v>15.42</v>
      </c>
      <c r="K240" s="11">
        <f t="shared" si="90"/>
        <v>2.5700000000000003</v>
      </c>
      <c r="L240" s="10">
        <f t="shared" si="88"/>
        <v>13922.02000000001</v>
      </c>
      <c r="N240">
        <v>215</v>
      </c>
      <c r="O240">
        <v>1</v>
      </c>
      <c r="P240">
        <v>1</v>
      </c>
      <c r="Q240" t="str">
        <f t="shared" si="70"/>
        <v>300760283626261100200EUR201904035810731100</v>
      </c>
      <c r="R240" s="16" t="s">
        <v>969</v>
      </c>
      <c r="S240" t="str">
        <f t="shared" si="71"/>
        <v>ASSURANCE EMPRUNTEUR</v>
      </c>
      <c r="U240">
        <f>IFERROR(VLOOKUP(F240,tab!A:B,2,FALSE),1)</f>
        <v>18</v>
      </c>
      <c r="V240" s="14">
        <f t="shared" si="72"/>
        <v>13922.02000000001</v>
      </c>
      <c r="W240">
        <f t="shared" si="73"/>
        <v>0</v>
      </c>
      <c r="X240">
        <f t="shared" si="74"/>
        <v>1</v>
      </c>
      <c r="Y240" s="14">
        <f t="shared" si="75"/>
        <v>15.42</v>
      </c>
      <c r="AA240" t="str">
        <f t="shared" si="76"/>
        <v>&lt;Valeur name="no"&gt;215&lt;/Valeur&gt;</v>
      </c>
      <c r="AB240" t="str">
        <f t="shared" si="76"/>
        <v>&lt;Valeur name="banque"&gt;1&lt;/Valeur&gt;</v>
      </c>
      <c r="AC240" t="str">
        <f t="shared" si="78"/>
        <v>&lt;Valeur name="pointer"&gt;1&lt;/Valeur&gt;</v>
      </c>
      <c r="AD240" t="str">
        <f t="shared" si="79"/>
        <v>&lt;Valeur name="idbanque"&gt;300760283626261100200EUR201904035810731100&lt;/Valeur&gt;</v>
      </c>
      <c r="AE240" t="str">
        <f t="shared" si="80"/>
        <v>&lt;Valeur name="datevaleur"&gt;2019/04/03&lt;/Valeur&gt;</v>
      </c>
      <c r="AF240" t="str">
        <f t="shared" si="81"/>
        <v>&lt;Valeur name="intitule"&gt;ASSURANCE EMPRUNTEUR&lt;/Valeur&gt;</v>
      </c>
      <c r="AG240" t="str">
        <f t="shared" si="82"/>
        <v>&lt;Valeur name="description"&gt;&lt;/Valeur&gt;</v>
      </c>
      <c r="AH240" t="str">
        <f t="shared" si="83"/>
        <v>&lt;Valeur name="compte"&gt;18&lt;/Valeur&gt;</v>
      </c>
      <c r="AI240" t="str">
        <f t="shared" si="84"/>
        <v>&lt;Valeur name="solde"&gt;13922.02&lt;/Valeur&gt;</v>
      </c>
      <c r="AJ240" t="str">
        <f t="shared" si="85"/>
        <v>&lt;Valeur name="ventiler"&gt;0&lt;/Valeur&gt;</v>
      </c>
      <c r="AK240" t="str">
        <f t="shared" si="86"/>
        <v>&lt;Valeur name="compta"&gt;1&lt;/Valeur&gt;</v>
      </c>
      <c r="AL240" t="str">
        <f t="shared" si="87"/>
        <v>&lt;Valeur name="valeur"&gt;15.42&lt;/Valeur&gt;</v>
      </c>
      <c r="AN240" t="str">
        <f t="shared" si="77"/>
        <v>&lt;Insert&gt;&lt;Valeur name="no"&gt;215&lt;/Valeur&gt;&lt;Valeur name="banque"&gt;1&lt;/Valeur&gt;&lt;Valeur name="pointer"&gt;1&lt;/Valeur&gt;&lt;Valeur name="idbanque"&gt;300760283626261100200EUR201904035810731100&lt;/Valeur&gt;&lt;Valeur name="datevaleur"&gt;2019/04/03&lt;/Valeur&gt;&lt;Valeur name="intitule"&gt;ASSURANCE EMPRUNTEUR&lt;/Valeur&gt;&lt;Valeur name="description"&gt;&lt;/Valeur&gt;&lt;Valeur name="compte"&gt;18&lt;/Valeur&gt;&lt;Valeur name="solde"&gt;13922.02&lt;/Valeur&gt;&lt;Valeur name="ventiler"&gt;0&lt;/Valeur&gt;&lt;Valeur name="compta"&gt;1&lt;/Valeur&gt;&lt;Valeur name="valeur"&gt;15.42&lt;/Valeur&gt;&lt;/Insert&gt;</v>
      </c>
    </row>
    <row r="241" spans="1:40" x14ac:dyDescent="0.25">
      <c r="A241" t="s">
        <v>481</v>
      </c>
      <c r="B241">
        <v>216</v>
      </c>
      <c r="C241" s="1">
        <v>43558</v>
      </c>
      <c r="D241">
        <v>1</v>
      </c>
      <c r="E241" t="str">
        <f>IF(F241&lt;&gt;"",INDEX(Balance!A:A,MATCH(F241,Balance!B:B,0)),"")</f>
        <v>Depense</v>
      </c>
      <c r="F241" t="s">
        <v>257</v>
      </c>
      <c r="G241" t="s">
        <v>31</v>
      </c>
      <c r="I241" s="10">
        <v>0.21</v>
      </c>
      <c r="K241" s="11">
        <f t="shared" si="90"/>
        <v>3.5000000000000003E-2</v>
      </c>
      <c r="L241" s="10">
        <f t="shared" si="88"/>
        <v>13921.81000000001</v>
      </c>
      <c r="N241">
        <v>216</v>
      </c>
      <c r="O241">
        <v>1</v>
      </c>
      <c r="P241">
        <v>1</v>
      </c>
      <c r="Q241" t="str">
        <f t="shared" si="70"/>
        <v>300760283626261100200EUR201904039224477200</v>
      </c>
      <c r="R241" s="16" t="s">
        <v>969</v>
      </c>
      <c r="S241" t="str">
        <f t="shared" si="71"/>
        <v>FRAIS E-VIR SEPA VERS EEE</v>
      </c>
      <c r="U241">
        <f>IFERROR(VLOOKUP(F241,tab!A:B,2,FALSE),1)</f>
        <v>18</v>
      </c>
      <c r="V241" s="14">
        <f t="shared" si="72"/>
        <v>13921.81000000001</v>
      </c>
      <c r="W241">
        <f t="shared" si="73"/>
        <v>0</v>
      </c>
      <c r="X241">
        <f t="shared" si="74"/>
        <v>1</v>
      </c>
      <c r="Y241" s="14">
        <f t="shared" si="75"/>
        <v>0.21</v>
      </c>
      <c r="AA241" t="str">
        <f t="shared" si="76"/>
        <v>&lt;Valeur name="no"&gt;216&lt;/Valeur&gt;</v>
      </c>
      <c r="AB241" t="str">
        <f t="shared" si="76"/>
        <v>&lt;Valeur name="banque"&gt;1&lt;/Valeur&gt;</v>
      </c>
      <c r="AC241" t="str">
        <f t="shared" si="78"/>
        <v>&lt;Valeur name="pointer"&gt;1&lt;/Valeur&gt;</v>
      </c>
      <c r="AD241" t="str">
        <f t="shared" si="79"/>
        <v>&lt;Valeur name="idbanque"&gt;300760283626261100200EUR201904039224477200&lt;/Valeur&gt;</v>
      </c>
      <c r="AE241" t="str">
        <f t="shared" si="80"/>
        <v>&lt;Valeur name="datevaleur"&gt;2019/04/03&lt;/Valeur&gt;</v>
      </c>
      <c r="AF241" t="str">
        <f t="shared" si="81"/>
        <v>&lt;Valeur name="intitule"&gt;FRAIS E-VIR SEPA VERS EEE&lt;/Valeur&gt;</v>
      </c>
      <c r="AG241" t="str">
        <f t="shared" si="82"/>
        <v>&lt;Valeur name="description"&gt;&lt;/Valeur&gt;</v>
      </c>
      <c r="AH241" t="str">
        <f t="shared" si="83"/>
        <v>&lt;Valeur name="compte"&gt;18&lt;/Valeur&gt;</v>
      </c>
      <c r="AI241" t="str">
        <f t="shared" si="84"/>
        <v>&lt;Valeur name="solde"&gt;13921.81&lt;/Valeur&gt;</v>
      </c>
      <c r="AJ241" t="str">
        <f t="shared" si="85"/>
        <v>&lt;Valeur name="ventiler"&gt;0&lt;/Valeur&gt;</v>
      </c>
      <c r="AK241" t="str">
        <f t="shared" si="86"/>
        <v>&lt;Valeur name="compta"&gt;1&lt;/Valeur&gt;</v>
      </c>
      <c r="AL241" t="str">
        <f t="shared" si="87"/>
        <v>&lt;Valeur name="valeur"&gt;0.21&lt;/Valeur&gt;</v>
      </c>
      <c r="AN241" t="str">
        <f t="shared" si="77"/>
        <v>&lt;Insert&gt;&lt;Valeur name="no"&gt;216&lt;/Valeur&gt;&lt;Valeur name="banque"&gt;1&lt;/Valeur&gt;&lt;Valeur name="pointer"&gt;1&lt;/Valeur&gt;&lt;Valeur name="idbanque"&gt;300760283626261100200EUR201904039224477200&lt;/Valeur&gt;&lt;Valeur name="datevaleur"&gt;2019/04/03&lt;/Valeur&gt;&lt;Valeur name="intitule"&gt;FRAIS E-VIR SEPA VERS EEE&lt;/Valeur&gt;&lt;Valeur name="description"&gt;&lt;/Valeur&gt;&lt;Valeur name="compte"&gt;18&lt;/Valeur&gt;&lt;Valeur name="solde"&gt;13921.81&lt;/Valeur&gt;&lt;Valeur name="ventiler"&gt;0&lt;/Valeur&gt;&lt;Valeur name="compta"&gt;1&lt;/Valeur&gt;&lt;Valeur name="valeur"&gt;0.21&lt;/Valeur&gt;&lt;/Insert&gt;</v>
      </c>
    </row>
    <row r="242" spans="1:40" x14ac:dyDescent="0.25">
      <c r="A242" t="s">
        <v>482</v>
      </c>
      <c r="B242">
        <v>217</v>
      </c>
      <c r="C242" s="1">
        <v>43558</v>
      </c>
      <c r="D242">
        <v>1</v>
      </c>
      <c r="E242" t="str">
        <f>IF(F242&lt;&gt;"",INDEX(Balance!A:A,MATCH(F242,Balance!B:B,0)),"")</f>
        <v>Depense</v>
      </c>
      <c r="F242" t="s">
        <v>257</v>
      </c>
      <c r="G242" t="s">
        <v>31</v>
      </c>
      <c r="I242" s="10">
        <v>0.21</v>
      </c>
      <c r="K242" s="11">
        <f t="shared" si="90"/>
        <v>3.5000000000000003E-2</v>
      </c>
      <c r="L242" s="10">
        <f t="shared" si="88"/>
        <v>13921.600000000011</v>
      </c>
      <c r="N242">
        <v>217</v>
      </c>
      <c r="O242">
        <v>1</v>
      </c>
      <c r="P242">
        <v>1</v>
      </c>
      <c r="Q242" t="str">
        <f t="shared" si="70"/>
        <v>300760283626261100200EUR201904039224477300</v>
      </c>
      <c r="R242" s="16" t="s">
        <v>969</v>
      </c>
      <c r="S242" t="str">
        <f t="shared" si="71"/>
        <v>FRAIS E-VIR SEPA VERS EEE</v>
      </c>
      <c r="U242">
        <f>IFERROR(VLOOKUP(F242,tab!A:B,2,FALSE),1)</f>
        <v>18</v>
      </c>
      <c r="V242" s="14">
        <f t="shared" si="72"/>
        <v>13921.600000000011</v>
      </c>
      <c r="W242">
        <f t="shared" si="73"/>
        <v>0</v>
      </c>
      <c r="X242">
        <f t="shared" si="74"/>
        <v>1</v>
      </c>
      <c r="Y242" s="14">
        <f t="shared" si="75"/>
        <v>0.21</v>
      </c>
      <c r="AA242" t="str">
        <f t="shared" si="76"/>
        <v>&lt;Valeur name="no"&gt;217&lt;/Valeur&gt;</v>
      </c>
      <c r="AB242" t="str">
        <f t="shared" si="76"/>
        <v>&lt;Valeur name="banque"&gt;1&lt;/Valeur&gt;</v>
      </c>
      <c r="AC242" t="str">
        <f t="shared" si="78"/>
        <v>&lt;Valeur name="pointer"&gt;1&lt;/Valeur&gt;</v>
      </c>
      <c r="AD242" t="str">
        <f t="shared" si="79"/>
        <v>&lt;Valeur name="idbanque"&gt;300760283626261100200EUR201904039224477300&lt;/Valeur&gt;</v>
      </c>
      <c r="AE242" t="str">
        <f t="shared" si="80"/>
        <v>&lt;Valeur name="datevaleur"&gt;2019/04/03&lt;/Valeur&gt;</v>
      </c>
      <c r="AF242" t="str">
        <f t="shared" si="81"/>
        <v>&lt;Valeur name="intitule"&gt;FRAIS E-VIR SEPA VERS EEE&lt;/Valeur&gt;</v>
      </c>
      <c r="AG242" t="str">
        <f t="shared" si="82"/>
        <v>&lt;Valeur name="description"&gt;&lt;/Valeur&gt;</v>
      </c>
      <c r="AH242" t="str">
        <f t="shared" si="83"/>
        <v>&lt;Valeur name="compte"&gt;18&lt;/Valeur&gt;</v>
      </c>
      <c r="AI242" t="str">
        <f t="shared" si="84"/>
        <v>&lt;Valeur name="solde"&gt;13921.6&lt;/Valeur&gt;</v>
      </c>
      <c r="AJ242" t="str">
        <f t="shared" si="85"/>
        <v>&lt;Valeur name="ventiler"&gt;0&lt;/Valeur&gt;</v>
      </c>
      <c r="AK242" t="str">
        <f t="shared" si="86"/>
        <v>&lt;Valeur name="compta"&gt;1&lt;/Valeur&gt;</v>
      </c>
      <c r="AL242" t="str">
        <f t="shared" si="87"/>
        <v>&lt;Valeur name="valeur"&gt;0.21&lt;/Valeur&gt;</v>
      </c>
      <c r="AN242" t="str">
        <f t="shared" si="77"/>
        <v>&lt;Insert&gt;&lt;Valeur name="no"&gt;217&lt;/Valeur&gt;&lt;Valeur name="banque"&gt;1&lt;/Valeur&gt;&lt;Valeur name="pointer"&gt;1&lt;/Valeur&gt;&lt;Valeur name="idbanque"&gt;300760283626261100200EUR201904039224477300&lt;/Valeur&gt;&lt;Valeur name="datevaleur"&gt;2019/04/03&lt;/Valeur&gt;&lt;Valeur name="intitule"&gt;FRAIS E-VIR SEPA VERS EEE&lt;/Valeur&gt;&lt;Valeur name="description"&gt;&lt;/Valeur&gt;&lt;Valeur name="compte"&gt;18&lt;/Valeur&gt;&lt;Valeur name="solde"&gt;13921.6&lt;/Valeur&gt;&lt;Valeur name="ventiler"&gt;0&lt;/Valeur&gt;&lt;Valeur name="compta"&gt;1&lt;/Valeur&gt;&lt;Valeur name="valeur"&gt;0.21&lt;/Valeur&gt;&lt;/Insert&gt;</v>
      </c>
    </row>
    <row r="243" spans="1:40" x14ac:dyDescent="0.25">
      <c r="A243" t="s">
        <v>483</v>
      </c>
      <c r="B243">
        <v>218</v>
      </c>
      <c r="C243" s="1">
        <v>43558</v>
      </c>
      <c r="D243">
        <v>1</v>
      </c>
      <c r="E243" t="str">
        <f>IF(F243&lt;&gt;"",INDEX(Balance!A:A,MATCH(F243,Balance!B:B,0)),"")</f>
        <v>Depense</v>
      </c>
      <c r="F243" t="s">
        <v>257</v>
      </c>
      <c r="G243" t="s">
        <v>31</v>
      </c>
      <c r="I243" s="10">
        <v>0.21</v>
      </c>
      <c r="K243" s="11">
        <f t="shared" si="90"/>
        <v>3.5000000000000003E-2</v>
      </c>
      <c r="L243" s="10">
        <f t="shared" si="88"/>
        <v>13921.390000000012</v>
      </c>
      <c r="N243">
        <v>218</v>
      </c>
      <c r="O243">
        <v>1</v>
      </c>
      <c r="P243">
        <v>1</v>
      </c>
      <c r="Q243" t="str">
        <f t="shared" si="70"/>
        <v>300760283626261100200EUR201904039224477400</v>
      </c>
      <c r="R243" s="16" t="s">
        <v>969</v>
      </c>
      <c r="S243" t="str">
        <f t="shared" si="71"/>
        <v>FRAIS E-VIR SEPA VERS EEE</v>
      </c>
      <c r="U243">
        <f>IFERROR(VLOOKUP(F243,tab!A:B,2,FALSE),1)</f>
        <v>18</v>
      </c>
      <c r="V243" s="14">
        <f t="shared" si="72"/>
        <v>13921.390000000012</v>
      </c>
      <c r="W243">
        <f t="shared" si="73"/>
        <v>0</v>
      </c>
      <c r="X243">
        <f t="shared" si="74"/>
        <v>1</v>
      </c>
      <c r="Y243" s="14">
        <f t="shared" si="75"/>
        <v>0.21</v>
      </c>
      <c r="AA243" t="str">
        <f t="shared" si="76"/>
        <v>&lt;Valeur name="no"&gt;218&lt;/Valeur&gt;</v>
      </c>
      <c r="AB243" t="str">
        <f t="shared" si="76"/>
        <v>&lt;Valeur name="banque"&gt;1&lt;/Valeur&gt;</v>
      </c>
      <c r="AC243" t="str">
        <f t="shared" si="78"/>
        <v>&lt;Valeur name="pointer"&gt;1&lt;/Valeur&gt;</v>
      </c>
      <c r="AD243" t="str">
        <f t="shared" si="79"/>
        <v>&lt;Valeur name="idbanque"&gt;300760283626261100200EUR201904039224477400&lt;/Valeur&gt;</v>
      </c>
      <c r="AE243" t="str">
        <f t="shared" si="80"/>
        <v>&lt;Valeur name="datevaleur"&gt;2019/04/03&lt;/Valeur&gt;</v>
      </c>
      <c r="AF243" t="str">
        <f t="shared" si="81"/>
        <v>&lt;Valeur name="intitule"&gt;FRAIS E-VIR SEPA VERS EEE&lt;/Valeur&gt;</v>
      </c>
      <c r="AG243" t="str">
        <f t="shared" si="82"/>
        <v>&lt;Valeur name="description"&gt;&lt;/Valeur&gt;</v>
      </c>
      <c r="AH243" t="str">
        <f t="shared" si="83"/>
        <v>&lt;Valeur name="compte"&gt;18&lt;/Valeur&gt;</v>
      </c>
      <c r="AI243" t="str">
        <f t="shared" si="84"/>
        <v>&lt;Valeur name="solde"&gt;13921.39&lt;/Valeur&gt;</v>
      </c>
      <c r="AJ243" t="str">
        <f t="shared" si="85"/>
        <v>&lt;Valeur name="ventiler"&gt;0&lt;/Valeur&gt;</v>
      </c>
      <c r="AK243" t="str">
        <f t="shared" si="86"/>
        <v>&lt;Valeur name="compta"&gt;1&lt;/Valeur&gt;</v>
      </c>
      <c r="AL243" t="str">
        <f t="shared" si="87"/>
        <v>&lt;Valeur name="valeur"&gt;0.21&lt;/Valeur&gt;</v>
      </c>
      <c r="AN243" t="str">
        <f t="shared" si="77"/>
        <v>&lt;Insert&gt;&lt;Valeur name="no"&gt;218&lt;/Valeur&gt;&lt;Valeur name="banque"&gt;1&lt;/Valeur&gt;&lt;Valeur name="pointer"&gt;1&lt;/Valeur&gt;&lt;Valeur name="idbanque"&gt;300760283626261100200EUR201904039224477400&lt;/Valeur&gt;&lt;Valeur name="datevaleur"&gt;2019/04/03&lt;/Valeur&gt;&lt;Valeur name="intitule"&gt;FRAIS E-VIR SEPA VERS EEE&lt;/Valeur&gt;&lt;Valeur name="description"&gt;&lt;/Valeur&gt;&lt;Valeur name="compte"&gt;18&lt;/Valeur&gt;&lt;Valeur name="solde"&gt;13921.39&lt;/Valeur&gt;&lt;Valeur name="ventiler"&gt;0&lt;/Valeur&gt;&lt;Valeur name="compta"&gt;1&lt;/Valeur&gt;&lt;Valeur name="valeur"&gt;0.21&lt;/Valeur&gt;&lt;/Insert&gt;</v>
      </c>
    </row>
    <row r="244" spans="1:40" x14ac:dyDescent="0.25">
      <c r="A244" t="s">
        <v>484</v>
      </c>
      <c r="B244">
        <v>219</v>
      </c>
      <c r="C244" s="1">
        <v>43559</v>
      </c>
      <c r="E244" t="str">
        <f>IF(F244&lt;&gt;"",INDEX(Balance!A:A,MATCH(F244,Balance!B:B,0)),"")</f>
        <v>Client</v>
      </c>
      <c r="F244" t="s">
        <v>370</v>
      </c>
      <c r="G244" t="s">
        <v>37</v>
      </c>
      <c r="H244" t="s">
        <v>485</v>
      </c>
      <c r="J244" s="10">
        <v>5008.6000000000004</v>
      </c>
      <c r="K244" s="11">
        <f t="shared" si="90"/>
        <v>-834.76666666666642</v>
      </c>
      <c r="L244" s="10">
        <f t="shared" si="88"/>
        <v>18929.990000000013</v>
      </c>
      <c r="N244">
        <v>219</v>
      </c>
      <c r="O244">
        <v>1</v>
      </c>
      <c r="P244">
        <v>1</v>
      </c>
      <c r="Q244" t="str">
        <f t="shared" si="70"/>
        <v>300760283626261100200EUR201904046312808700</v>
      </c>
      <c r="R244" s="16" t="s">
        <v>920</v>
      </c>
      <c r="S244" t="str">
        <f t="shared" si="71"/>
        <v>VIR TRESORERIE VILLENEUVE D / FAC NoAF241-4 DU 28/02/2019VILLE</v>
      </c>
      <c r="U244">
        <f>IFERROR(VLOOKUP(F244,tab!A:B,2,FALSE),1)</f>
        <v>9</v>
      </c>
      <c r="V244" s="14">
        <f t="shared" si="72"/>
        <v>18929.990000000013</v>
      </c>
      <c r="W244">
        <f t="shared" si="73"/>
        <v>0</v>
      </c>
      <c r="X244" t="str">
        <f t="shared" si="74"/>
        <v/>
      </c>
      <c r="Y244" s="14">
        <f t="shared" si="75"/>
        <v>5008.6000000000004</v>
      </c>
      <c r="AA244" t="str">
        <f t="shared" si="76"/>
        <v>&lt;Valeur name="no"&gt;219&lt;/Valeur&gt;</v>
      </c>
      <c r="AB244" t="str">
        <f t="shared" si="76"/>
        <v>&lt;Valeur name="banque"&gt;1&lt;/Valeur&gt;</v>
      </c>
      <c r="AC244" t="str">
        <f t="shared" si="78"/>
        <v>&lt;Valeur name="pointer"&gt;1&lt;/Valeur&gt;</v>
      </c>
      <c r="AD244" t="str">
        <f t="shared" si="79"/>
        <v>&lt;Valeur name="idbanque"&gt;300760283626261100200EUR201904046312808700&lt;/Valeur&gt;</v>
      </c>
      <c r="AE244" t="str">
        <f t="shared" si="80"/>
        <v>&lt;Valeur name="datevaleur"&gt;2019/04/04&lt;/Valeur&gt;</v>
      </c>
      <c r="AF244" t="str">
        <f t="shared" si="81"/>
        <v>&lt;Valeur name="intitule"&gt;VIR TRESORERIE VILLENEUVE D / FAC NoAF241-4 DU 28/02/2019VILLE&lt;/Valeur&gt;</v>
      </c>
      <c r="AG244" t="str">
        <f t="shared" si="82"/>
        <v>&lt;Valeur name="description"&gt;&lt;/Valeur&gt;</v>
      </c>
      <c r="AH244" t="str">
        <f t="shared" si="83"/>
        <v>&lt;Valeur name="compte"&gt;9&lt;/Valeur&gt;</v>
      </c>
      <c r="AI244" t="str">
        <f t="shared" si="84"/>
        <v>&lt;Valeur name="solde"&gt;18929.99&lt;/Valeur&gt;</v>
      </c>
      <c r="AJ244" t="str">
        <f t="shared" si="85"/>
        <v>&lt;Valeur name="ventiler"&gt;0&lt;/Valeur&gt;</v>
      </c>
      <c r="AK244" t="str">
        <f t="shared" si="86"/>
        <v>&lt;Valeur name="compta"&gt;&lt;/Valeur&gt;</v>
      </c>
      <c r="AL244" t="str">
        <f t="shared" si="87"/>
        <v>&lt;Valeur name="valeur"&gt;5008.6&lt;/Valeur&gt;</v>
      </c>
      <c r="AN244" t="str">
        <f t="shared" si="77"/>
        <v>&lt;Insert&gt;&lt;Valeur name="no"&gt;219&lt;/Valeur&gt;&lt;Valeur name="banque"&gt;1&lt;/Valeur&gt;&lt;Valeur name="pointer"&gt;1&lt;/Valeur&gt;&lt;Valeur name="idbanque"&gt;300760283626261100200EUR201904046312808700&lt;/Valeur&gt;&lt;Valeur name="datevaleur"&gt;2019/04/04&lt;/Valeur&gt;&lt;Valeur name="intitule"&gt;VIR TRESORERIE VILLENEUVE D / FAC NoAF241-4 DU 28/02/2019VILLE&lt;/Valeur&gt;&lt;Valeur name="description"&gt;&lt;/Valeur&gt;&lt;Valeur name="compte"&gt;9&lt;/Valeur&gt;&lt;Valeur name="solde"&gt;18929.99&lt;/Valeur&gt;&lt;Valeur name="ventiler"&gt;0&lt;/Valeur&gt;&lt;Valeur name="compta"&gt;&lt;/Valeur&gt;&lt;Valeur name="valeur"&gt;5008.6&lt;/Valeur&gt;&lt;/Insert&gt;</v>
      </c>
    </row>
    <row r="245" spans="1:40" x14ac:dyDescent="0.25">
      <c r="A245" t="s">
        <v>486</v>
      </c>
      <c r="B245">
        <v>220</v>
      </c>
      <c r="C245" s="1">
        <v>43559</v>
      </c>
      <c r="E245" t="str">
        <f>IF(F245&lt;&gt;"",INDEX(Balance!A:A,MATCH(F245,Balance!B:B,0)),"")</f>
        <v>Fournisseurs</v>
      </c>
      <c r="F245" t="s">
        <v>434</v>
      </c>
      <c r="G245" t="s">
        <v>487</v>
      </c>
      <c r="J245" s="10">
        <v>1560</v>
      </c>
      <c r="K245" s="11">
        <f t="shared" si="90"/>
        <v>-260</v>
      </c>
      <c r="L245" s="10">
        <f t="shared" si="88"/>
        <v>20489.990000000013</v>
      </c>
      <c r="N245">
        <v>220</v>
      </c>
      <c r="O245">
        <v>1</v>
      </c>
      <c r="P245">
        <v>1</v>
      </c>
      <c r="Q245" t="str">
        <f t="shared" si="70"/>
        <v>300760283626261100200EUR201904046317210000</v>
      </c>
      <c r="R245" s="16" t="s">
        <v>920</v>
      </c>
      <c r="S245" t="str">
        <f t="shared" si="71"/>
        <v>VIR MOUCHIE CONCEPT BOIS</v>
      </c>
      <c r="U245">
        <f>IFERROR(VLOOKUP(F245,tab!A:B,2,FALSE),1)</f>
        <v>89</v>
      </c>
      <c r="V245" s="14">
        <f t="shared" si="72"/>
        <v>20489.990000000013</v>
      </c>
      <c r="W245">
        <f t="shared" si="73"/>
        <v>0</v>
      </c>
      <c r="X245" t="str">
        <f t="shared" si="74"/>
        <v/>
      </c>
      <c r="Y245" s="14">
        <f t="shared" si="75"/>
        <v>1560</v>
      </c>
      <c r="AA245" t="str">
        <f t="shared" si="76"/>
        <v>&lt;Valeur name="no"&gt;220&lt;/Valeur&gt;</v>
      </c>
      <c r="AB245" t="str">
        <f t="shared" si="76"/>
        <v>&lt;Valeur name="banque"&gt;1&lt;/Valeur&gt;</v>
      </c>
      <c r="AC245" t="str">
        <f t="shared" si="78"/>
        <v>&lt;Valeur name="pointer"&gt;1&lt;/Valeur&gt;</v>
      </c>
      <c r="AD245" t="str">
        <f t="shared" si="79"/>
        <v>&lt;Valeur name="idbanque"&gt;300760283626261100200EUR201904046317210000&lt;/Valeur&gt;</v>
      </c>
      <c r="AE245" t="str">
        <f t="shared" si="80"/>
        <v>&lt;Valeur name="datevaleur"&gt;2019/04/04&lt;/Valeur&gt;</v>
      </c>
      <c r="AF245" t="str">
        <f t="shared" si="81"/>
        <v>&lt;Valeur name="intitule"&gt;VIR MOUCHIE CONCEPT BOIS&lt;/Valeur&gt;</v>
      </c>
      <c r="AG245" t="str">
        <f t="shared" si="82"/>
        <v>&lt;Valeur name="description"&gt;&lt;/Valeur&gt;</v>
      </c>
      <c r="AH245" t="str">
        <f t="shared" si="83"/>
        <v>&lt;Valeur name="compte"&gt;89&lt;/Valeur&gt;</v>
      </c>
      <c r="AI245" t="str">
        <f t="shared" si="84"/>
        <v>&lt;Valeur name="solde"&gt;20489.99&lt;/Valeur&gt;</v>
      </c>
      <c r="AJ245" t="str">
        <f t="shared" si="85"/>
        <v>&lt;Valeur name="ventiler"&gt;0&lt;/Valeur&gt;</v>
      </c>
      <c r="AK245" t="str">
        <f t="shared" si="86"/>
        <v>&lt;Valeur name="compta"&gt;&lt;/Valeur&gt;</v>
      </c>
      <c r="AL245" t="str">
        <f t="shared" si="87"/>
        <v>&lt;Valeur name="valeur"&gt;1560&lt;/Valeur&gt;</v>
      </c>
      <c r="AN245" t="str">
        <f t="shared" si="77"/>
        <v>&lt;Insert&gt;&lt;Valeur name="no"&gt;220&lt;/Valeur&gt;&lt;Valeur name="banque"&gt;1&lt;/Valeur&gt;&lt;Valeur name="pointer"&gt;1&lt;/Valeur&gt;&lt;Valeur name="idbanque"&gt;300760283626261100200EUR201904046317210000&lt;/Valeur&gt;&lt;Valeur name="datevaleur"&gt;2019/04/04&lt;/Valeur&gt;&lt;Valeur name="intitule"&gt;VIR MOUCHIE CONCEPT BOIS&lt;/Valeur&gt;&lt;Valeur name="description"&gt;&lt;/Valeur&gt;&lt;Valeur name="compte"&gt;89&lt;/Valeur&gt;&lt;Valeur name="solde"&gt;20489.99&lt;/Valeur&gt;&lt;Valeur name="ventiler"&gt;0&lt;/Valeur&gt;&lt;Valeur name="compta"&gt;&lt;/Valeur&gt;&lt;Valeur name="valeur"&gt;1560&lt;/Valeur&gt;&lt;/Insert&gt;</v>
      </c>
    </row>
    <row r="246" spans="1:40" x14ac:dyDescent="0.25">
      <c r="A246" t="s">
        <v>488</v>
      </c>
      <c r="B246">
        <v>221</v>
      </c>
      <c r="C246" s="1">
        <v>43559</v>
      </c>
      <c r="D246">
        <v>1</v>
      </c>
      <c r="E246" t="str">
        <f>IF(F246&lt;&gt;"",INDEX(Balance!A:A,MATCH(F246,Balance!B:B,0)),"")</f>
        <v>Fournisseurs</v>
      </c>
      <c r="F246" t="s">
        <v>376</v>
      </c>
      <c r="G246" t="s">
        <v>139</v>
      </c>
      <c r="H246" t="s">
        <v>140</v>
      </c>
      <c r="I246" s="10">
        <v>8</v>
      </c>
      <c r="K246" s="11">
        <f t="shared" si="90"/>
        <v>1.333333333333333</v>
      </c>
      <c r="L246" s="10">
        <f t="shared" si="88"/>
        <v>20481.990000000013</v>
      </c>
      <c r="N246">
        <v>221</v>
      </c>
      <c r="O246">
        <v>1</v>
      </c>
      <c r="P246">
        <v>1</v>
      </c>
      <c r="Q246" t="str">
        <f t="shared" si="70"/>
        <v>300760283626261100200EUR201904046335287400</v>
      </c>
      <c r="R246" s="16" t="s">
        <v>920</v>
      </c>
      <c r="S246" t="str">
        <f t="shared" si="71"/>
        <v>PRLV SEPA Google Ireland Limited / APPS COMMERCE:le-metal.net:GG101</v>
      </c>
      <c r="U246">
        <f>IFERROR(VLOOKUP(F246,tab!A:B,2,FALSE),1)</f>
        <v>69</v>
      </c>
      <c r="V246" s="14">
        <f t="shared" si="72"/>
        <v>20481.990000000013</v>
      </c>
      <c r="W246">
        <f t="shared" si="73"/>
        <v>0</v>
      </c>
      <c r="X246">
        <f t="shared" si="74"/>
        <v>1</v>
      </c>
      <c r="Y246" s="14">
        <f t="shared" si="75"/>
        <v>8</v>
      </c>
      <c r="AA246" t="str">
        <f t="shared" si="76"/>
        <v>&lt;Valeur name="no"&gt;221&lt;/Valeur&gt;</v>
      </c>
      <c r="AB246" t="str">
        <f t="shared" si="76"/>
        <v>&lt;Valeur name="banque"&gt;1&lt;/Valeur&gt;</v>
      </c>
      <c r="AC246" t="str">
        <f t="shared" si="78"/>
        <v>&lt;Valeur name="pointer"&gt;1&lt;/Valeur&gt;</v>
      </c>
      <c r="AD246" t="str">
        <f t="shared" si="79"/>
        <v>&lt;Valeur name="idbanque"&gt;300760283626261100200EUR201904046335287400&lt;/Valeur&gt;</v>
      </c>
      <c r="AE246" t="str">
        <f t="shared" si="80"/>
        <v>&lt;Valeur name="datevaleur"&gt;2019/04/04&lt;/Valeur&gt;</v>
      </c>
      <c r="AF246" t="str">
        <f t="shared" si="81"/>
        <v>&lt;Valeur name="intitule"&gt;PRLV SEPA Google Ireland Limited / APPS COMMERCE:le-metal.net:GG101&lt;/Valeur&gt;</v>
      </c>
      <c r="AG246" t="str">
        <f t="shared" si="82"/>
        <v>&lt;Valeur name="description"&gt;&lt;/Valeur&gt;</v>
      </c>
      <c r="AH246" t="str">
        <f t="shared" si="83"/>
        <v>&lt;Valeur name="compte"&gt;69&lt;/Valeur&gt;</v>
      </c>
      <c r="AI246" t="str">
        <f t="shared" si="84"/>
        <v>&lt;Valeur name="solde"&gt;20481.99&lt;/Valeur&gt;</v>
      </c>
      <c r="AJ246" t="str">
        <f t="shared" si="85"/>
        <v>&lt;Valeur name="ventiler"&gt;0&lt;/Valeur&gt;</v>
      </c>
      <c r="AK246" t="str">
        <f t="shared" si="86"/>
        <v>&lt;Valeur name="compta"&gt;1&lt;/Valeur&gt;</v>
      </c>
      <c r="AL246" t="str">
        <f t="shared" si="87"/>
        <v>&lt;Valeur name="valeur"&gt;8&lt;/Valeur&gt;</v>
      </c>
      <c r="AN246" t="str">
        <f t="shared" si="77"/>
        <v>&lt;Insert&gt;&lt;Valeur name="no"&gt;221&lt;/Valeur&gt;&lt;Valeur name="banque"&gt;1&lt;/Valeur&gt;&lt;Valeur name="pointer"&gt;1&lt;/Valeur&gt;&lt;Valeur name="idbanque"&gt;300760283626261100200EUR201904046335287400&lt;/Valeur&gt;&lt;Valeur name="datevaleur"&gt;2019/04/04&lt;/Valeur&gt;&lt;Valeur name="intitule"&gt;PRLV SEPA Google Ireland Limited / APPS COMMERCE:le-metal.net:GG101&lt;/Valeur&gt;&lt;Valeur name="description"&gt;&lt;/Valeur&gt;&lt;Valeur name="compte"&gt;69&lt;/Valeur&gt;&lt;Valeur name="solde"&gt;20481.99&lt;/Valeur&gt;&lt;Valeur name="ventiler"&gt;0&lt;/Valeur&gt;&lt;Valeur name="compta"&gt;1&lt;/Valeur&gt;&lt;Valeur name="valeur"&gt;8&lt;/Valeur&gt;&lt;/Insert&gt;</v>
      </c>
    </row>
    <row r="247" spans="1:40" x14ac:dyDescent="0.25">
      <c r="A247" t="s">
        <v>489</v>
      </c>
      <c r="B247">
        <v>222</v>
      </c>
      <c r="C247" s="1">
        <v>43560</v>
      </c>
      <c r="E247" t="str">
        <f>IF(F247&lt;&gt;"",INDEX(Balance!A:A,MATCH(F247,Balance!B:B,0)),"")</f>
        <v>Client</v>
      </c>
      <c r="F247" t="s">
        <v>379</v>
      </c>
      <c r="G247" t="s">
        <v>65</v>
      </c>
      <c r="H247" t="s">
        <v>490</v>
      </c>
      <c r="J247" s="10">
        <v>3900</v>
      </c>
      <c r="K247" s="11">
        <f t="shared" si="90"/>
        <v>-650</v>
      </c>
      <c r="L247" s="10">
        <f t="shared" si="88"/>
        <v>24381.990000000013</v>
      </c>
      <c r="N247">
        <v>222</v>
      </c>
      <c r="O247">
        <v>1</v>
      </c>
      <c r="P247">
        <v>1</v>
      </c>
      <c r="Q247" t="str">
        <f t="shared" si="70"/>
        <v>300760283626261100200EUR201904056313048100</v>
      </c>
      <c r="R247" s="16" t="s">
        <v>970</v>
      </c>
      <c r="S247" t="str">
        <f t="shared" si="71"/>
        <v>VIR TRESORERIE ARRAS MUNICIP / FAC. AF250-2 DU 19/03/2019REGLET</v>
      </c>
      <c r="U247">
        <f>IFERROR(VLOOKUP(F247,tab!A:B,2,FALSE),1)</f>
        <v>4</v>
      </c>
      <c r="V247" s="14">
        <f t="shared" si="72"/>
        <v>24381.990000000013</v>
      </c>
      <c r="W247">
        <f t="shared" si="73"/>
        <v>0</v>
      </c>
      <c r="X247" t="str">
        <f t="shared" si="74"/>
        <v/>
      </c>
      <c r="Y247" s="14">
        <f t="shared" si="75"/>
        <v>3900</v>
      </c>
      <c r="AA247" t="str">
        <f t="shared" si="76"/>
        <v>&lt;Valeur name="no"&gt;222&lt;/Valeur&gt;</v>
      </c>
      <c r="AB247" t="str">
        <f t="shared" si="76"/>
        <v>&lt;Valeur name="banque"&gt;1&lt;/Valeur&gt;</v>
      </c>
      <c r="AC247" t="str">
        <f t="shared" si="78"/>
        <v>&lt;Valeur name="pointer"&gt;1&lt;/Valeur&gt;</v>
      </c>
      <c r="AD247" t="str">
        <f t="shared" si="79"/>
        <v>&lt;Valeur name="idbanque"&gt;300760283626261100200EUR201904056313048100&lt;/Valeur&gt;</v>
      </c>
      <c r="AE247" t="str">
        <f t="shared" si="80"/>
        <v>&lt;Valeur name="datevaleur"&gt;2019/04/05&lt;/Valeur&gt;</v>
      </c>
      <c r="AF247" t="str">
        <f t="shared" si="81"/>
        <v>&lt;Valeur name="intitule"&gt;VIR TRESORERIE ARRAS MUNICIP / FAC. AF250-2 DU 19/03/2019REGLET&lt;/Valeur&gt;</v>
      </c>
      <c r="AG247" t="str">
        <f t="shared" si="82"/>
        <v>&lt;Valeur name="description"&gt;&lt;/Valeur&gt;</v>
      </c>
      <c r="AH247" t="str">
        <f t="shared" si="83"/>
        <v>&lt;Valeur name="compte"&gt;4&lt;/Valeur&gt;</v>
      </c>
      <c r="AI247" t="str">
        <f t="shared" si="84"/>
        <v>&lt;Valeur name="solde"&gt;24381.99&lt;/Valeur&gt;</v>
      </c>
      <c r="AJ247" t="str">
        <f t="shared" si="85"/>
        <v>&lt;Valeur name="ventiler"&gt;0&lt;/Valeur&gt;</v>
      </c>
      <c r="AK247" t="str">
        <f t="shared" si="86"/>
        <v>&lt;Valeur name="compta"&gt;&lt;/Valeur&gt;</v>
      </c>
      <c r="AL247" t="str">
        <f t="shared" si="87"/>
        <v>&lt;Valeur name="valeur"&gt;3900&lt;/Valeur&gt;</v>
      </c>
      <c r="AN247" t="str">
        <f t="shared" si="77"/>
        <v>&lt;Insert&gt;&lt;Valeur name="no"&gt;222&lt;/Valeur&gt;&lt;Valeur name="banque"&gt;1&lt;/Valeur&gt;&lt;Valeur name="pointer"&gt;1&lt;/Valeur&gt;&lt;Valeur name="idbanque"&gt;300760283626261100200EUR201904056313048100&lt;/Valeur&gt;&lt;Valeur name="datevaleur"&gt;2019/04/05&lt;/Valeur&gt;&lt;Valeur name="intitule"&gt;VIR TRESORERIE ARRAS MUNICIP / FAC. AF250-2 DU 19/03/2019REGLET&lt;/Valeur&gt;&lt;Valeur name="description"&gt;&lt;/Valeur&gt;&lt;Valeur name="compte"&gt;4&lt;/Valeur&gt;&lt;Valeur name="solde"&gt;24381.99&lt;/Valeur&gt;&lt;Valeur name="ventiler"&gt;0&lt;/Valeur&gt;&lt;Valeur name="compta"&gt;&lt;/Valeur&gt;&lt;Valeur name="valeur"&gt;3900&lt;/Valeur&gt;&lt;/Insert&gt;</v>
      </c>
    </row>
    <row r="248" spans="1:40" x14ac:dyDescent="0.25">
      <c r="A248" t="s">
        <v>592</v>
      </c>
      <c r="B248">
        <v>223</v>
      </c>
      <c r="C248" s="1">
        <v>43563</v>
      </c>
      <c r="D248">
        <v>1</v>
      </c>
      <c r="E248" t="str">
        <f>IF(F248&lt;&gt;"",INDEX(Balance!A:A,MATCH(F248,Balance!B:B,0)),"")</f>
        <v>Depense</v>
      </c>
      <c r="F248" t="s">
        <v>254</v>
      </c>
      <c r="G248" t="s">
        <v>33</v>
      </c>
      <c r="I248" s="10">
        <v>33.5</v>
      </c>
      <c r="K248" s="11">
        <f t="shared" si="90"/>
        <v>5.5833333333333321</v>
      </c>
      <c r="L248" s="10">
        <f t="shared" si="88"/>
        <v>24348.490000000013</v>
      </c>
      <c r="N248">
        <v>223</v>
      </c>
      <c r="O248">
        <v>1</v>
      </c>
      <c r="P248">
        <v>1</v>
      </c>
      <c r="Q248" t="str">
        <f t="shared" si="70"/>
        <v>300760283626261100200EUR201904081074835700</v>
      </c>
      <c r="R248" s="16" t="s">
        <v>971</v>
      </c>
      <c r="S248" t="str">
        <f t="shared" si="71"/>
        <v>CB 454106 PIZZA NONNA 59VILLENEU</v>
      </c>
      <c r="U248">
        <f>IFERROR(VLOOKUP(F248,tab!A:B,2,FALSE),1)</f>
        <v>27</v>
      </c>
      <c r="V248" s="14">
        <f t="shared" si="72"/>
        <v>24348.490000000013</v>
      </c>
      <c r="W248">
        <f t="shared" si="73"/>
        <v>0</v>
      </c>
      <c r="X248">
        <f t="shared" si="74"/>
        <v>1</v>
      </c>
      <c r="Y248" s="14">
        <f t="shared" si="75"/>
        <v>33.5</v>
      </c>
      <c r="AA248" t="str">
        <f t="shared" si="76"/>
        <v>&lt;Valeur name="no"&gt;223&lt;/Valeur&gt;</v>
      </c>
      <c r="AB248" t="str">
        <f t="shared" si="76"/>
        <v>&lt;Valeur name="banque"&gt;1&lt;/Valeur&gt;</v>
      </c>
      <c r="AC248" t="str">
        <f t="shared" si="78"/>
        <v>&lt;Valeur name="pointer"&gt;1&lt;/Valeur&gt;</v>
      </c>
      <c r="AD248" t="str">
        <f t="shared" si="79"/>
        <v>&lt;Valeur name="idbanque"&gt;300760283626261100200EUR201904081074835700&lt;/Valeur&gt;</v>
      </c>
      <c r="AE248" t="str">
        <f t="shared" si="80"/>
        <v>&lt;Valeur name="datevaleur"&gt;2019/04/08&lt;/Valeur&gt;</v>
      </c>
      <c r="AF248" t="str">
        <f t="shared" si="81"/>
        <v>&lt;Valeur name="intitule"&gt;CB 454106 PIZZA NONNA 59VILLENEU&lt;/Valeur&gt;</v>
      </c>
      <c r="AG248" t="str">
        <f t="shared" si="82"/>
        <v>&lt;Valeur name="description"&gt;&lt;/Valeur&gt;</v>
      </c>
      <c r="AH248" t="str">
        <f t="shared" si="83"/>
        <v>&lt;Valeur name="compte"&gt;27&lt;/Valeur&gt;</v>
      </c>
      <c r="AI248" t="str">
        <f t="shared" si="84"/>
        <v>&lt;Valeur name="solde"&gt;24348.49&lt;/Valeur&gt;</v>
      </c>
      <c r="AJ248" t="str">
        <f t="shared" si="85"/>
        <v>&lt;Valeur name="ventiler"&gt;0&lt;/Valeur&gt;</v>
      </c>
      <c r="AK248" t="str">
        <f t="shared" si="86"/>
        <v>&lt;Valeur name="compta"&gt;1&lt;/Valeur&gt;</v>
      </c>
      <c r="AL248" t="str">
        <f t="shared" si="87"/>
        <v>&lt;Valeur name="valeur"&gt;33.5&lt;/Valeur&gt;</v>
      </c>
      <c r="AN248" t="str">
        <f t="shared" si="77"/>
        <v>&lt;Insert&gt;&lt;Valeur name="no"&gt;223&lt;/Valeur&gt;&lt;Valeur name="banque"&gt;1&lt;/Valeur&gt;&lt;Valeur name="pointer"&gt;1&lt;/Valeur&gt;&lt;Valeur name="idbanque"&gt;300760283626261100200EUR201904081074835700&lt;/Valeur&gt;&lt;Valeur name="datevaleur"&gt;2019/04/08&lt;/Valeur&gt;&lt;Valeur name="intitule"&gt;CB 454106 PIZZA NONNA 59VILLENEU&lt;/Valeur&gt;&lt;Valeur name="description"&gt;&lt;/Valeur&gt;&lt;Valeur name="compte"&gt;27&lt;/Valeur&gt;&lt;Valeur name="solde"&gt;24348.49&lt;/Valeur&gt;&lt;Valeur name="ventiler"&gt;0&lt;/Valeur&gt;&lt;Valeur name="compta"&gt;1&lt;/Valeur&gt;&lt;Valeur name="valeur"&gt;33.5&lt;/Valeur&gt;&lt;/Insert&gt;</v>
      </c>
    </row>
    <row r="249" spans="1:40" x14ac:dyDescent="0.25">
      <c r="A249" t="s">
        <v>593</v>
      </c>
      <c r="B249">
        <v>224</v>
      </c>
      <c r="C249" s="1">
        <v>43564</v>
      </c>
      <c r="E249" t="str">
        <f>IF(F249&lt;&gt;"",INDEX(Balance!A:A,MATCH(F249,Balance!B:B,0)),"")</f>
        <v>Fournisseurs</v>
      </c>
      <c r="F249" t="s">
        <v>286</v>
      </c>
      <c r="G249" t="s">
        <v>594</v>
      </c>
      <c r="I249" s="10">
        <v>158.4</v>
      </c>
      <c r="K249" s="11">
        <f t="shared" si="90"/>
        <v>26.400000000000006</v>
      </c>
      <c r="L249" s="10">
        <f t="shared" si="88"/>
        <v>24190.090000000011</v>
      </c>
      <c r="N249">
        <v>224</v>
      </c>
      <c r="O249">
        <v>1</v>
      </c>
      <c r="P249">
        <v>1</v>
      </c>
      <c r="Q249" t="str">
        <f t="shared" si="70"/>
        <v>300760283626261100200EUR201904090910231000</v>
      </c>
      <c r="R249" s="16" t="s">
        <v>972</v>
      </c>
      <c r="S249" t="str">
        <f t="shared" si="71"/>
        <v>RELEVE LCR DU  020419  CONFORME</v>
      </c>
      <c r="U249">
        <f>IFERROR(VLOOKUP(F249,tab!A:B,2,FALSE),1)</f>
        <v>33</v>
      </c>
      <c r="V249" s="14">
        <f t="shared" si="72"/>
        <v>24190.090000000011</v>
      </c>
      <c r="W249">
        <f t="shared" si="73"/>
        <v>0</v>
      </c>
      <c r="X249" t="str">
        <f t="shared" si="74"/>
        <v/>
      </c>
      <c r="Y249" s="14">
        <f t="shared" si="75"/>
        <v>158.4</v>
      </c>
      <c r="AA249" t="str">
        <f t="shared" si="76"/>
        <v>&lt;Valeur name="no"&gt;224&lt;/Valeur&gt;</v>
      </c>
      <c r="AB249" t="str">
        <f t="shared" si="76"/>
        <v>&lt;Valeur name="banque"&gt;1&lt;/Valeur&gt;</v>
      </c>
      <c r="AC249" t="str">
        <f t="shared" si="78"/>
        <v>&lt;Valeur name="pointer"&gt;1&lt;/Valeur&gt;</v>
      </c>
      <c r="AD249" t="str">
        <f t="shared" si="79"/>
        <v>&lt;Valeur name="idbanque"&gt;300760283626261100200EUR201904090910231000&lt;/Valeur&gt;</v>
      </c>
      <c r="AE249" t="str">
        <f t="shared" si="80"/>
        <v>&lt;Valeur name="datevaleur"&gt;2019/04/09&lt;/Valeur&gt;</v>
      </c>
      <c r="AF249" t="str">
        <f t="shared" si="81"/>
        <v>&lt;Valeur name="intitule"&gt;RELEVE LCR DU  020419  CONFORME&lt;/Valeur&gt;</v>
      </c>
      <c r="AG249" t="str">
        <f t="shared" si="82"/>
        <v>&lt;Valeur name="description"&gt;&lt;/Valeur&gt;</v>
      </c>
      <c r="AH249" t="str">
        <f t="shared" si="83"/>
        <v>&lt;Valeur name="compte"&gt;33&lt;/Valeur&gt;</v>
      </c>
      <c r="AI249" t="str">
        <f t="shared" si="84"/>
        <v>&lt;Valeur name="solde"&gt;24190.09&lt;/Valeur&gt;</v>
      </c>
      <c r="AJ249" t="str">
        <f t="shared" si="85"/>
        <v>&lt;Valeur name="ventiler"&gt;0&lt;/Valeur&gt;</v>
      </c>
      <c r="AK249" t="str">
        <f t="shared" si="86"/>
        <v>&lt;Valeur name="compta"&gt;&lt;/Valeur&gt;</v>
      </c>
      <c r="AL249" t="str">
        <f t="shared" si="87"/>
        <v>&lt;Valeur name="valeur"&gt;158.4&lt;/Valeur&gt;</v>
      </c>
      <c r="AN249" t="str">
        <f t="shared" si="77"/>
        <v>&lt;Insert&gt;&lt;Valeur name="no"&gt;224&lt;/Valeur&gt;&lt;Valeur name="banque"&gt;1&lt;/Valeur&gt;&lt;Valeur name="pointer"&gt;1&lt;/Valeur&gt;&lt;Valeur name="idbanque"&gt;300760283626261100200EUR201904090910231000&lt;/Valeur&gt;&lt;Valeur name="datevaleur"&gt;2019/04/09&lt;/Valeur&gt;&lt;Valeur name="intitule"&gt;RELEVE LCR DU  020419  CONFORME&lt;/Valeur&gt;&lt;Valeur name="description"&gt;&lt;/Valeur&gt;&lt;Valeur name="compte"&gt;33&lt;/Valeur&gt;&lt;Valeur name="solde"&gt;24190.09&lt;/Valeur&gt;&lt;Valeur name="ventiler"&gt;0&lt;/Valeur&gt;&lt;Valeur name="compta"&gt;&lt;/Valeur&gt;&lt;Valeur name="valeur"&gt;158.4&lt;/Valeur&gt;&lt;/Insert&gt;</v>
      </c>
    </row>
    <row r="250" spans="1:40" x14ac:dyDescent="0.25">
      <c r="A250" t="s">
        <v>595</v>
      </c>
      <c r="B250">
        <v>225</v>
      </c>
      <c r="C250" s="1">
        <v>43564</v>
      </c>
      <c r="E250" t="str">
        <f>IF(F250&lt;&gt;"",INDEX(Balance!A:A,MATCH(F250,Balance!B:B,0)),"")</f>
        <v>Recette</v>
      </c>
      <c r="F250" t="s">
        <v>540</v>
      </c>
      <c r="G250" t="s">
        <v>596</v>
      </c>
      <c r="H250" t="s">
        <v>597</v>
      </c>
      <c r="J250" s="10">
        <v>1602</v>
      </c>
      <c r="K250" s="11">
        <f t="shared" si="90"/>
        <v>-267</v>
      </c>
      <c r="L250" s="10">
        <f t="shared" si="88"/>
        <v>25792.090000000011</v>
      </c>
      <c r="N250">
        <v>225</v>
      </c>
      <c r="O250">
        <v>1</v>
      </c>
      <c r="P250">
        <v>1</v>
      </c>
      <c r="Q250" t="str">
        <f t="shared" si="70"/>
        <v>300760283626261100200EUR201904096315265700</v>
      </c>
      <c r="R250" s="16" t="s">
        <v>972</v>
      </c>
      <c r="S250" t="str">
        <f t="shared" si="71"/>
        <v>VIR CONSTRUCTYS / 3118008994-QS METALLIER NIVEAU 3</v>
      </c>
      <c r="U250">
        <f>IFERROR(VLOOKUP(F250,tab!A:B,2,FALSE),1)</f>
        <v>126</v>
      </c>
      <c r="V250" s="14">
        <f t="shared" si="72"/>
        <v>25792.090000000011</v>
      </c>
      <c r="W250">
        <f t="shared" si="73"/>
        <v>0</v>
      </c>
      <c r="X250" t="str">
        <f t="shared" si="74"/>
        <v/>
      </c>
      <c r="Y250" s="14">
        <f t="shared" si="75"/>
        <v>1602</v>
      </c>
      <c r="AA250" t="str">
        <f t="shared" si="76"/>
        <v>&lt;Valeur name="no"&gt;225&lt;/Valeur&gt;</v>
      </c>
      <c r="AB250" t="str">
        <f t="shared" si="76"/>
        <v>&lt;Valeur name="banque"&gt;1&lt;/Valeur&gt;</v>
      </c>
      <c r="AC250" t="str">
        <f t="shared" si="78"/>
        <v>&lt;Valeur name="pointer"&gt;1&lt;/Valeur&gt;</v>
      </c>
      <c r="AD250" t="str">
        <f t="shared" si="79"/>
        <v>&lt;Valeur name="idbanque"&gt;300760283626261100200EUR201904096315265700&lt;/Valeur&gt;</v>
      </c>
      <c r="AE250" t="str">
        <f t="shared" si="80"/>
        <v>&lt;Valeur name="datevaleur"&gt;2019/04/09&lt;/Valeur&gt;</v>
      </c>
      <c r="AF250" t="str">
        <f t="shared" si="81"/>
        <v>&lt;Valeur name="intitule"&gt;VIR CONSTRUCTYS / 3118008994-QS METALLIER NIVEAU 3&lt;/Valeur&gt;</v>
      </c>
      <c r="AG250" t="str">
        <f t="shared" si="82"/>
        <v>&lt;Valeur name="description"&gt;&lt;/Valeur&gt;</v>
      </c>
      <c r="AH250" t="str">
        <f t="shared" si="83"/>
        <v>&lt;Valeur name="compte"&gt;126&lt;/Valeur&gt;</v>
      </c>
      <c r="AI250" t="str">
        <f t="shared" si="84"/>
        <v>&lt;Valeur name="solde"&gt;25792.09&lt;/Valeur&gt;</v>
      </c>
      <c r="AJ250" t="str">
        <f t="shared" si="85"/>
        <v>&lt;Valeur name="ventiler"&gt;0&lt;/Valeur&gt;</v>
      </c>
      <c r="AK250" t="str">
        <f t="shared" si="86"/>
        <v>&lt;Valeur name="compta"&gt;&lt;/Valeur&gt;</v>
      </c>
      <c r="AL250" t="str">
        <f t="shared" si="87"/>
        <v>&lt;Valeur name="valeur"&gt;1602&lt;/Valeur&gt;</v>
      </c>
      <c r="AN250" t="str">
        <f t="shared" si="77"/>
        <v>&lt;Insert&gt;&lt;Valeur name="no"&gt;225&lt;/Valeur&gt;&lt;Valeur name="banque"&gt;1&lt;/Valeur&gt;&lt;Valeur name="pointer"&gt;1&lt;/Valeur&gt;&lt;Valeur name="idbanque"&gt;300760283626261100200EUR201904096315265700&lt;/Valeur&gt;&lt;Valeur name="datevaleur"&gt;2019/04/09&lt;/Valeur&gt;&lt;Valeur name="intitule"&gt;VIR CONSTRUCTYS / 3118008994-QS METALLIER NIVEAU 3&lt;/Valeur&gt;&lt;Valeur name="description"&gt;&lt;/Valeur&gt;&lt;Valeur name="compte"&gt;126&lt;/Valeur&gt;&lt;Valeur name="solde"&gt;25792.09&lt;/Valeur&gt;&lt;Valeur name="ventiler"&gt;0&lt;/Valeur&gt;&lt;Valeur name="compta"&gt;&lt;/Valeur&gt;&lt;Valeur name="valeur"&gt;1602&lt;/Valeur&gt;&lt;/Insert&gt;</v>
      </c>
    </row>
    <row r="251" spans="1:40" x14ac:dyDescent="0.25">
      <c r="A251" t="s">
        <v>598</v>
      </c>
      <c r="B251">
        <v>226</v>
      </c>
      <c r="C251" s="1">
        <v>43565</v>
      </c>
      <c r="E251" t="str">
        <f>IF(F251&lt;&gt;"",INDEX(Balance!A:A,MATCH(F251,Balance!B:B,0)),"")</f>
        <v>Fournisseurs</v>
      </c>
      <c r="F251" t="s">
        <v>288</v>
      </c>
      <c r="G251" t="s">
        <v>599</v>
      </c>
      <c r="I251" s="10">
        <v>464.4</v>
      </c>
      <c r="K251" s="11">
        <f t="shared" si="90"/>
        <v>77.399999999999977</v>
      </c>
      <c r="L251" s="10">
        <f t="shared" si="88"/>
        <v>25327.69000000001</v>
      </c>
      <c r="N251">
        <v>226</v>
      </c>
      <c r="O251">
        <v>1</v>
      </c>
      <c r="P251">
        <v>1</v>
      </c>
      <c r="Q251" t="str">
        <f t="shared" si="70"/>
        <v>300760283626261100200EUR201904100910562200</v>
      </c>
      <c r="R251" s="16" t="s">
        <v>908</v>
      </c>
      <c r="S251" t="str">
        <f t="shared" si="71"/>
        <v>RELEVE LCR DU  030419  CONFORME</v>
      </c>
      <c r="U251">
        <f>IFERROR(VLOOKUP(F251,tab!A:B,2,FALSE),1)</f>
        <v>120</v>
      </c>
      <c r="V251" s="14">
        <f t="shared" si="72"/>
        <v>25327.69000000001</v>
      </c>
      <c r="W251">
        <f t="shared" si="73"/>
        <v>0</v>
      </c>
      <c r="X251" t="str">
        <f t="shared" si="74"/>
        <v/>
      </c>
      <c r="Y251" s="14">
        <f t="shared" si="75"/>
        <v>464.4</v>
      </c>
      <c r="AA251" t="str">
        <f t="shared" si="76"/>
        <v>&lt;Valeur name="no"&gt;226&lt;/Valeur&gt;</v>
      </c>
      <c r="AB251" t="str">
        <f t="shared" si="76"/>
        <v>&lt;Valeur name="banque"&gt;1&lt;/Valeur&gt;</v>
      </c>
      <c r="AC251" t="str">
        <f t="shared" si="78"/>
        <v>&lt;Valeur name="pointer"&gt;1&lt;/Valeur&gt;</v>
      </c>
      <c r="AD251" t="str">
        <f t="shared" si="79"/>
        <v>&lt;Valeur name="idbanque"&gt;300760283626261100200EUR201904100910562200&lt;/Valeur&gt;</v>
      </c>
      <c r="AE251" t="str">
        <f t="shared" si="80"/>
        <v>&lt;Valeur name="datevaleur"&gt;2019/04/10&lt;/Valeur&gt;</v>
      </c>
      <c r="AF251" t="str">
        <f t="shared" si="81"/>
        <v>&lt;Valeur name="intitule"&gt;RELEVE LCR DU  030419  CONFORME&lt;/Valeur&gt;</v>
      </c>
      <c r="AG251" t="str">
        <f t="shared" si="82"/>
        <v>&lt;Valeur name="description"&gt;&lt;/Valeur&gt;</v>
      </c>
      <c r="AH251" t="str">
        <f t="shared" si="83"/>
        <v>&lt;Valeur name="compte"&gt;120&lt;/Valeur&gt;</v>
      </c>
      <c r="AI251" t="str">
        <f t="shared" si="84"/>
        <v>&lt;Valeur name="solde"&gt;25327.69&lt;/Valeur&gt;</v>
      </c>
      <c r="AJ251" t="str">
        <f t="shared" si="85"/>
        <v>&lt;Valeur name="ventiler"&gt;0&lt;/Valeur&gt;</v>
      </c>
      <c r="AK251" t="str">
        <f t="shared" si="86"/>
        <v>&lt;Valeur name="compta"&gt;&lt;/Valeur&gt;</v>
      </c>
      <c r="AL251" t="str">
        <f t="shared" si="87"/>
        <v>&lt;Valeur name="valeur"&gt;464.4&lt;/Valeur&gt;</v>
      </c>
      <c r="AN251" t="str">
        <f t="shared" si="77"/>
        <v>&lt;Insert&gt;&lt;Valeur name="no"&gt;226&lt;/Valeur&gt;&lt;Valeur name="banque"&gt;1&lt;/Valeur&gt;&lt;Valeur name="pointer"&gt;1&lt;/Valeur&gt;&lt;Valeur name="idbanque"&gt;300760283626261100200EUR201904100910562200&lt;/Valeur&gt;&lt;Valeur name="datevaleur"&gt;2019/04/10&lt;/Valeur&gt;&lt;Valeur name="intitule"&gt;RELEVE LCR DU  030419  CONFORME&lt;/Valeur&gt;&lt;Valeur name="description"&gt;&lt;/Valeur&gt;&lt;Valeur name="compte"&gt;120&lt;/Valeur&gt;&lt;Valeur name="solde"&gt;25327.69&lt;/Valeur&gt;&lt;Valeur name="ventiler"&gt;0&lt;/Valeur&gt;&lt;Valeur name="compta"&gt;&lt;/Valeur&gt;&lt;Valeur name="valeur"&gt;464.4&lt;/Valeur&gt;&lt;/Insert&gt;</v>
      </c>
    </row>
    <row r="252" spans="1:40" x14ac:dyDescent="0.25">
      <c r="A252" t="s">
        <v>600</v>
      </c>
      <c r="B252">
        <v>227</v>
      </c>
      <c r="C252" s="1">
        <v>43565</v>
      </c>
      <c r="D252">
        <v>1</v>
      </c>
      <c r="E252" t="str">
        <f>IF(F252&lt;&gt;"",INDEX(Balance!A:A,MATCH(F252,Balance!B:B,0)),"")</f>
        <v>Depense</v>
      </c>
      <c r="F252" t="s">
        <v>253</v>
      </c>
      <c r="G252" t="s">
        <v>149</v>
      </c>
      <c r="I252" s="10">
        <v>79.66</v>
      </c>
      <c r="K252" s="11">
        <f t="shared" si="90"/>
        <v>13.276666666666657</v>
      </c>
      <c r="L252" s="10">
        <f t="shared" si="88"/>
        <v>25248.03000000001</v>
      </c>
      <c r="N252">
        <v>227</v>
      </c>
      <c r="O252">
        <v>1</v>
      </c>
      <c r="P252">
        <v>1</v>
      </c>
      <c r="Q252" t="str">
        <f t="shared" si="70"/>
        <v>300760283626261100200EUR201904101071707600</v>
      </c>
      <c r="R252" s="16" t="s">
        <v>908</v>
      </c>
      <c r="S252" t="str">
        <f t="shared" si="71"/>
        <v>CB 548222 CARREFOUR D 59AULNOY L</v>
      </c>
      <c r="U252">
        <f>IFERROR(VLOOKUP(F252,tab!A:B,2,FALSE),1)</f>
        <v>13</v>
      </c>
      <c r="V252" s="14">
        <f t="shared" si="72"/>
        <v>25248.03000000001</v>
      </c>
      <c r="W252">
        <f t="shared" si="73"/>
        <v>0</v>
      </c>
      <c r="X252">
        <f t="shared" si="74"/>
        <v>1</v>
      </c>
      <c r="Y252" s="14">
        <f t="shared" si="75"/>
        <v>79.66</v>
      </c>
      <c r="AA252" t="str">
        <f t="shared" si="76"/>
        <v>&lt;Valeur name="no"&gt;227&lt;/Valeur&gt;</v>
      </c>
      <c r="AB252" t="str">
        <f t="shared" si="76"/>
        <v>&lt;Valeur name="banque"&gt;1&lt;/Valeur&gt;</v>
      </c>
      <c r="AC252" t="str">
        <f t="shared" si="78"/>
        <v>&lt;Valeur name="pointer"&gt;1&lt;/Valeur&gt;</v>
      </c>
      <c r="AD252" t="str">
        <f t="shared" si="79"/>
        <v>&lt;Valeur name="idbanque"&gt;300760283626261100200EUR201904101071707600&lt;/Valeur&gt;</v>
      </c>
      <c r="AE252" t="str">
        <f t="shared" si="80"/>
        <v>&lt;Valeur name="datevaleur"&gt;2019/04/10&lt;/Valeur&gt;</v>
      </c>
      <c r="AF252" t="str">
        <f t="shared" si="81"/>
        <v>&lt;Valeur name="intitule"&gt;CB 548222 CARREFOUR D 59AULNOY L&lt;/Valeur&gt;</v>
      </c>
      <c r="AG252" t="str">
        <f t="shared" si="82"/>
        <v>&lt;Valeur name="description"&gt;&lt;/Valeur&gt;</v>
      </c>
      <c r="AH252" t="str">
        <f t="shared" si="83"/>
        <v>&lt;Valeur name="compte"&gt;13&lt;/Valeur&gt;</v>
      </c>
      <c r="AI252" t="str">
        <f t="shared" si="84"/>
        <v>&lt;Valeur name="solde"&gt;25248.03&lt;/Valeur&gt;</v>
      </c>
      <c r="AJ252" t="str">
        <f t="shared" si="85"/>
        <v>&lt;Valeur name="ventiler"&gt;0&lt;/Valeur&gt;</v>
      </c>
      <c r="AK252" t="str">
        <f t="shared" si="86"/>
        <v>&lt;Valeur name="compta"&gt;1&lt;/Valeur&gt;</v>
      </c>
      <c r="AL252" t="str">
        <f t="shared" si="87"/>
        <v>&lt;Valeur name="valeur"&gt;79.66&lt;/Valeur&gt;</v>
      </c>
      <c r="AN252" t="str">
        <f t="shared" si="77"/>
        <v>&lt;Insert&gt;&lt;Valeur name="no"&gt;227&lt;/Valeur&gt;&lt;Valeur name="banque"&gt;1&lt;/Valeur&gt;&lt;Valeur name="pointer"&gt;1&lt;/Valeur&gt;&lt;Valeur name="idbanque"&gt;300760283626261100200EUR201904101071707600&lt;/Valeur&gt;&lt;Valeur name="datevaleur"&gt;2019/04/10&lt;/Valeur&gt;&lt;Valeur name="intitule"&gt;CB 548222 CARREFOUR D 59AULNOY L&lt;/Valeur&gt;&lt;Valeur name="description"&gt;&lt;/Valeur&gt;&lt;Valeur name="compte"&gt;13&lt;/Valeur&gt;&lt;Valeur name="solde"&gt;25248.03&lt;/Valeur&gt;&lt;Valeur name="ventiler"&gt;0&lt;/Valeur&gt;&lt;Valeur name="compta"&gt;1&lt;/Valeur&gt;&lt;Valeur name="valeur"&gt;79.66&lt;/Valeur&gt;&lt;/Insert&gt;</v>
      </c>
    </row>
    <row r="253" spans="1:40" x14ac:dyDescent="0.25">
      <c r="A253" t="s">
        <v>601</v>
      </c>
      <c r="B253">
        <v>228</v>
      </c>
      <c r="C253" s="1">
        <v>43565</v>
      </c>
      <c r="D253">
        <v>1</v>
      </c>
      <c r="E253" t="str">
        <f>IF(F253&lt;&gt;"",INDEX(Balance!A:A,MATCH(F253,Balance!B:B,0)),"")</f>
        <v>Depense</v>
      </c>
      <c r="F253" t="s">
        <v>254</v>
      </c>
      <c r="G253" t="s">
        <v>602</v>
      </c>
      <c r="I253" s="10">
        <v>24</v>
      </c>
      <c r="K253" s="11">
        <f t="shared" si="90"/>
        <v>4</v>
      </c>
      <c r="L253" s="10">
        <f t="shared" si="88"/>
        <v>25224.03000000001</v>
      </c>
      <c r="N253">
        <v>228</v>
      </c>
      <c r="O253">
        <v>1</v>
      </c>
      <c r="P253">
        <v>1</v>
      </c>
      <c r="Q253" t="str">
        <f t="shared" si="70"/>
        <v>300760283626261100200EUR201904101075720600</v>
      </c>
      <c r="R253" s="16" t="s">
        <v>908</v>
      </c>
      <c r="S253" t="str">
        <f t="shared" si="71"/>
        <v>CB 454106 N 60 SPRL     FRASNES-</v>
      </c>
      <c r="U253">
        <f>IFERROR(VLOOKUP(F253,tab!A:B,2,FALSE),1)</f>
        <v>27</v>
      </c>
      <c r="V253" s="14">
        <f t="shared" si="72"/>
        <v>25224.03000000001</v>
      </c>
      <c r="W253">
        <f t="shared" si="73"/>
        <v>0</v>
      </c>
      <c r="X253">
        <f t="shared" si="74"/>
        <v>1</v>
      </c>
      <c r="Y253" s="14">
        <f t="shared" si="75"/>
        <v>24</v>
      </c>
      <c r="AA253" t="str">
        <f t="shared" si="76"/>
        <v>&lt;Valeur name="no"&gt;228&lt;/Valeur&gt;</v>
      </c>
      <c r="AB253" t="str">
        <f t="shared" si="76"/>
        <v>&lt;Valeur name="banque"&gt;1&lt;/Valeur&gt;</v>
      </c>
      <c r="AC253" t="str">
        <f t="shared" si="78"/>
        <v>&lt;Valeur name="pointer"&gt;1&lt;/Valeur&gt;</v>
      </c>
      <c r="AD253" t="str">
        <f t="shared" si="79"/>
        <v>&lt;Valeur name="idbanque"&gt;300760283626261100200EUR201904101075720600&lt;/Valeur&gt;</v>
      </c>
      <c r="AE253" t="str">
        <f t="shared" si="80"/>
        <v>&lt;Valeur name="datevaleur"&gt;2019/04/10&lt;/Valeur&gt;</v>
      </c>
      <c r="AF253" t="str">
        <f t="shared" si="81"/>
        <v>&lt;Valeur name="intitule"&gt;CB 454106 N 60 SPRL     FRASNES-&lt;/Valeur&gt;</v>
      </c>
      <c r="AG253" t="str">
        <f t="shared" si="82"/>
        <v>&lt;Valeur name="description"&gt;&lt;/Valeur&gt;</v>
      </c>
      <c r="AH253" t="str">
        <f t="shared" si="83"/>
        <v>&lt;Valeur name="compte"&gt;27&lt;/Valeur&gt;</v>
      </c>
      <c r="AI253" t="str">
        <f t="shared" si="84"/>
        <v>&lt;Valeur name="solde"&gt;25224.03&lt;/Valeur&gt;</v>
      </c>
      <c r="AJ253" t="str">
        <f t="shared" si="85"/>
        <v>&lt;Valeur name="ventiler"&gt;0&lt;/Valeur&gt;</v>
      </c>
      <c r="AK253" t="str">
        <f t="shared" si="86"/>
        <v>&lt;Valeur name="compta"&gt;1&lt;/Valeur&gt;</v>
      </c>
      <c r="AL253" t="str">
        <f t="shared" si="87"/>
        <v>&lt;Valeur name="valeur"&gt;24&lt;/Valeur&gt;</v>
      </c>
      <c r="AN253" t="str">
        <f t="shared" si="77"/>
        <v>&lt;Insert&gt;&lt;Valeur name="no"&gt;228&lt;/Valeur&gt;&lt;Valeur name="banque"&gt;1&lt;/Valeur&gt;&lt;Valeur name="pointer"&gt;1&lt;/Valeur&gt;&lt;Valeur name="idbanque"&gt;300760283626261100200EUR201904101075720600&lt;/Valeur&gt;&lt;Valeur name="datevaleur"&gt;2019/04/10&lt;/Valeur&gt;&lt;Valeur name="intitule"&gt;CB 454106 N 60 SPRL     FRASNES-&lt;/Valeur&gt;&lt;Valeur name="description"&gt;&lt;/Valeur&gt;&lt;Valeur name="compte"&gt;27&lt;/Valeur&gt;&lt;Valeur name="solde"&gt;25224.03&lt;/Valeur&gt;&lt;Valeur name="ventiler"&gt;0&lt;/Valeur&gt;&lt;Valeur name="compta"&gt;1&lt;/Valeur&gt;&lt;Valeur name="valeur"&gt;24&lt;/Valeur&gt;&lt;/Insert&gt;</v>
      </c>
    </row>
    <row r="254" spans="1:40" x14ac:dyDescent="0.25">
      <c r="A254" t="s">
        <v>603</v>
      </c>
      <c r="B254">
        <v>229</v>
      </c>
      <c r="C254" s="1">
        <v>43565</v>
      </c>
      <c r="D254">
        <v>1</v>
      </c>
      <c r="E254" t="str">
        <f>IF(F254&lt;&gt;"",INDEX(Balance!A:A,MATCH(F254,Balance!B:B,0)),"")</f>
        <v>Depense</v>
      </c>
      <c r="F254" t="s">
        <v>257</v>
      </c>
      <c r="G254" t="s">
        <v>101</v>
      </c>
      <c r="I254" s="10">
        <v>1.6</v>
      </c>
      <c r="K254" s="11">
        <f t="shared" si="90"/>
        <v>0.26666666666666661</v>
      </c>
      <c r="L254" s="10">
        <f t="shared" si="88"/>
        <v>25222.430000000011</v>
      </c>
      <c r="N254">
        <v>229</v>
      </c>
      <c r="O254">
        <v>1</v>
      </c>
      <c r="P254">
        <v>1</v>
      </c>
      <c r="Q254" t="str">
        <f t="shared" si="70"/>
        <v>300760283626261100200EUR201904102330580700</v>
      </c>
      <c r="R254" s="16" t="s">
        <v>908</v>
      </c>
      <c r="S254" t="str">
        <f t="shared" si="71"/>
        <v>FRAIS VIR SEPA PERMANENT</v>
      </c>
      <c r="U254">
        <f>IFERROR(VLOOKUP(F254,tab!A:B,2,FALSE),1)</f>
        <v>18</v>
      </c>
      <c r="V254" s="14">
        <f t="shared" si="72"/>
        <v>25222.430000000011</v>
      </c>
      <c r="W254">
        <f t="shared" si="73"/>
        <v>0</v>
      </c>
      <c r="X254">
        <f t="shared" si="74"/>
        <v>1</v>
      </c>
      <c r="Y254" s="14">
        <f t="shared" si="75"/>
        <v>1.6</v>
      </c>
      <c r="AA254" t="str">
        <f t="shared" si="76"/>
        <v>&lt;Valeur name="no"&gt;229&lt;/Valeur&gt;</v>
      </c>
      <c r="AB254" t="str">
        <f t="shared" si="76"/>
        <v>&lt;Valeur name="banque"&gt;1&lt;/Valeur&gt;</v>
      </c>
      <c r="AC254" t="str">
        <f t="shared" si="78"/>
        <v>&lt;Valeur name="pointer"&gt;1&lt;/Valeur&gt;</v>
      </c>
      <c r="AD254" t="str">
        <f t="shared" si="79"/>
        <v>&lt;Valeur name="idbanque"&gt;300760283626261100200EUR201904102330580700&lt;/Valeur&gt;</v>
      </c>
      <c r="AE254" t="str">
        <f t="shared" si="80"/>
        <v>&lt;Valeur name="datevaleur"&gt;2019/04/10&lt;/Valeur&gt;</v>
      </c>
      <c r="AF254" t="str">
        <f t="shared" si="81"/>
        <v>&lt;Valeur name="intitule"&gt;FRAIS VIR SEPA PERMANENT&lt;/Valeur&gt;</v>
      </c>
      <c r="AG254" t="str">
        <f t="shared" si="82"/>
        <v>&lt;Valeur name="description"&gt;&lt;/Valeur&gt;</v>
      </c>
      <c r="AH254" t="str">
        <f t="shared" si="83"/>
        <v>&lt;Valeur name="compte"&gt;18&lt;/Valeur&gt;</v>
      </c>
      <c r="AI254" t="str">
        <f t="shared" si="84"/>
        <v>&lt;Valeur name="solde"&gt;25222.43&lt;/Valeur&gt;</v>
      </c>
      <c r="AJ254" t="str">
        <f t="shared" si="85"/>
        <v>&lt;Valeur name="ventiler"&gt;0&lt;/Valeur&gt;</v>
      </c>
      <c r="AK254" t="str">
        <f t="shared" si="86"/>
        <v>&lt;Valeur name="compta"&gt;1&lt;/Valeur&gt;</v>
      </c>
      <c r="AL254" t="str">
        <f t="shared" si="87"/>
        <v>&lt;Valeur name="valeur"&gt;1.6&lt;/Valeur&gt;</v>
      </c>
      <c r="AN254" t="str">
        <f t="shared" si="77"/>
        <v>&lt;Insert&gt;&lt;Valeur name="no"&gt;229&lt;/Valeur&gt;&lt;Valeur name="banque"&gt;1&lt;/Valeur&gt;&lt;Valeur name="pointer"&gt;1&lt;/Valeur&gt;&lt;Valeur name="idbanque"&gt;300760283626261100200EUR201904102330580700&lt;/Valeur&gt;&lt;Valeur name="datevaleur"&gt;2019/04/10&lt;/Valeur&gt;&lt;Valeur name="intitule"&gt;FRAIS VIR SEPA PERMANENT&lt;/Valeur&gt;&lt;Valeur name="description"&gt;&lt;/Valeur&gt;&lt;Valeur name="compte"&gt;18&lt;/Valeur&gt;&lt;Valeur name="solde"&gt;25222.43&lt;/Valeur&gt;&lt;Valeur name="ventiler"&gt;0&lt;/Valeur&gt;&lt;Valeur name="compta"&gt;1&lt;/Valeur&gt;&lt;Valeur name="valeur"&gt;1.6&lt;/Valeur&gt;&lt;/Insert&gt;</v>
      </c>
    </row>
    <row r="255" spans="1:40" x14ac:dyDescent="0.25">
      <c r="A255" t="s">
        <v>604</v>
      </c>
      <c r="B255">
        <v>230</v>
      </c>
      <c r="C255" s="1">
        <v>43565</v>
      </c>
      <c r="D255">
        <v>1</v>
      </c>
      <c r="E255" t="str">
        <f>IF(F255&lt;&gt;"",INDEX(Balance!A:A,MATCH(F255,Balance!B:B,0)),"")</f>
        <v>Depense</v>
      </c>
      <c r="F255" t="s">
        <v>255</v>
      </c>
      <c r="G255" t="s">
        <v>113</v>
      </c>
      <c r="I255" s="10">
        <v>1300</v>
      </c>
      <c r="K255" s="11">
        <f t="shared" si="90"/>
        <v>216.66666666666652</v>
      </c>
      <c r="L255" s="10">
        <f t="shared" si="88"/>
        <v>23922.430000000011</v>
      </c>
      <c r="N255">
        <v>230</v>
      </c>
      <c r="O255">
        <v>1</v>
      </c>
      <c r="P255">
        <v>1</v>
      </c>
      <c r="Q255" t="str">
        <f t="shared" si="70"/>
        <v>300760283626261100200EUR201904102333837500</v>
      </c>
      <c r="R255" s="16" t="s">
        <v>908</v>
      </c>
      <c r="S255" t="str">
        <f t="shared" si="71"/>
        <v>VIR SEPA SCI LT DECO</v>
      </c>
      <c r="U255">
        <f>IFERROR(VLOOKUP(F255,tab!A:B,2,FALSE),1)</f>
        <v>20</v>
      </c>
      <c r="V255" s="14">
        <f t="shared" si="72"/>
        <v>23922.430000000011</v>
      </c>
      <c r="W255">
        <f t="shared" si="73"/>
        <v>0</v>
      </c>
      <c r="X255">
        <f t="shared" si="74"/>
        <v>1</v>
      </c>
      <c r="Y255" s="14">
        <f t="shared" si="75"/>
        <v>1300</v>
      </c>
      <c r="AA255" t="str">
        <f t="shared" si="76"/>
        <v>&lt;Valeur name="no"&gt;230&lt;/Valeur&gt;</v>
      </c>
      <c r="AB255" t="str">
        <f t="shared" si="76"/>
        <v>&lt;Valeur name="banque"&gt;1&lt;/Valeur&gt;</v>
      </c>
      <c r="AC255" t="str">
        <f t="shared" si="78"/>
        <v>&lt;Valeur name="pointer"&gt;1&lt;/Valeur&gt;</v>
      </c>
      <c r="AD255" t="str">
        <f t="shared" si="79"/>
        <v>&lt;Valeur name="idbanque"&gt;300760283626261100200EUR201904102333837500&lt;/Valeur&gt;</v>
      </c>
      <c r="AE255" t="str">
        <f t="shared" si="80"/>
        <v>&lt;Valeur name="datevaleur"&gt;2019/04/10&lt;/Valeur&gt;</v>
      </c>
      <c r="AF255" t="str">
        <f t="shared" si="81"/>
        <v>&lt;Valeur name="intitule"&gt;VIR SEPA SCI LT DECO&lt;/Valeur&gt;</v>
      </c>
      <c r="AG255" t="str">
        <f t="shared" si="82"/>
        <v>&lt;Valeur name="description"&gt;&lt;/Valeur&gt;</v>
      </c>
      <c r="AH255" t="str">
        <f t="shared" si="83"/>
        <v>&lt;Valeur name="compte"&gt;20&lt;/Valeur&gt;</v>
      </c>
      <c r="AI255" t="str">
        <f t="shared" si="84"/>
        <v>&lt;Valeur name="solde"&gt;23922.43&lt;/Valeur&gt;</v>
      </c>
      <c r="AJ255" t="str">
        <f t="shared" si="85"/>
        <v>&lt;Valeur name="ventiler"&gt;0&lt;/Valeur&gt;</v>
      </c>
      <c r="AK255" t="str">
        <f t="shared" si="86"/>
        <v>&lt;Valeur name="compta"&gt;1&lt;/Valeur&gt;</v>
      </c>
      <c r="AL255" t="str">
        <f t="shared" si="87"/>
        <v>&lt;Valeur name="valeur"&gt;1300&lt;/Valeur&gt;</v>
      </c>
      <c r="AN255" t="str">
        <f t="shared" si="77"/>
        <v>&lt;Insert&gt;&lt;Valeur name="no"&gt;230&lt;/Valeur&gt;&lt;Valeur name="banque"&gt;1&lt;/Valeur&gt;&lt;Valeur name="pointer"&gt;1&lt;/Valeur&gt;&lt;Valeur name="idbanque"&gt;300760283626261100200EUR201904102333837500&lt;/Valeur&gt;&lt;Valeur name="datevaleur"&gt;2019/04/10&lt;/Valeur&gt;&lt;Valeur name="intitule"&gt;VIR SEPA SCI LT DECO&lt;/Valeur&gt;&lt;Valeur name="description"&gt;&lt;/Valeur&gt;&lt;Valeur name="compte"&gt;20&lt;/Valeur&gt;&lt;Valeur name="solde"&gt;23922.43&lt;/Valeur&gt;&lt;Valeur name="ventiler"&gt;0&lt;/Valeur&gt;&lt;Valeur name="compta"&gt;1&lt;/Valeur&gt;&lt;Valeur name="valeur"&gt;1300&lt;/Valeur&gt;&lt;/Insert&gt;</v>
      </c>
    </row>
    <row r="256" spans="1:40" x14ac:dyDescent="0.25">
      <c r="A256" t="s">
        <v>605</v>
      </c>
      <c r="B256">
        <v>231</v>
      </c>
      <c r="C256" s="1">
        <v>43565</v>
      </c>
      <c r="D256">
        <v>1</v>
      </c>
      <c r="E256" t="str">
        <f>IF(F256&lt;&gt;"",INDEX(Balance!A:A,MATCH(F256,Balance!B:B,0)),"")</f>
        <v>Depense</v>
      </c>
      <c r="F256" t="s">
        <v>380</v>
      </c>
      <c r="G256" t="s">
        <v>107</v>
      </c>
      <c r="I256" s="10">
        <v>380</v>
      </c>
      <c r="K256" s="11">
        <f t="shared" si="90"/>
        <v>63.333333333333314</v>
      </c>
      <c r="L256" s="10">
        <f t="shared" si="88"/>
        <v>23542.430000000011</v>
      </c>
      <c r="N256">
        <v>231</v>
      </c>
      <c r="O256">
        <v>1</v>
      </c>
      <c r="P256">
        <v>1</v>
      </c>
      <c r="Q256" t="str">
        <f t="shared" si="70"/>
        <v>300760283626261100200EUR201904105810149800</v>
      </c>
      <c r="R256" s="16" t="s">
        <v>908</v>
      </c>
      <c r="S256" t="str">
        <f t="shared" si="71"/>
        <v>02836 262611 0138 00FIN DE PRET:</v>
      </c>
      <c r="U256">
        <f>IFERROR(VLOOKUP(F256,tab!A:B,2,FALSE),1)</f>
        <v>24</v>
      </c>
      <c r="V256" s="14">
        <f t="shared" si="72"/>
        <v>23542.430000000011</v>
      </c>
      <c r="W256">
        <f t="shared" si="73"/>
        <v>0</v>
      </c>
      <c r="X256">
        <f t="shared" si="74"/>
        <v>1</v>
      </c>
      <c r="Y256" s="14">
        <f t="shared" si="75"/>
        <v>380</v>
      </c>
      <c r="AA256" t="str">
        <f t="shared" si="76"/>
        <v>&lt;Valeur name="no"&gt;231&lt;/Valeur&gt;</v>
      </c>
      <c r="AB256" t="str">
        <f t="shared" si="76"/>
        <v>&lt;Valeur name="banque"&gt;1&lt;/Valeur&gt;</v>
      </c>
      <c r="AC256" t="str">
        <f t="shared" si="78"/>
        <v>&lt;Valeur name="pointer"&gt;1&lt;/Valeur&gt;</v>
      </c>
      <c r="AD256" t="str">
        <f t="shared" si="79"/>
        <v>&lt;Valeur name="idbanque"&gt;300760283626261100200EUR201904105810149800&lt;/Valeur&gt;</v>
      </c>
      <c r="AE256" t="str">
        <f t="shared" si="80"/>
        <v>&lt;Valeur name="datevaleur"&gt;2019/04/10&lt;/Valeur&gt;</v>
      </c>
      <c r="AF256" t="str">
        <f t="shared" si="81"/>
        <v>&lt;Valeur name="intitule"&gt;02836 262611 0138 00FIN DE PRET:&lt;/Valeur&gt;</v>
      </c>
      <c r="AG256" t="str">
        <f t="shared" si="82"/>
        <v>&lt;Valeur name="description"&gt;&lt;/Valeur&gt;</v>
      </c>
      <c r="AH256" t="str">
        <f t="shared" si="83"/>
        <v>&lt;Valeur name="compte"&gt;24&lt;/Valeur&gt;</v>
      </c>
      <c r="AI256" t="str">
        <f t="shared" si="84"/>
        <v>&lt;Valeur name="solde"&gt;23542.43&lt;/Valeur&gt;</v>
      </c>
      <c r="AJ256" t="str">
        <f t="shared" si="85"/>
        <v>&lt;Valeur name="ventiler"&gt;0&lt;/Valeur&gt;</v>
      </c>
      <c r="AK256" t="str">
        <f t="shared" si="86"/>
        <v>&lt;Valeur name="compta"&gt;1&lt;/Valeur&gt;</v>
      </c>
      <c r="AL256" t="str">
        <f t="shared" si="87"/>
        <v>&lt;Valeur name="valeur"&gt;380&lt;/Valeur&gt;</v>
      </c>
      <c r="AN256" t="str">
        <f t="shared" si="77"/>
        <v>&lt;Insert&gt;&lt;Valeur name="no"&gt;231&lt;/Valeur&gt;&lt;Valeur name="banque"&gt;1&lt;/Valeur&gt;&lt;Valeur name="pointer"&gt;1&lt;/Valeur&gt;&lt;Valeur name="idbanque"&gt;300760283626261100200EUR201904105810149800&lt;/Valeur&gt;&lt;Valeur name="datevaleur"&gt;2019/04/10&lt;/Valeur&gt;&lt;Valeur name="intitule"&gt;02836 262611 0138 00FIN DE PRET:&lt;/Valeur&gt;&lt;Valeur name="description"&gt;&lt;/Valeur&gt;&lt;Valeur name="compte"&gt;24&lt;/Valeur&gt;&lt;Valeur name="solde"&gt;23542.43&lt;/Valeur&gt;&lt;Valeur name="ventiler"&gt;0&lt;/Valeur&gt;&lt;Valeur name="compta"&gt;1&lt;/Valeur&gt;&lt;Valeur name="valeur"&gt;380&lt;/Valeur&gt;&lt;/Insert&gt;</v>
      </c>
    </row>
    <row r="257" spans="1:40" x14ac:dyDescent="0.25">
      <c r="A257" t="s">
        <v>606</v>
      </c>
      <c r="B257">
        <v>232</v>
      </c>
      <c r="C257" s="1">
        <v>43565</v>
      </c>
      <c r="D257">
        <v>1</v>
      </c>
      <c r="E257" t="str">
        <f>IF(F257&lt;&gt;"",INDEX(Balance!A:A,MATCH(F257,Balance!B:B,0)),"")</f>
        <v>Depense</v>
      </c>
      <c r="F257" t="s">
        <v>381</v>
      </c>
      <c r="G257" t="s">
        <v>103</v>
      </c>
      <c r="I257" s="10">
        <v>237.15</v>
      </c>
      <c r="K257" s="11">
        <f t="shared" si="90"/>
        <v>39.525000000000006</v>
      </c>
      <c r="L257" s="10">
        <f t="shared" si="88"/>
        <v>23305.28000000001</v>
      </c>
      <c r="N257">
        <v>232</v>
      </c>
      <c r="O257">
        <v>1</v>
      </c>
      <c r="P257">
        <v>1</v>
      </c>
      <c r="Q257" t="str">
        <f t="shared" si="70"/>
        <v>300760283626261100200EUR201904105810150000</v>
      </c>
      <c r="R257" s="16" t="s">
        <v>908</v>
      </c>
      <c r="S257" t="str">
        <f t="shared" si="71"/>
        <v>02836 262611 0138 01FIN DE PRET:</v>
      </c>
      <c r="U257">
        <f>IFERROR(VLOOKUP(F257,tab!A:B,2,FALSE),1)</f>
        <v>22</v>
      </c>
      <c r="V257" s="14">
        <f t="shared" si="72"/>
        <v>23305.28000000001</v>
      </c>
      <c r="W257">
        <f t="shared" si="73"/>
        <v>0</v>
      </c>
      <c r="X257">
        <f t="shared" si="74"/>
        <v>1</v>
      </c>
      <c r="Y257" s="14">
        <f t="shared" si="75"/>
        <v>237.15</v>
      </c>
      <c r="AA257" t="str">
        <f t="shared" si="76"/>
        <v>&lt;Valeur name="no"&gt;232&lt;/Valeur&gt;</v>
      </c>
      <c r="AB257" t="str">
        <f t="shared" si="76"/>
        <v>&lt;Valeur name="banque"&gt;1&lt;/Valeur&gt;</v>
      </c>
      <c r="AC257" t="str">
        <f t="shared" si="78"/>
        <v>&lt;Valeur name="pointer"&gt;1&lt;/Valeur&gt;</v>
      </c>
      <c r="AD257" t="str">
        <f t="shared" si="79"/>
        <v>&lt;Valeur name="idbanque"&gt;300760283626261100200EUR201904105810150000&lt;/Valeur&gt;</v>
      </c>
      <c r="AE257" t="str">
        <f t="shared" si="80"/>
        <v>&lt;Valeur name="datevaleur"&gt;2019/04/10&lt;/Valeur&gt;</v>
      </c>
      <c r="AF257" t="str">
        <f t="shared" si="81"/>
        <v>&lt;Valeur name="intitule"&gt;02836 262611 0138 01FIN DE PRET:&lt;/Valeur&gt;</v>
      </c>
      <c r="AG257" t="str">
        <f t="shared" si="82"/>
        <v>&lt;Valeur name="description"&gt;&lt;/Valeur&gt;</v>
      </c>
      <c r="AH257" t="str">
        <f t="shared" si="83"/>
        <v>&lt;Valeur name="compte"&gt;22&lt;/Valeur&gt;</v>
      </c>
      <c r="AI257" t="str">
        <f t="shared" si="84"/>
        <v>&lt;Valeur name="solde"&gt;23305.28&lt;/Valeur&gt;</v>
      </c>
      <c r="AJ257" t="str">
        <f t="shared" si="85"/>
        <v>&lt;Valeur name="ventiler"&gt;0&lt;/Valeur&gt;</v>
      </c>
      <c r="AK257" t="str">
        <f t="shared" si="86"/>
        <v>&lt;Valeur name="compta"&gt;1&lt;/Valeur&gt;</v>
      </c>
      <c r="AL257" t="str">
        <f t="shared" si="87"/>
        <v>&lt;Valeur name="valeur"&gt;237.15&lt;/Valeur&gt;</v>
      </c>
      <c r="AN257" t="str">
        <f t="shared" si="77"/>
        <v>&lt;Insert&gt;&lt;Valeur name="no"&gt;232&lt;/Valeur&gt;&lt;Valeur name="banque"&gt;1&lt;/Valeur&gt;&lt;Valeur name="pointer"&gt;1&lt;/Valeur&gt;&lt;Valeur name="idbanque"&gt;300760283626261100200EUR201904105810150000&lt;/Valeur&gt;&lt;Valeur name="datevaleur"&gt;2019/04/10&lt;/Valeur&gt;&lt;Valeur name="intitule"&gt;02836 262611 0138 01FIN DE PRET:&lt;/Valeur&gt;&lt;Valeur name="description"&gt;&lt;/Valeur&gt;&lt;Valeur name="compte"&gt;22&lt;/Valeur&gt;&lt;Valeur name="solde"&gt;23305.28&lt;/Valeur&gt;&lt;Valeur name="ventiler"&gt;0&lt;/Valeur&gt;&lt;Valeur name="compta"&gt;1&lt;/Valeur&gt;&lt;Valeur name="valeur"&gt;237.15&lt;/Valeur&gt;&lt;/Insert&gt;</v>
      </c>
    </row>
    <row r="258" spans="1:40" x14ac:dyDescent="0.25">
      <c r="A258" t="s">
        <v>607</v>
      </c>
      <c r="B258">
        <v>233</v>
      </c>
      <c r="C258" s="1">
        <v>43565</v>
      </c>
      <c r="D258">
        <v>1</v>
      </c>
      <c r="E258" t="str">
        <f>IF(F258&lt;&gt;"",INDEX(Balance!A:A,MATCH(F258,Balance!B:B,0)),"")</f>
        <v>Depense</v>
      </c>
      <c r="F258" t="s">
        <v>382</v>
      </c>
      <c r="G258" t="s">
        <v>608</v>
      </c>
      <c r="I258" s="10">
        <v>260</v>
      </c>
      <c r="K258" s="11">
        <f t="shared" si="90"/>
        <v>43.333333333333314</v>
      </c>
      <c r="L258" s="10">
        <f t="shared" si="88"/>
        <v>23045.28000000001</v>
      </c>
      <c r="N258">
        <v>233</v>
      </c>
      <c r="O258">
        <v>1</v>
      </c>
      <c r="P258">
        <v>1</v>
      </c>
      <c r="Q258" t="str">
        <f t="shared" si="70"/>
        <v>300760283626261100200EUR201904105812866500</v>
      </c>
      <c r="R258" s="16" t="s">
        <v>908</v>
      </c>
      <c r="S258" t="str">
        <f t="shared" si="71"/>
        <v>02836 262611 0104 00  6 304,42 E</v>
      </c>
      <c r="U258">
        <f>IFERROR(VLOOKUP(F258,tab!A:B,2,FALSE),1)</f>
        <v>23</v>
      </c>
      <c r="V258" s="14">
        <f t="shared" si="72"/>
        <v>23045.28000000001</v>
      </c>
      <c r="W258">
        <f t="shared" si="73"/>
        <v>0</v>
      </c>
      <c r="X258">
        <f t="shared" si="74"/>
        <v>1</v>
      </c>
      <c r="Y258" s="14">
        <f t="shared" si="75"/>
        <v>260</v>
      </c>
      <c r="AA258" t="str">
        <f t="shared" si="76"/>
        <v>&lt;Valeur name="no"&gt;233&lt;/Valeur&gt;</v>
      </c>
      <c r="AB258" t="str">
        <f t="shared" si="76"/>
        <v>&lt;Valeur name="banque"&gt;1&lt;/Valeur&gt;</v>
      </c>
      <c r="AC258" t="str">
        <f t="shared" si="78"/>
        <v>&lt;Valeur name="pointer"&gt;1&lt;/Valeur&gt;</v>
      </c>
      <c r="AD258" t="str">
        <f t="shared" si="79"/>
        <v>&lt;Valeur name="idbanque"&gt;300760283626261100200EUR201904105812866500&lt;/Valeur&gt;</v>
      </c>
      <c r="AE258" t="str">
        <f t="shared" si="80"/>
        <v>&lt;Valeur name="datevaleur"&gt;2019/04/10&lt;/Valeur&gt;</v>
      </c>
      <c r="AF258" t="str">
        <f t="shared" si="81"/>
        <v>&lt;Valeur name="intitule"&gt;02836 262611 0104 00  6 304,42 E&lt;/Valeur&gt;</v>
      </c>
      <c r="AG258" t="str">
        <f t="shared" si="82"/>
        <v>&lt;Valeur name="description"&gt;&lt;/Valeur&gt;</v>
      </c>
      <c r="AH258" t="str">
        <f t="shared" si="83"/>
        <v>&lt;Valeur name="compte"&gt;23&lt;/Valeur&gt;</v>
      </c>
      <c r="AI258" t="str">
        <f t="shared" si="84"/>
        <v>&lt;Valeur name="solde"&gt;23045.28&lt;/Valeur&gt;</v>
      </c>
      <c r="AJ258" t="str">
        <f t="shared" si="85"/>
        <v>&lt;Valeur name="ventiler"&gt;0&lt;/Valeur&gt;</v>
      </c>
      <c r="AK258" t="str">
        <f t="shared" si="86"/>
        <v>&lt;Valeur name="compta"&gt;1&lt;/Valeur&gt;</v>
      </c>
      <c r="AL258" t="str">
        <f t="shared" si="87"/>
        <v>&lt;Valeur name="valeur"&gt;260&lt;/Valeur&gt;</v>
      </c>
      <c r="AN258" t="str">
        <f t="shared" si="77"/>
        <v>&lt;Insert&gt;&lt;Valeur name="no"&gt;233&lt;/Valeur&gt;&lt;Valeur name="banque"&gt;1&lt;/Valeur&gt;&lt;Valeur name="pointer"&gt;1&lt;/Valeur&gt;&lt;Valeur name="idbanque"&gt;300760283626261100200EUR201904105812866500&lt;/Valeur&gt;&lt;Valeur name="datevaleur"&gt;2019/04/10&lt;/Valeur&gt;&lt;Valeur name="intitule"&gt;02836 262611 0104 00  6 304,42 E&lt;/Valeur&gt;&lt;Valeur name="description"&gt;&lt;/Valeur&gt;&lt;Valeur name="compte"&gt;23&lt;/Valeur&gt;&lt;Valeur name="solde"&gt;23045.28&lt;/Valeur&gt;&lt;Valeur name="ventiler"&gt;0&lt;/Valeur&gt;&lt;Valeur name="compta"&gt;1&lt;/Valeur&gt;&lt;Valeur name="valeur"&gt;260&lt;/Valeur&gt;&lt;/Insert&gt;</v>
      </c>
    </row>
    <row r="259" spans="1:40" x14ac:dyDescent="0.25">
      <c r="A259" t="s">
        <v>609</v>
      </c>
      <c r="B259">
        <v>234</v>
      </c>
      <c r="C259" s="1">
        <v>43566</v>
      </c>
      <c r="D259">
        <v>1</v>
      </c>
      <c r="E259" t="str">
        <f>IF(F259&lt;&gt;"",INDEX(Balance!A:A,MATCH(F259,Balance!B:B,0)),"")</f>
        <v>Depense</v>
      </c>
      <c r="F259" t="s">
        <v>254</v>
      </c>
      <c r="G259" t="s">
        <v>610</v>
      </c>
      <c r="I259" s="10">
        <v>52.2</v>
      </c>
      <c r="K259" s="11">
        <f t="shared" si="90"/>
        <v>8.6999999999999957</v>
      </c>
      <c r="L259" s="10">
        <f t="shared" si="88"/>
        <v>22993.080000000009</v>
      </c>
      <c r="N259">
        <v>234</v>
      </c>
      <c r="O259">
        <v>1</v>
      </c>
      <c r="P259">
        <v>1</v>
      </c>
      <c r="Q259" t="str">
        <f t="shared" ref="Q259:Q322" si="91">A259</f>
        <v>300760283626261100200EUR201904111070074500</v>
      </c>
      <c r="R259" s="16" t="s">
        <v>922</v>
      </c>
      <c r="S259" t="str">
        <f t="shared" ref="S259:S322" si="92">G259&amp;IF(ISBLANK(H259),""," / "&amp;H259)</f>
        <v>CB 454106 LE VENEZIA  62ARRAS</v>
      </c>
      <c r="U259">
        <f>IFERROR(VLOOKUP(F259,tab!A:B,2,FALSE),1)</f>
        <v>27</v>
      </c>
      <c r="V259" s="14">
        <f t="shared" ref="V259:V322" si="93">L259</f>
        <v>22993.080000000009</v>
      </c>
      <c r="W259">
        <f t="shared" ref="W259:W322" si="94">IF(ISBLANK(A260),1,0)</f>
        <v>0</v>
      </c>
      <c r="X259">
        <f t="shared" ref="X259:X322" si="95">IF(D259=1,1,"")</f>
        <v>1</v>
      </c>
      <c r="Y259" s="14">
        <f t="shared" ref="Y259:Y322" si="96">SUM(I259:J259)</f>
        <v>52.2</v>
      </c>
      <c r="AA259" t="str">
        <f t="shared" ref="AA259:AB322" si="97">IF(ISBLANK($N259),"",N$1&amp;N259&amp;"&lt;/Valeur&gt;")</f>
        <v>&lt;Valeur name="no"&gt;234&lt;/Valeur&gt;</v>
      </c>
      <c r="AB259" t="str">
        <f t="shared" si="97"/>
        <v>&lt;Valeur name="banque"&gt;1&lt;/Valeur&gt;</v>
      </c>
      <c r="AC259" t="str">
        <f t="shared" si="78"/>
        <v>&lt;Valeur name="pointer"&gt;1&lt;/Valeur&gt;</v>
      </c>
      <c r="AD259" t="str">
        <f t="shared" si="79"/>
        <v>&lt;Valeur name="idbanque"&gt;300760283626261100200EUR201904111070074500&lt;/Valeur&gt;</v>
      </c>
      <c r="AE259" t="str">
        <f t="shared" si="80"/>
        <v>&lt;Valeur name="datevaleur"&gt;2019/04/11&lt;/Valeur&gt;</v>
      </c>
      <c r="AF259" t="str">
        <f t="shared" si="81"/>
        <v>&lt;Valeur name="intitule"&gt;CB 454106 LE VENEZIA  62ARRAS&lt;/Valeur&gt;</v>
      </c>
      <c r="AG259" t="str">
        <f t="shared" si="82"/>
        <v>&lt;Valeur name="description"&gt;&lt;/Valeur&gt;</v>
      </c>
      <c r="AH259" t="str">
        <f t="shared" si="83"/>
        <v>&lt;Valeur name="compte"&gt;27&lt;/Valeur&gt;</v>
      </c>
      <c r="AI259" t="str">
        <f t="shared" si="84"/>
        <v>&lt;Valeur name="solde"&gt;22993.08&lt;/Valeur&gt;</v>
      </c>
      <c r="AJ259" t="str">
        <f t="shared" si="85"/>
        <v>&lt;Valeur name="ventiler"&gt;0&lt;/Valeur&gt;</v>
      </c>
      <c r="AK259" t="str">
        <f t="shared" si="86"/>
        <v>&lt;Valeur name="compta"&gt;1&lt;/Valeur&gt;</v>
      </c>
      <c r="AL259" t="str">
        <f t="shared" si="87"/>
        <v>&lt;Valeur name="valeur"&gt;52.2&lt;/Valeur&gt;</v>
      </c>
      <c r="AN259" t="str">
        <f t="shared" ref="AN259:AN322" si="98">IF(ISBLANK(N259),"",CONCATENATE("&lt;Insert&gt;",AA259,AB259,AC259,AD259,AE259,AF259,AG259,AH259,AI259,AJ259,AK259,AL259,"&lt;/Insert&gt;"))</f>
        <v>&lt;Insert&gt;&lt;Valeur name="no"&gt;234&lt;/Valeur&gt;&lt;Valeur name="banque"&gt;1&lt;/Valeur&gt;&lt;Valeur name="pointer"&gt;1&lt;/Valeur&gt;&lt;Valeur name="idbanque"&gt;300760283626261100200EUR201904111070074500&lt;/Valeur&gt;&lt;Valeur name="datevaleur"&gt;2019/04/11&lt;/Valeur&gt;&lt;Valeur name="intitule"&gt;CB 454106 LE VENEZIA  62ARRAS&lt;/Valeur&gt;&lt;Valeur name="description"&gt;&lt;/Valeur&gt;&lt;Valeur name="compte"&gt;27&lt;/Valeur&gt;&lt;Valeur name="solde"&gt;22993.08&lt;/Valeur&gt;&lt;Valeur name="ventiler"&gt;0&lt;/Valeur&gt;&lt;Valeur name="compta"&gt;1&lt;/Valeur&gt;&lt;Valeur name="valeur"&gt;52.2&lt;/Valeur&gt;&lt;/Insert&gt;</v>
      </c>
    </row>
    <row r="260" spans="1:40" x14ac:dyDescent="0.25">
      <c r="A260" t="s">
        <v>618</v>
      </c>
      <c r="B260">
        <v>235</v>
      </c>
      <c r="C260" s="1">
        <v>43567</v>
      </c>
      <c r="D260">
        <v>1</v>
      </c>
      <c r="E260" t="str">
        <f>IF(F260&lt;&gt;"",INDEX(Balance!A:A,MATCH(F260,Balance!B:B,0)),"")</f>
        <v>Fournisseurs</v>
      </c>
      <c r="F260" t="s">
        <v>262</v>
      </c>
      <c r="G260" t="s">
        <v>619</v>
      </c>
      <c r="I260" s="10">
        <v>238.38</v>
      </c>
      <c r="K260" s="11">
        <f t="shared" si="90"/>
        <v>39.72999999999999</v>
      </c>
      <c r="L260" s="10">
        <f t="shared" si="88"/>
        <v>22754.700000000008</v>
      </c>
      <c r="N260">
        <v>235</v>
      </c>
      <c r="O260">
        <v>1</v>
      </c>
      <c r="P260">
        <v>1</v>
      </c>
      <c r="Q260" t="str">
        <f t="shared" si="91"/>
        <v>300760283626261100200EUR201904120292513500</v>
      </c>
      <c r="R260" s="16" t="s">
        <v>973</v>
      </c>
      <c r="S260" t="str">
        <f t="shared" si="92"/>
        <v>E-VIR SEPA France Galva</v>
      </c>
      <c r="U260">
        <f>IFERROR(VLOOKUP(F260,tab!A:B,2,FALSE),1)</f>
        <v>65</v>
      </c>
      <c r="V260" s="14">
        <f t="shared" si="93"/>
        <v>22754.700000000008</v>
      </c>
      <c r="W260">
        <f t="shared" si="94"/>
        <v>0</v>
      </c>
      <c r="X260">
        <f t="shared" si="95"/>
        <v>1</v>
      </c>
      <c r="Y260" s="14">
        <f t="shared" si="96"/>
        <v>238.38</v>
      </c>
      <c r="AA260" t="str">
        <f t="shared" si="97"/>
        <v>&lt;Valeur name="no"&gt;235&lt;/Valeur&gt;</v>
      </c>
      <c r="AB260" t="str">
        <f t="shared" si="97"/>
        <v>&lt;Valeur name="banque"&gt;1&lt;/Valeur&gt;</v>
      </c>
      <c r="AC260" t="str">
        <f t="shared" si="78"/>
        <v>&lt;Valeur name="pointer"&gt;1&lt;/Valeur&gt;</v>
      </c>
      <c r="AD260" t="str">
        <f t="shared" si="79"/>
        <v>&lt;Valeur name="idbanque"&gt;300760283626261100200EUR201904120292513500&lt;/Valeur&gt;</v>
      </c>
      <c r="AE260" t="str">
        <f t="shared" si="80"/>
        <v>&lt;Valeur name="datevaleur"&gt;2019/04/12&lt;/Valeur&gt;</v>
      </c>
      <c r="AF260" t="str">
        <f t="shared" si="81"/>
        <v>&lt;Valeur name="intitule"&gt;E-VIR SEPA France Galva&lt;/Valeur&gt;</v>
      </c>
      <c r="AG260" t="str">
        <f t="shared" si="82"/>
        <v>&lt;Valeur name="description"&gt;&lt;/Valeur&gt;</v>
      </c>
      <c r="AH260" t="str">
        <f t="shared" si="83"/>
        <v>&lt;Valeur name="compte"&gt;65&lt;/Valeur&gt;</v>
      </c>
      <c r="AI260" t="str">
        <f t="shared" si="84"/>
        <v>&lt;Valeur name="solde"&gt;22754.7&lt;/Valeur&gt;</v>
      </c>
      <c r="AJ260" t="str">
        <f t="shared" si="85"/>
        <v>&lt;Valeur name="ventiler"&gt;0&lt;/Valeur&gt;</v>
      </c>
      <c r="AK260" t="str">
        <f t="shared" si="86"/>
        <v>&lt;Valeur name="compta"&gt;1&lt;/Valeur&gt;</v>
      </c>
      <c r="AL260" t="str">
        <f t="shared" si="87"/>
        <v>&lt;Valeur name="valeur"&gt;238.38&lt;/Valeur&gt;</v>
      </c>
      <c r="AN260" t="str">
        <f t="shared" si="98"/>
        <v>&lt;Insert&gt;&lt;Valeur name="no"&gt;235&lt;/Valeur&gt;&lt;Valeur name="banque"&gt;1&lt;/Valeur&gt;&lt;Valeur name="pointer"&gt;1&lt;/Valeur&gt;&lt;Valeur name="idbanque"&gt;300760283626261100200EUR201904120292513500&lt;/Valeur&gt;&lt;Valeur name="datevaleur"&gt;2019/04/12&lt;/Valeur&gt;&lt;Valeur name="intitule"&gt;E-VIR SEPA France Galva&lt;/Valeur&gt;&lt;Valeur name="description"&gt;&lt;/Valeur&gt;&lt;Valeur name="compte"&gt;65&lt;/Valeur&gt;&lt;Valeur name="solde"&gt;22754.7&lt;/Valeur&gt;&lt;Valeur name="ventiler"&gt;0&lt;/Valeur&gt;&lt;Valeur name="compta"&gt;1&lt;/Valeur&gt;&lt;Valeur name="valeur"&gt;238.38&lt;/Valeur&gt;&lt;/Insert&gt;</v>
      </c>
    </row>
    <row r="261" spans="1:40" x14ac:dyDescent="0.25">
      <c r="A261" t="s">
        <v>620</v>
      </c>
      <c r="B261">
        <v>236</v>
      </c>
      <c r="C261" s="1">
        <v>43567</v>
      </c>
      <c r="D261">
        <v>1</v>
      </c>
      <c r="E261" t="str">
        <f>IF(F261&lt;&gt;"",INDEX(Balance!A:A,MATCH(F261,Balance!B:B,0)),"")</f>
        <v>Fournisseurs</v>
      </c>
      <c r="F261" t="s">
        <v>262</v>
      </c>
      <c r="G261" t="s">
        <v>619</v>
      </c>
      <c r="I261" s="10">
        <v>263.04000000000002</v>
      </c>
      <c r="K261" s="11">
        <f t="shared" si="90"/>
        <v>43.84</v>
      </c>
      <c r="L261" s="10">
        <f t="shared" si="88"/>
        <v>22491.660000000007</v>
      </c>
      <c r="N261">
        <v>236</v>
      </c>
      <c r="O261">
        <v>1</v>
      </c>
      <c r="P261">
        <v>1</v>
      </c>
      <c r="Q261" t="str">
        <f t="shared" si="91"/>
        <v>300760283626261100200EUR201904120292513600</v>
      </c>
      <c r="R261" s="16" t="s">
        <v>973</v>
      </c>
      <c r="S261" t="str">
        <f t="shared" si="92"/>
        <v>E-VIR SEPA France Galva</v>
      </c>
      <c r="U261">
        <f>IFERROR(VLOOKUP(F261,tab!A:B,2,FALSE),1)</f>
        <v>65</v>
      </c>
      <c r="V261" s="14">
        <f t="shared" si="93"/>
        <v>22491.660000000007</v>
      </c>
      <c r="W261">
        <f t="shared" si="94"/>
        <v>0</v>
      </c>
      <c r="X261">
        <f t="shared" si="95"/>
        <v>1</v>
      </c>
      <c r="Y261" s="14">
        <f t="shared" si="96"/>
        <v>263.04000000000002</v>
      </c>
      <c r="AA261" t="str">
        <f t="shared" si="97"/>
        <v>&lt;Valeur name="no"&gt;236&lt;/Valeur&gt;</v>
      </c>
      <c r="AB261" t="str">
        <f t="shared" si="97"/>
        <v>&lt;Valeur name="banque"&gt;1&lt;/Valeur&gt;</v>
      </c>
      <c r="AC261" t="str">
        <f t="shared" si="78"/>
        <v>&lt;Valeur name="pointer"&gt;1&lt;/Valeur&gt;</v>
      </c>
      <c r="AD261" t="str">
        <f t="shared" si="79"/>
        <v>&lt;Valeur name="idbanque"&gt;300760283626261100200EUR201904120292513600&lt;/Valeur&gt;</v>
      </c>
      <c r="AE261" t="str">
        <f t="shared" si="80"/>
        <v>&lt;Valeur name="datevaleur"&gt;2019/04/12&lt;/Valeur&gt;</v>
      </c>
      <c r="AF261" t="str">
        <f t="shared" si="81"/>
        <v>&lt;Valeur name="intitule"&gt;E-VIR SEPA France Galva&lt;/Valeur&gt;</v>
      </c>
      <c r="AG261" t="str">
        <f t="shared" si="82"/>
        <v>&lt;Valeur name="description"&gt;&lt;/Valeur&gt;</v>
      </c>
      <c r="AH261" t="str">
        <f t="shared" si="83"/>
        <v>&lt;Valeur name="compte"&gt;65&lt;/Valeur&gt;</v>
      </c>
      <c r="AI261" t="str">
        <f t="shared" si="84"/>
        <v>&lt;Valeur name="solde"&gt;22491.66&lt;/Valeur&gt;</v>
      </c>
      <c r="AJ261" t="str">
        <f t="shared" si="85"/>
        <v>&lt;Valeur name="ventiler"&gt;0&lt;/Valeur&gt;</v>
      </c>
      <c r="AK261" t="str">
        <f t="shared" si="86"/>
        <v>&lt;Valeur name="compta"&gt;1&lt;/Valeur&gt;</v>
      </c>
      <c r="AL261" t="str">
        <f t="shared" si="87"/>
        <v>&lt;Valeur name="valeur"&gt;263.04&lt;/Valeur&gt;</v>
      </c>
      <c r="AN261" t="str">
        <f t="shared" si="98"/>
        <v>&lt;Insert&gt;&lt;Valeur name="no"&gt;236&lt;/Valeur&gt;&lt;Valeur name="banque"&gt;1&lt;/Valeur&gt;&lt;Valeur name="pointer"&gt;1&lt;/Valeur&gt;&lt;Valeur name="idbanque"&gt;300760283626261100200EUR201904120292513600&lt;/Valeur&gt;&lt;Valeur name="datevaleur"&gt;2019/04/12&lt;/Valeur&gt;&lt;Valeur name="intitule"&gt;E-VIR SEPA France Galva&lt;/Valeur&gt;&lt;Valeur name="description"&gt;&lt;/Valeur&gt;&lt;Valeur name="compte"&gt;65&lt;/Valeur&gt;&lt;Valeur name="solde"&gt;22491.66&lt;/Valeur&gt;&lt;Valeur name="ventiler"&gt;0&lt;/Valeur&gt;&lt;Valeur name="compta"&gt;1&lt;/Valeur&gt;&lt;Valeur name="valeur"&gt;263.04&lt;/Valeur&gt;&lt;/Insert&gt;</v>
      </c>
    </row>
    <row r="262" spans="1:40" x14ac:dyDescent="0.25">
      <c r="A262" t="s">
        <v>621</v>
      </c>
      <c r="B262">
        <v>237</v>
      </c>
      <c r="C262" s="1">
        <v>43567</v>
      </c>
      <c r="D262">
        <v>1</v>
      </c>
      <c r="E262" t="str">
        <f>IF(F262&lt;&gt;"",INDEX(Balance!A:A,MATCH(F262,Balance!B:B,0)),"")</f>
        <v>Depense</v>
      </c>
      <c r="F262" t="s">
        <v>253</v>
      </c>
      <c r="G262" t="s">
        <v>622</v>
      </c>
      <c r="I262" s="10">
        <v>74.44</v>
      </c>
      <c r="K262" s="11">
        <f t="shared" si="90"/>
        <v>12.406666666666666</v>
      </c>
      <c r="L262" s="10">
        <f t="shared" si="88"/>
        <v>22417.220000000008</v>
      </c>
      <c r="N262">
        <v>237</v>
      </c>
      <c r="O262">
        <v>1</v>
      </c>
      <c r="P262">
        <v>1</v>
      </c>
      <c r="Q262" t="str">
        <f t="shared" si="91"/>
        <v>300760283626261100200EUR201904121075665100</v>
      </c>
      <c r="R262" s="16" t="s">
        <v>973</v>
      </c>
      <c r="S262" t="str">
        <f t="shared" si="92"/>
        <v>CB 548222 ESSO PILATE 59WASQUEHA</v>
      </c>
      <c r="U262">
        <f>IFERROR(VLOOKUP(F262,tab!A:B,2,FALSE),1)</f>
        <v>13</v>
      </c>
      <c r="V262" s="14">
        <f t="shared" si="93"/>
        <v>22417.220000000008</v>
      </c>
      <c r="W262">
        <f t="shared" si="94"/>
        <v>0</v>
      </c>
      <c r="X262">
        <f t="shared" si="95"/>
        <v>1</v>
      </c>
      <c r="Y262" s="14">
        <f t="shared" si="96"/>
        <v>74.44</v>
      </c>
      <c r="AA262" t="str">
        <f t="shared" si="97"/>
        <v>&lt;Valeur name="no"&gt;237&lt;/Valeur&gt;</v>
      </c>
      <c r="AB262" t="str">
        <f t="shared" si="97"/>
        <v>&lt;Valeur name="banque"&gt;1&lt;/Valeur&gt;</v>
      </c>
      <c r="AC262" t="str">
        <f t="shared" si="78"/>
        <v>&lt;Valeur name="pointer"&gt;1&lt;/Valeur&gt;</v>
      </c>
      <c r="AD262" t="str">
        <f t="shared" si="79"/>
        <v>&lt;Valeur name="idbanque"&gt;300760283626261100200EUR201904121075665100&lt;/Valeur&gt;</v>
      </c>
      <c r="AE262" t="str">
        <f t="shared" si="80"/>
        <v>&lt;Valeur name="datevaleur"&gt;2019/04/12&lt;/Valeur&gt;</v>
      </c>
      <c r="AF262" t="str">
        <f t="shared" si="81"/>
        <v>&lt;Valeur name="intitule"&gt;CB 548222 ESSO PILATE 59WASQUEHA&lt;/Valeur&gt;</v>
      </c>
      <c r="AG262" t="str">
        <f t="shared" si="82"/>
        <v>&lt;Valeur name="description"&gt;&lt;/Valeur&gt;</v>
      </c>
      <c r="AH262" t="str">
        <f t="shared" si="83"/>
        <v>&lt;Valeur name="compte"&gt;13&lt;/Valeur&gt;</v>
      </c>
      <c r="AI262" t="str">
        <f t="shared" si="84"/>
        <v>&lt;Valeur name="solde"&gt;22417.22&lt;/Valeur&gt;</v>
      </c>
      <c r="AJ262" t="str">
        <f t="shared" si="85"/>
        <v>&lt;Valeur name="ventiler"&gt;0&lt;/Valeur&gt;</v>
      </c>
      <c r="AK262" t="str">
        <f t="shared" si="86"/>
        <v>&lt;Valeur name="compta"&gt;1&lt;/Valeur&gt;</v>
      </c>
      <c r="AL262" t="str">
        <f t="shared" si="87"/>
        <v>&lt;Valeur name="valeur"&gt;74.44&lt;/Valeur&gt;</v>
      </c>
      <c r="AN262" t="str">
        <f t="shared" si="98"/>
        <v>&lt;Insert&gt;&lt;Valeur name="no"&gt;237&lt;/Valeur&gt;&lt;Valeur name="banque"&gt;1&lt;/Valeur&gt;&lt;Valeur name="pointer"&gt;1&lt;/Valeur&gt;&lt;Valeur name="idbanque"&gt;300760283626261100200EUR201904121075665100&lt;/Valeur&gt;&lt;Valeur name="datevaleur"&gt;2019/04/12&lt;/Valeur&gt;&lt;Valeur name="intitule"&gt;CB 548222 ESSO PILATE 59WASQUEHA&lt;/Valeur&gt;&lt;Valeur name="description"&gt;&lt;/Valeur&gt;&lt;Valeur name="compte"&gt;13&lt;/Valeur&gt;&lt;Valeur name="solde"&gt;22417.22&lt;/Valeur&gt;&lt;Valeur name="ventiler"&gt;0&lt;/Valeur&gt;&lt;Valeur name="compta"&gt;1&lt;/Valeur&gt;&lt;Valeur name="valeur"&gt;74.44&lt;/Valeur&gt;&lt;/Insert&gt;</v>
      </c>
    </row>
    <row r="263" spans="1:40" x14ac:dyDescent="0.25">
      <c r="A263" t="s">
        <v>623</v>
      </c>
      <c r="B263">
        <v>238</v>
      </c>
      <c r="C263" s="1">
        <v>43567</v>
      </c>
      <c r="D263">
        <v>1</v>
      </c>
      <c r="E263" t="str">
        <f>IF(F263&lt;&gt;"",INDEX(Balance!A:A,MATCH(F263,Balance!B:B,0)),"")</f>
        <v>Depense</v>
      </c>
      <c r="F263" t="s">
        <v>253</v>
      </c>
      <c r="G263" t="s">
        <v>219</v>
      </c>
      <c r="I263" s="10">
        <v>21.1</v>
      </c>
      <c r="K263" s="11">
        <f t="shared" si="90"/>
        <v>3.5166666666666657</v>
      </c>
      <c r="L263" s="10">
        <f t="shared" si="88"/>
        <v>22396.12000000001</v>
      </c>
      <c r="N263">
        <v>238</v>
      </c>
      <c r="O263">
        <v>1</v>
      </c>
      <c r="P263">
        <v>1</v>
      </c>
      <c r="Q263" t="str">
        <f t="shared" si="91"/>
        <v>300760283626261100200EUR201904121075665200</v>
      </c>
      <c r="R263" s="16" t="s">
        <v>973</v>
      </c>
      <c r="S263" t="str">
        <f t="shared" si="92"/>
        <v>CB 454106 SHELL 3298  62RUMAUCOU</v>
      </c>
      <c r="U263">
        <f>IFERROR(VLOOKUP(F263,tab!A:B,2,FALSE),1)</f>
        <v>13</v>
      </c>
      <c r="V263" s="14">
        <f t="shared" si="93"/>
        <v>22396.12000000001</v>
      </c>
      <c r="W263">
        <f t="shared" si="94"/>
        <v>0</v>
      </c>
      <c r="X263">
        <f t="shared" si="95"/>
        <v>1</v>
      </c>
      <c r="Y263" s="14">
        <f t="shared" si="96"/>
        <v>21.1</v>
      </c>
      <c r="AA263" t="str">
        <f t="shared" si="97"/>
        <v>&lt;Valeur name="no"&gt;238&lt;/Valeur&gt;</v>
      </c>
      <c r="AB263" t="str">
        <f t="shared" si="97"/>
        <v>&lt;Valeur name="banque"&gt;1&lt;/Valeur&gt;</v>
      </c>
      <c r="AC263" t="str">
        <f t="shared" si="78"/>
        <v>&lt;Valeur name="pointer"&gt;1&lt;/Valeur&gt;</v>
      </c>
      <c r="AD263" t="str">
        <f t="shared" si="79"/>
        <v>&lt;Valeur name="idbanque"&gt;300760283626261100200EUR201904121075665200&lt;/Valeur&gt;</v>
      </c>
      <c r="AE263" t="str">
        <f t="shared" si="80"/>
        <v>&lt;Valeur name="datevaleur"&gt;2019/04/12&lt;/Valeur&gt;</v>
      </c>
      <c r="AF263" t="str">
        <f t="shared" si="81"/>
        <v>&lt;Valeur name="intitule"&gt;CB 454106 SHELL 3298  62RUMAUCOU&lt;/Valeur&gt;</v>
      </c>
      <c r="AG263" t="str">
        <f t="shared" si="82"/>
        <v>&lt;Valeur name="description"&gt;&lt;/Valeur&gt;</v>
      </c>
      <c r="AH263" t="str">
        <f t="shared" si="83"/>
        <v>&lt;Valeur name="compte"&gt;13&lt;/Valeur&gt;</v>
      </c>
      <c r="AI263" t="str">
        <f t="shared" si="84"/>
        <v>&lt;Valeur name="solde"&gt;22396.12&lt;/Valeur&gt;</v>
      </c>
      <c r="AJ263" t="str">
        <f t="shared" si="85"/>
        <v>&lt;Valeur name="ventiler"&gt;0&lt;/Valeur&gt;</v>
      </c>
      <c r="AK263" t="str">
        <f t="shared" si="86"/>
        <v>&lt;Valeur name="compta"&gt;1&lt;/Valeur&gt;</v>
      </c>
      <c r="AL263" t="str">
        <f t="shared" si="87"/>
        <v>&lt;Valeur name="valeur"&gt;21.1&lt;/Valeur&gt;</v>
      </c>
      <c r="AN263" t="str">
        <f t="shared" si="98"/>
        <v>&lt;Insert&gt;&lt;Valeur name="no"&gt;238&lt;/Valeur&gt;&lt;Valeur name="banque"&gt;1&lt;/Valeur&gt;&lt;Valeur name="pointer"&gt;1&lt;/Valeur&gt;&lt;Valeur name="idbanque"&gt;300760283626261100200EUR201904121075665200&lt;/Valeur&gt;&lt;Valeur name="datevaleur"&gt;2019/04/12&lt;/Valeur&gt;&lt;Valeur name="intitule"&gt;CB 454106 SHELL 3298  62RUMAUCOU&lt;/Valeur&gt;&lt;Valeur name="description"&gt;&lt;/Valeur&gt;&lt;Valeur name="compte"&gt;13&lt;/Valeur&gt;&lt;Valeur name="solde"&gt;22396.12&lt;/Valeur&gt;&lt;Valeur name="ventiler"&gt;0&lt;/Valeur&gt;&lt;Valeur name="compta"&gt;1&lt;/Valeur&gt;&lt;Valeur name="valeur"&gt;21.1&lt;/Valeur&gt;&lt;/Insert&gt;</v>
      </c>
    </row>
    <row r="264" spans="1:40" x14ac:dyDescent="0.25">
      <c r="A264" t="s">
        <v>624</v>
      </c>
      <c r="B264">
        <v>239</v>
      </c>
      <c r="C264" s="1">
        <v>43567</v>
      </c>
      <c r="E264" t="str">
        <f>IF(F264&lt;&gt;"",INDEX(Balance!A:A,MATCH(F264,Balance!B:B,0)),"")</f>
        <v/>
      </c>
      <c r="G264" t="s">
        <v>625</v>
      </c>
      <c r="I264" s="10">
        <v>1411.2</v>
      </c>
      <c r="K264" s="11">
        <f t="shared" si="90"/>
        <v>235.20000000000005</v>
      </c>
      <c r="L264" s="10">
        <f t="shared" si="88"/>
        <v>20984.920000000009</v>
      </c>
      <c r="N264">
        <v>239</v>
      </c>
      <c r="O264">
        <v>1</v>
      </c>
      <c r="P264">
        <v>1</v>
      </c>
      <c r="Q264" t="str">
        <f t="shared" si="91"/>
        <v>300760283626261100200EUR201904123375040900</v>
      </c>
      <c r="R264" s="16" t="s">
        <v>973</v>
      </c>
      <c r="S264" t="str">
        <f t="shared" si="92"/>
        <v>CHEQUE  N 1000068</v>
      </c>
      <c r="U264">
        <f>IFERROR(VLOOKUP(F264,tab!A:B,2,FALSE),1)</f>
        <v>1</v>
      </c>
      <c r="V264" s="14">
        <f t="shared" si="93"/>
        <v>20984.920000000009</v>
      </c>
      <c r="W264">
        <f t="shared" si="94"/>
        <v>0</v>
      </c>
      <c r="X264" t="str">
        <f t="shared" si="95"/>
        <v/>
      </c>
      <c r="Y264" s="14">
        <f t="shared" si="96"/>
        <v>1411.2</v>
      </c>
      <c r="AA264" t="str">
        <f t="shared" si="97"/>
        <v>&lt;Valeur name="no"&gt;239&lt;/Valeur&gt;</v>
      </c>
      <c r="AB264" t="str">
        <f t="shared" si="97"/>
        <v>&lt;Valeur name="banque"&gt;1&lt;/Valeur&gt;</v>
      </c>
      <c r="AC264" t="str">
        <f t="shared" si="78"/>
        <v>&lt;Valeur name="pointer"&gt;1&lt;/Valeur&gt;</v>
      </c>
      <c r="AD264" t="str">
        <f t="shared" si="79"/>
        <v>&lt;Valeur name="idbanque"&gt;300760283626261100200EUR201904123375040900&lt;/Valeur&gt;</v>
      </c>
      <c r="AE264" t="str">
        <f t="shared" si="80"/>
        <v>&lt;Valeur name="datevaleur"&gt;2019/04/12&lt;/Valeur&gt;</v>
      </c>
      <c r="AF264" t="str">
        <f t="shared" si="81"/>
        <v>&lt;Valeur name="intitule"&gt;CHEQUE  N 1000068&lt;/Valeur&gt;</v>
      </c>
      <c r="AG264" t="str">
        <f t="shared" si="82"/>
        <v>&lt;Valeur name="description"&gt;&lt;/Valeur&gt;</v>
      </c>
      <c r="AH264" t="str">
        <f t="shared" si="83"/>
        <v>&lt;Valeur name="compte"&gt;1&lt;/Valeur&gt;</v>
      </c>
      <c r="AI264" t="str">
        <f t="shared" si="84"/>
        <v>&lt;Valeur name="solde"&gt;20984.92&lt;/Valeur&gt;</v>
      </c>
      <c r="AJ264" t="str">
        <f t="shared" si="85"/>
        <v>&lt;Valeur name="ventiler"&gt;0&lt;/Valeur&gt;</v>
      </c>
      <c r="AK264" t="str">
        <f t="shared" si="86"/>
        <v>&lt;Valeur name="compta"&gt;&lt;/Valeur&gt;</v>
      </c>
      <c r="AL264" t="str">
        <f t="shared" si="87"/>
        <v>&lt;Valeur name="valeur"&gt;1411.2&lt;/Valeur&gt;</v>
      </c>
      <c r="AN264" t="str">
        <f t="shared" si="98"/>
        <v>&lt;Insert&gt;&lt;Valeur name="no"&gt;239&lt;/Valeur&gt;&lt;Valeur name="banque"&gt;1&lt;/Valeur&gt;&lt;Valeur name="pointer"&gt;1&lt;/Valeur&gt;&lt;Valeur name="idbanque"&gt;300760283626261100200EUR201904123375040900&lt;/Valeur&gt;&lt;Valeur name="datevaleur"&gt;2019/04/12&lt;/Valeur&gt;&lt;Valeur name="intitule"&gt;CHEQUE  N 1000068&lt;/Valeur&gt;&lt;Valeur name="description"&gt;&lt;/Valeur&gt;&lt;Valeur name="compte"&gt;1&lt;/Valeur&gt;&lt;Valeur name="solde"&gt;20984.92&lt;/Valeur&gt;&lt;Valeur name="ventiler"&gt;0&lt;/Valeur&gt;&lt;Valeur name="compta"&gt;&lt;/Valeur&gt;&lt;Valeur name="valeur"&gt;1411.2&lt;/Valeur&gt;&lt;/Insert&gt;</v>
      </c>
    </row>
    <row r="265" spans="1:40" x14ac:dyDescent="0.25">
      <c r="A265" t="s">
        <v>626</v>
      </c>
      <c r="B265">
        <v>240</v>
      </c>
      <c r="C265" s="1">
        <v>43570</v>
      </c>
      <c r="D265">
        <v>1</v>
      </c>
      <c r="E265" t="str">
        <f>IF(F265&lt;&gt;"",INDEX(Balance!A:A,MATCH(F265,Balance!B:B,0)),"")</f>
        <v/>
      </c>
      <c r="G265" t="s">
        <v>627</v>
      </c>
      <c r="I265" s="10">
        <v>3510.9</v>
      </c>
      <c r="K265" s="11">
        <f t="shared" si="90"/>
        <v>585.15000000000009</v>
      </c>
      <c r="L265" s="10">
        <f t="shared" si="88"/>
        <v>17474.020000000008</v>
      </c>
      <c r="N265">
        <v>240</v>
      </c>
      <c r="O265">
        <v>1</v>
      </c>
      <c r="P265">
        <v>1</v>
      </c>
      <c r="Q265" t="str">
        <f t="shared" si="91"/>
        <v>300760283626261100200EUR201904150911059300</v>
      </c>
      <c r="R265" s="16" t="s">
        <v>886</v>
      </c>
      <c r="S265" t="str">
        <f t="shared" si="92"/>
        <v>RELEVE LCR DU  080419  CONFORME</v>
      </c>
      <c r="U265">
        <f>IFERROR(VLOOKUP(F265,tab!A:B,2,FALSE),1)</f>
        <v>1</v>
      </c>
      <c r="V265" s="14">
        <f t="shared" si="93"/>
        <v>17474.020000000008</v>
      </c>
      <c r="W265">
        <f t="shared" si="94"/>
        <v>0</v>
      </c>
      <c r="X265">
        <f t="shared" si="95"/>
        <v>1</v>
      </c>
      <c r="Y265" s="14">
        <f t="shared" si="96"/>
        <v>3510.9</v>
      </c>
      <c r="AA265" t="str">
        <f t="shared" si="97"/>
        <v>&lt;Valeur name="no"&gt;240&lt;/Valeur&gt;</v>
      </c>
      <c r="AB265" t="str">
        <f t="shared" si="97"/>
        <v>&lt;Valeur name="banque"&gt;1&lt;/Valeur&gt;</v>
      </c>
      <c r="AC265" t="str">
        <f t="shared" si="78"/>
        <v>&lt;Valeur name="pointer"&gt;1&lt;/Valeur&gt;</v>
      </c>
      <c r="AD265" t="str">
        <f t="shared" si="79"/>
        <v>&lt;Valeur name="idbanque"&gt;300760283626261100200EUR201904150911059300&lt;/Valeur&gt;</v>
      </c>
      <c r="AE265" t="str">
        <f t="shared" si="80"/>
        <v>&lt;Valeur name="datevaleur"&gt;2019/04/15&lt;/Valeur&gt;</v>
      </c>
      <c r="AF265" t="str">
        <f t="shared" si="81"/>
        <v>&lt;Valeur name="intitule"&gt;RELEVE LCR DU  080419  CONFORME&lt;/Valeur&gt;</v>
      </c>
      <c r="AG265" t="str">
        <f t="shared" si="82"/>
        <v>&lt;Valeur name="description"&gt;&lt;/Valeur&gt;</v>
      </c>
      <c r="AH265" t="str">
        <f t="shared" si="83"/>
        <v>&lt;Valeur name="compte"&gt;1&lt;/Valeur&gt;</v>
      </c>
      <c r="AI265" t="str">
        <f t="shared" si="84"/>
        <v>&lt;Valeur name="solde"&gt;17474.02&lt;/Valeur&gt;</v>
      </c>
      <c r="AJ265" t="str">
        <f t="shared" si="85"/>
        <v>&lt;Valeur name="ventiler"&gt;0&lt;/Valeur&gt;</v>
      </c>
      <c r="AK265" t="str">
        <f t="shared" si="86"/>
        <v>&lt;Valeur name="compta"&gt;1&lt;/Valeur&gt;</v>
      </c>
      <c r="AL265" t="str">
        <f t="shared" si="87"/>
        <v>&lt;Valeur name="valeur"&gt;3510.9&lt;/Valeur&gt;</v>
      </c>
      <c r="AN265" t="str">
        <f t="shared" si="98"/>
        <v>&lt;Insert&gt;&lt;Valeur name="no"&gt;240&lt;/Valeur&gt;&lt;Valeur name="banque"&gt;1&lt;/Valeur&gt;&lt;Valeur name="pointer"&gt;1&lt;/Valeur&gt;&lt;Valeur name="idbanque"&gt;300760283626261100200EUR201904150911059300&lt;/Valeur&gt;&lt;Valeur name="datevaleur"&gt;2019/04/15&lt;/Valeur&gt;&lt;Valeur name="intitule"&gt;RELEVE LCR DU  080419  CONFORME&lt;/Valeur&gt;&lt;Valeur name="description"&gt;&lt;/Valeur&gt;&lt;Valeur name="compte"&gt;1&lt;/Valeur&gt;&lt;Valeur name="solde"&gt;17474.02&lt;/Valeur&gt;&lt;Valeur name="ventiler"&gt;0&lt;/Valeur&gt;&lt;Valeur name="compta"&gt;1&lt;/Valeur&gt;&lt;Valeur name="valeur"&gt;3510.9&lt;/Valeur&gt;&lt;/Insert&gt;</v>
      </c>
    </row>
    <row r="266" spans="1:40" x14ac:dyDescent="0.25">
      <c r="A266" t="s">
        <v>628</v>
      </c>
      <c r="B266">
        <v>241</v>
      </c>
      <c r="C266" s="1">
        <v>43570</v>
      </c>
      <c r="D266">
        <v>1</v>
      </c>
      <c r="E266" t="str">
        <f>IF(F266&lt;&gt;"",INDEX(Balance!A:A,MATCH(F266,Balance!B:B,0)),"")</f>
        <v>Depense</v>
      </c>
      <c r="F266" t="s">
        <v>254</v>
      </c>
      <c r="G266" t="s">
        <v>7</v>
      </c>
      <c r="I266" s="10">
        <v>32.799999999999997</v>
      </c>
      <c r="K266" s="11">
        <f t="shared" si="90"/>
        <v>5.466666666666665</v>
      </c>
      <c r="L266" s="10">
        <f t="shared" si="88"/>
        <v>17441.220000000008</v>
      </c>
      <c r="N266">
        <v>241</v>
      </c>
      <c r="O266">
        <v>1</v>
      </c>
      <c r="P266">
        <v>1</v>
      </c>
      <c r="Q266" t="str">
        <f t="shared" si="91"/>
        <v>300760283626261100200EUR201904151073090600</v>
      </c>
      <c r="R266" s="16" t="s">
        <v>886</v>
      </c>
      <c r="S266" t="str">
        <f t="shared" si="92"/>
        <v>CB 454106 SNACK THIER 59BAVAY</v>
      </c>
      <c r="U266">
        <f>IFERROR(VLOOKUP(F266,tab!A:B,2,FALSE),1)</f>
        <v>27</v>
      </c>
      <c r="V266" s="14">
        <f t="shared" si="93"/>
        <v>17441.220000000008</v>
      </c>
      <c r="W266">
        <f t="shared" si="94"/>
        <v>0</v>
      </c>
      <c r="X266">
        <f t="shared" si="95"/>
        <v>1</v>
      </c>
      <c r="Y266" s="14">
        <f t="shared" si="96"/>
        <v>32.799999999999997</v>
      </c>
      <c r="AA266" t="str">
        <f t="shared" si="97"/>
        <v>&lt;Valeur name="no"&gt;241&lt;/Valeur&gt;</v>
      </c>
      <c r="AB266" t="str">
        <f t="shared" si="97"/>
        <v>&lt;Valeur name="banque"&gt;1&lt;/Valeur&gt;</v>
      </c>
      <c r="AC266" t="str">
        <f t="shared" si="78"/>
        <v>&lt;Valeur name="pointer"&gt;1&lt;/Valeur&gt;</v>
      </c>
      <c r="AD266" t="str">
        <f t="shared" si="79"/>
        <v>&lt;Valeur name="idbanque"&gt;300760283626261100200EUR201904151073090600&lt;/Valeur&gt;</v>
      </c>
      <c r="AE266" t="str">
        <f t="shared" si="80"/>
        <v>&lt;Valeur name="datevaleur"&gt;2019/04/15&lt;/Valeur&gt;</v>
      </c>
      <c r="AF266" t="str">
        <f t="shared" si="81"/>
        <v>&lt;Valeur name="intitule"&gt;CB 454106 SNACK THIER 59BAVAY&lt;/Valeur&gt;</v>
      </c>
      <c r="AG266" t="str">
        <f t="shared" si="82"/>
        <v>&lt;Valeur name="description"&gt;&lt;/Valeur&gt;</v>
      </c>
      <c r="AH266" t="str">
        <f t="shared" si="83"/>
        <v>&lt;Valeur name="compte"&gt;27&lt;/Valeur&gt;</v>
      </c>
      <c r="AI266" t="str">
        <f t="shared" si="84"/>
        <v>&lt;Valeur name="solde"&gt;17441.22&lt;/Valeur&gt;</v>
      </c>
      <c r="AJ266" t="str">
        <f t="shared" si="85"/>
        <v>&lt;Valeur name="ventiler"&gt;0&lt;/Valeur&gt;</v>
      </c>
      <c r="AK266" t="str">
        <f t="shared" si="86"/>
        <v>&lt;Valeur name="compta"&gt;1&lt;/Valeur&gt;</v>
      </c>
      <c r="AL266" t="str">
        <f t="shared" si="87"/>
        <v>&lt;Valeur name="valeur"&gt;32.8&lt;/Valeur&gt;</v>
      </c>
      <c r="AN266" t="str">
        <f t="shared" si="98"/>
        <v>&lt;Insert&gt;&lt;Valeur name="no"&gt;241&lt;/Valeur&gt;&lt;Valeur name="banque"&gt;1&lt;/Valeur&gt;&lt;Valeur name="pointer"&gt;1&lt;/Valeur&gt;&lt;Valeur name="idbanque"&gt;300760283626261100200EUR201904151073090600&lt;/Valeur&gt;&lt;Valeur name="datevaleur"&gt;2019/04/15&lt;/Valeur&gt;&lt;Valeur name="intitule"&gt;CB 454106 SNACK THIER 59BAVAY&lt;/Valeur&gt;&lt;Valeur name="description"&gt;&lt;/Valeur&gt;&lt;Valeur name="compte"&gt;27&lt;/Valeur&gt;&lt;Valeur name="solde"&gt;17441.22&lt;/Valeur&gt;&lt;Valeur name="ventiler"&gt;0&lt;/Valeur&gt;&lt;Valeur name="compta"&gt;1&lt;/Valeur&gt;&lt;Valeur name="valeur"&gt;32.8&lt;/Valeur&gt;&lt;/Insert&gt;</v>
      </c>
    </row>
    <row r="267" spans="1:40" x14ac:dyDescent="0.25">
      <c r="A267" t="s">
        <v>629</v>
      </c>
      <c r="B267">
        <v>242</v>
      </c>
      <c r="C267" s="1">
        <v>43570</v>
      </c>
      <c r="D267">
        <v>1</v>
      </c>
      <c r="E267" t="str">
        <f>IF(F267&lt;&gt;"",INDEX(Balance!A:A,MATCH(F267,Balance!B:B,0)),"")</f>
        <v>Depense</v>
      </c>
      <c r="F267" t="s">
        <v>253</v>
      </c>
      <c r="G267" t="s">
        <v>142</v>
      </c>
      <c r="I267" s="10">
        <v>82.9</v>
      </c>
      <c r="K267" s="11">
        <f t="shared" si="90"/>
        <v>13.816666666666663</v>
      </c>
      <c r="L267" s="10">
        <f t="shared" si="88"/>
        <v>17358.320000000007</v>
      </c>
      <c r="N267">
        <v>242</v>
      </c>
      <c r="O267">
        <v>1</v>
      </c>
      <c r="P267">
        <v>1</v>
      </c>
      <c r="Q267" t="str">
        <f t="shared" si="91"/>
        <v>300760283626261100200EUR201904151073250400</v>
      </c>
      <c r="R267" s="16" t="s">
        <v>886</v>
      </c>
      <c r="S267" t="str">
        <f t="shared" si="92"/>
        <v>CB 454106 DAC SM MATC 59BAVAY</v>
      </c>
      <c r="U267">
        <f>IFERROR(VLOOKUP(F267,tab!A:B,2,FALSE),1)</f>
        <v>13</v>
      </c>
      <c r="V267" s="14">
        <f t="shared" si="93"/>
        <v>17358.320000000007</v>
      </c>
      <c r="W267">
        <f t="shared" si="94"/>
        <v>0</v>
      </c>
      <c r="X267">
        <f t="shared" si="95"/>
        <v>1</v>
      </c>
      <c r="Y267" s="14">
        <f t="shared" si="96"/>
        <v>82.9</v>
      </c>
      <c r="AA267" t="str">
        <f t="shared" si="97"/>
        <v>&lt;Valeur name="no"&gt;242&lt;/Valeur&gt;</v>
      </c>
      <c r="AB267" t="str">
        <f t="shared" si="97"/>
        <v>&lt;Valeur name="banque"&gt;1&lt;/Valeur&gt;</v>
      </c>
      <c r="AC267" t="str">
        <f t="shared" si="78"/>
        <v>&lt;Valeur name="pointer"&gt;1&lt;/Valeur&gt;</v>
      </c>
      <c r="AD267" t="str">
        <f t="shared" si="79"/>
        <v>&lt;Valeur name="idbanque"&gt;300760283626261100200EUR201904151073250400&lt;/Valeur&gt;</v>
      </c>
      <c r="AE267" t="str">
        <f t="shared" si="80"/>
        <v>&lt;Valeur name="datevaleur"&gt;2019/04/15&lt;/Valeur&gt;</v>
      </c>
      <c r="AF267" t="str">
        <f t="shared" si="81"/>
        <v>&lt;Valeur name="intitule"&gt;CB 454106 DAC SM MATC 59BAVAY&lt;/Valeur&gt;</v>
      </c>
      <c r="AG267" t="str">
        <f t="shared" si="82"/>
        <v>&lt;Valeur name="description"&gt;&lt;/Valeur&gt;</v>
      </c>
      <c r="AH267" t="str">
        <f t="shared" si="83"/>
        <v>&lt;Valeur name="compte"&gt;13&lt;/Valeur&gt;</v>
      </c>
      <c r="AI267" t="str">
        <f t="shared" si="84"/>
        <v>&lt;Valeur name="solde"&gt;17358.32&lt;/Valeur&gt;</v>
      </c>
      <c r="AJ267" t="str">
        <f t="shared" si="85"/>
        <v>&lt;Valeur name="ventiler"&gt;0&lt;/Valeur&gt;</v>
      </c>
      <c r="AK267" t="str">
        <f t="shared" si="86"/>
        <v>&lt;Valeur name="compta"&gt;1&lt;/Valeur&gt;</v>
      </c>
      <c r="AL267" t="str">
        <f t="shared" si="87"/>
        <v>&lt;Valeur name="valeur"&gt;82.9&lt;/Valeur&gt;</v>
      </c>
      <c r="AN267" t="str">
        <f t="shared" si="98"/>
        <v>&lt;Insert&gt;&lt;Valeur name="no"&gt;242&lt;/Valeur&gt;&lt;Valeur name="banque"&gt;1&lt;/Valeur&gt;&lt;Valeur name="pointer"&gt;1&lt;/Valeur&gt;&lt;Valeur name="idbanque"&gt;300760283626261100200EUR201904151073250400&lt;/Valeur&gt;&lt;Valeur name="datevaleur"&gt;2019/04/15&lt;/Valeur&gt;&lt;Valeur name="intitule"&gt;CB 454106 DAC SM MATC 59BAVAY&lt;/Valeur&gt;&lt;Valeur name="description"&gt;&lt;/Valeur&gt;&lt;Valeur name="compte"&gt;13&lt;/Valeur&gt;&lt;Valeur name="solde"&gt;17358.32&lt;/Valeur&gt;&lt;Valeur name="ventiler"&gt;0&lt;/Valeur&gt;&lt;Valeur name="compta"&gt;1&lt;/Valeur&gt;&lt;Valeur name="valeur"&gt;82.9&lt;/Valeur&gt;&lt;/Insert&gt;</v>
      </c>
    </row>
    <row r="268" spans="1:40" x14ac:dyDescent="0.25">
      <c r="A268" t="s">
        <v>630</v>
      </c>
      <c r="B268">
        <v>243</v>
      </c>
      <c r="C268" s="1">
        <v>43570</v>
      </c>
      <c r="D268">
        <v>1</v>
      </c>
      <c r="E268" t="str">
        <f>IF(F268&lt;&gt;"",INDEX(Balance!A:A,MATCH(F268,Balance!B:B,0)),"")</f>
        <v>Depense</v>
      </c>
      <c r="F268" t="s">
        <v>267</v>
      </c>
      <c r="G268" t="s">
        <v>52</v>
      </c>
      <c r="I268" s="10">
        <v>162</v>
      </c>
      <c r="K268" s="11">
        <f t="shared" si="90"/>
        <v>27</v>
      </c>
      <c r="L268" s="10">
        <f t="shared" si="88"/>
        <v>17196.320000000007</v>
      </c>
      <c r="N268">
        <v>243</v>
      </c>
      <c r="O268">
        <v>1</v>
      </c>
      <c r="P268">
        <v>1</v>
      </c>
      <c r="Q268" t="str">
        <f t="shared" si="91"/>
        <v>300760283626261100200EUR201904156333727800</v>
      </c>
      <c r="R268" s="16" t="s">
        <v>886</v>
      </c>
      <c r="S268" t="str">
        <f t="shared" si="92"/>
        <v>PRLV SEPA MMA IARD SA-MMA IARD</v>
      </c>
      <c r="U268">
        <f>IFERROR(VLOOKUP(F268,tab!A:B,2,FALSE),1)</f>
        <v>12</v>
      </c>
      <c r="V268" s="14">
        <f t="shared" si="93"/>
        <v>17196.320000000007</v>
      </c>
      <c r="W268">
        <f t="shared" si="94"/>
        <v>0</v>
      </c>
      <c r="X268">
        <f t="shared" si="95"/>
        <v>1</v>
      </c>
      <c r="Y268" s="14">
        <f t="shared" si="96"/>
        <v>162</v>
      </c>
      <c r="AA268" t="str">
        <f t="shared" si="97"/>
        <v>&lt;Valeur name="no"&gt;243&lt;/Valeur&gt;</v>
      </c>
      <c r="AB268" t="str">
        <f t="shared" si="97"/>
        <v>&lt;Valeur name="banque"&gt;1&lt;/Valeur&gt;</v>
      </c>
      <c r="AC268" t="str">
        <f t="shared" si="78"/>
        <v>&lt;Valeur name="pointer"&gt;1&lt;/Valeur&gt;</v>
      </c>
      <c r="AD268" t="str">
        <f t="shared" si="79"/>
        <v>&lt;Valeur name="idbanque"&gt;300760283626261100200EUR201904156333727800&lt;/Valeur&gt;</v>
      </c>
      <c r="AE268" t="str">
        <f t="shared" si="80"/>
        <v>&lt;Valeur name="datevaleur"&gt;2019/04/15&lt;/Valeur&gt;</v>
      </c>
      <c r="AF268" t="str">
        <f t="shared" si="81"/>
        <v>&lt;Valeur name="intitule"&gt;PRLV SEPA MMA IARD SA-MMA IARD&lt;/Valeur&gt;</v>
      </c>
      <c r="AG268" t="str">
        <f t="shared" si="82"/>
        <v>&lt;Valeur name="description"&gt;&lt;/Valeur&gt;</v>
      </c>
      <c r="AH268" t="str">
        <f t="shared" si="83"/>
        <v>&lt;Valeur name="compte"&gt;12&lt;/Valeur&gt;</v>
      </c>
      <c r="AI268" t="str">
        <f t="shared" si="84"/>
        <v>&lt;Valeur name="solde"&gt;17196.32&lt;/Valeur&gt;</v>
      </c>
      <c r="AJ268" t="str">
        <f t="shared" si="85"/>
        <v>&lt;Valeur name="ventiler"&gt;0&lt;/Valeur&gt;</v>
      </c>
      <c r="AK268" t="str">
        <f t="shared" si="86"/>
        <v>&lt;Valeur name="compta"&gt;1&lt;/Valeur&gt;</v>
      </c>
      <c r="AL268" t="str">
        <f t="shared" si="87"/>
        <v>&lt;Valeur name="valeur"&gt;162&lt;/Valeur&gt;</v>
      </c>
      <c r="AN268" t="str">
        <f t="shared" si="98"/>
        <v>&lt;Insert&gt;&lt;Valeur name="no"&gt;243&lt;/Valeur&gt;&lt;Valeur name="banque"&gt;1&lt;/Valeur&gt;&lt;Valeur name="pointer"&gt;1&lt;/Valeur&gt;&lt;Valeur name="idbanque"&gt;300760283626261100200EUR201904156333727800&lt;/Valeur&gt;&lt;Valeur name="datevaleur"&gt;2019/04/15&lt;/Valeur&gt;&lt;Valeur name="intitule"&gt;PRLV SEPA MMA IARD SA-MMA IARD&lt;/Valeur&gt;&lt;Valeur name="description"&gt;&lt;/Valeur&gt;&lt;Valeur name="compte"&gt;12&lt;/Valeur&gt;&lt;Valeur name="solde"&gt;17196.32&lt;/Valeur&gt;&lt;Valeur name="ventiler"&gt;0&lt;/Valeur&gt;&lt;Valeur name="compta"&gt;1&lt;/Valeur&gt;&lt;Valeur name="valeur"&gt;162&lt;/Valeur&gt;&lt;/Insert&gt;</v>
      </c>
    </row>
    <row r="269" spans="1:40" x14ac:dyDescent="0.25">
      <c r="A269" t="s">
        <v>631</v>
      </c>
      <c r="B269">
        <v>244</v>
      </c>
      <c r="C269" s="1">
        <v>43570</v>
      </c>
      <c r="D269">
        <v>1</v>
      </c>
      <c r="E269" t="str">
        <f>IF(F269&lt;&gt;"",INDEX(Balance!A:A,MATCH(F269,Balance!B:B,0)),"")</f>
        <v>Fournisseurs</v>
      </c>
      <c r="F269" t="s">
        <v>424</v>
      </c>
      <c r="G269" t="s">
        <v>421</v>
      </c>
      <c r="H269" t="s">
        <v>632</v>
      </c>
      <c r="I269" s="10">
        <v>97.03</v>
      </c>
      <c r="K269" s="11">
        <f t="shared" si="90"/>
        <v>16.171666666666667</v>
      </c>
      <c r="L269" s="10">
        <f t="shared" si="88"/>
        <v>17099.290000000008</v>
      </c>
      <c r="N269">
        <v>244</v>
      </c>
      <c r="O269">
        <v>1</v>
      </c>
      <c r="P269">
        <v>1</v>
      </c>
      <c r="Q269" t="str">
        <f t="shared" si="91"/>
        <v>300760283626261100200EUR201904156334906400</v>
      </c>
      <c r="R269" s="16" t="s">
        <v>886</v>
      </c>
      <c r="S269" t="str">
        <f t="shared" si="92"/>
        <v>PRLV SEPA LEASECOM / LO2760817/218L87051, date echean</v>
      </c>
      <c r="U269">
        <f>IFERROR(VLOOKUP(F269,tab!A:B,2,FALSE),1)</f>
        <v>109</v>
      </c>
      <c r="V269" s="14">
        <f t="shared" si="93"/>
        <v>17099.290000000008</v>
      </c>
      <c r="W269">
        <f t="shared" si="94"/>
        <v>0</v>
      </c>
      <c r="X269">
        <f t="shared" si="95"/>
        <v>1</v>
      </c>
      <c r="Y269" s="14">
        <f t="shared" si="96"/>
        <v>97.03</v>
      </c>
      <c r="AA269" t="str">
        <f t="shared" si="97"/>
        <v>&lt;Valeur name="no"&gt;244&lt;/Valeur&gt;</v>
      </c>
      <c r="AB269" t="str">
        <f t="shared" si="97"/>
        <v>&lt;Valeur name="banque"&gt;1&lt;/Valeur&gt;</v>
      </c>
      <c r="AC269" t="str">
        <f t="shared" si="78"/>
        <v>&lt;Valeur name="pointer"&gt;1&lt;/Valeur&gt;</v>
      </c>
      <c r="AD269" t="str">
        <f t="shared" si="79"/>
        <v>&lt;Valeur name="idbanque"&gt;300760283626261100200EUR201904156334906400&lt;/Valeur&gt;</v>
      </c>
      <c r="AE269" t="str">
        <f t="shared" si="80"/>
        <v>&lt;Valeur name="datevaleur"&gt;2019/04/15&lt;/Valeur&gt;</v>
      </c>
      <c r="AF269" t="str">
        <f t="shared" si="81"/>
        <v>&lt;Valeur name="intitule"&gt;PRLV SEPA LEASECOM / LO2760817/218L87051, date echean&lt;/Valeur&gt;</v>
      </c>
      <c r="AG269" t="str">
        <f t="shared" si="82"/>
        <v>&lt;Valeur name="description"&gt;&lt;/Valeur&gt;</v>
      </c>
      <c r="AH269" t="str">
        <f t="shared" si="83"/>
        <v>&lt;Valeur name="compte"&gt;109&lt;/Valeur&gt;</v>
      </c>
      <c r="AI269" t="str">
        <f t="shared" si="84"/>
        <v>&lt;Valeur name="solde"&gt;17099.29&lt;/Valeur&gt;</v>
      </c>
      <c r="AJ269" t="str">
        <f t="shared" si="85"/>
        <v>&lt;Valeur name="ventiler"&gt;0&lt;/Valeur&gt;</v>
      </c>
      <c r="AK269" t="str">
        <f t="shared" si="86"/>
        <v>&lt;Valeur name="compta"&gt;1&lt;/Valeur&gt;</v>
      </c>
      <c r="AL269" t="str">
        <f t="shared" si="87"/>
        <v>&lt;Valeur name="valeur"&gt;97.03&lt;/Valeur&gt;</v>
      </c>
      <c r="AN269" t="str">
        <f t="shared" si="98"/>
        <v>&lt;Insert&gt;&lt;Valeur name="no"&gt;244&lt;/Valeur&gt;&lt;Valeur name="banque"&gt;1&lt;/Valeur&gt;&lt;Valeur name="pointer"&gt;1&lt;/Valeur&gt;&lt;Valeur name="idbanque"&gt;300760283626261100200EUR201904156334906400&lt;/Valeur&gt;&lt;Valeur name="datevaleur"&gt;2019/04/15&lt;/Valeur&gt;&lt;Valeur name="intitule"&gt;PRLV SEPA LEASECOM / LO2760817/218L87051, date echean&lt;/Valeur&gt;&lt;Valeur name="description"&gt;&lt;/Valeur&gt;&lt;Valeur name="compte"&gt;109&lt;/Valeur&gt;&lt;Valeur name="solde"&gt;17099.29&lt;/Valeur&gt;&lt;Valeur name="ventiler"&gt;0&lt;/Valeur&gt;&lt;Valeur name="compta"&gt;1&lt;/Valeur&gt;&lt;Valeur name="valeur"&gt;97.03&lt;/Valeur&gt;&lt;/Insert&gt;</v>
      </c>
    </row>
    <row r="270" spans="1:40" x14ac:dyDescent="0.25">
      <c r="A270" t="s">
        <v>633</v>
      </c>
      <c r="B270">
        <v>245</v>
      </c>
      <c r="C270" s="1">
        <v>43570</v>
      </c>
      <c r="D270">
        <v>1</v>
      </c>
      <c r="E270" t="str">
        <f>IF(F270&lt;&gt;"",INDEX(Balance!A:A,MATCH(F270,Balance!B:B,0)),"")</f>
        <v>Depense</v>
      </c>
      <c r="F270" t="s">
        <v>257</v>
      </c>
      <c r="G270" t="s">
        <v>31</v>
      </c>
      <c r="I270" s="10">
        <v>0.21</v>
      </c>
      <c r="K270" s="11">
        <f t="shared" si="90"/>
        <v>3.5000000000000003E-2</v>
      </c>
      <c r="L270" s="10">
        <f t="shared" si="88"/>
        <v>17099.080000000009</v>
      </c>
      <c r="N270">
        <v>245</v>
      </c>
      <c r="O270">
        <v>1</v>
      </c>
      <c r="P270">
        <v>1</v>
      </c>
      <c r="Q270" t="str">
        <f t="shared" si="91"/>
        <v>300760283626261100200EUR201904159223352500</v>
      </c>
      <c r="R270" s="16" t="s">
        <v>886</v>
      </c>
      <c r="S270" t="str">
        <f t="shared" si="92"/>
        <v>FRAIS E-VIR SEPA VERS EEE</v>
      </c>
      <c r="U270">
        <f>IFERROR(VLOOKUP(F270,tab!A:B,2,FALSE),1)</f>
        <v>18</v>
      </c>
      <c r="V270" s="14">
        <f t="shared" si="93"/>
        <v>17099.080000000009</v>
      </c>
      <c r="W270">
        <f t="shared" si="94"/>
        <v>0</v>
      </c>
      <c r="X270">
        <f t="shared" si="95"/>
        <v>1</v>
      </c>
      <c r="Y270" s="14">
        <f t="shared" si="96"/>
        <v>0.21</v>
      </c>
      <c r="AA270" t="str">
        <f t="shared" si="97"/>
        <v>&lt;Valeur name="no"&gt;245&lt;/Valeur&gt;</v>
      </c>
      <c r="AB270" t="str">
        <f t="shared" si="97"/>
        <v>&lt;Valeur name="banque"&gt;1&lt;/Valeur&gt;</v>
      </c>
      <c r="AC270" t="str">
        <f t="shared" si="78"/>
        <v>&lt;Valeur name="pointer"&gt;1&lt;/Valeur&gt;</v>
      </c>
      <c r="AD270" t="str">
        <f t="shared" si="79"/>
        <v>&lt;Valeur name="idbanque"&gt;300760283626261100200EUR201904159223352500&lt;/Valeur&gt;</v>
      </c>
      <c r="AE270" t="str">
        <f t="shared" si="80"/>
        <v>&lt;Valeur name="datevaleur"&gt;2019/04/15&lt;/Valeur&gt;</v>
      </c>
      <c r="AF270" t="str">
        <f t="shared" si="81"/>
        <v>&lt;Valeur name="intitule"&gt;FRAIS E-VIR SEPA VERS EEE&lt;/Valeur&gt;</v>
      </c>
      <c r="AG270" t="str">
        <f t="shared" si="82"/>
        <v>&lt;Valeur name="description"&gt;&lt;/Valeur&gt;</v>
      </c>
      <c r="AH270" t="str">
        <f t="shared" si="83"/>
        <v>&lt;Valeur name="compte"&gt;18&lt;/Valeur&gt;</v>
      </c>
      <c r="AI270" t="str">
        <f t="shared" si="84"/>
        <v>&lt;Valeur name="solde"&gt;17099.08&lt;/Valeur&gt;</v>
      </c>
      <c r="AJ270" t="str">
        <f t="shared" si="85"/>
        <v>&lt;Valeur name="ventiler"&gt;0&lt;/Valeur&gt;</v>
      </c>
      <c r="AK270" t="str">
        <f t="shared" si="86"/>
        <v>&lt;Valeur name="compta"&gt;1&lt;/Valeur&gt;</v>
      </c>
      <c r="AL270" t="str">
        <f t="shared" si="87"/>
        <v>&lt;Valeur name="valeur"&gt;0.21&lt;/Valeur&gt;</v>
      </c>
      <c r="AN270" t="str">
        <f t="shared" si="98"/>
        <v>&lt;Insert&gt;&lt;Valeur name="no"&gt;245&lt;/Valeur&gt;&lt;Valeur name="banque"&gt;1&lt;/Valeur&gt;&lt;Valeur name="pointer"&gt;1&lt;/Valeur&gt;&lt;Valeur name="idbanque"&gt;300760283626261100200EUR201904159223352500&lt;/Valeur&gt;&lt;Valeur name="datevaleur"&gt;2019/04/15&lt;/Valeur&gt;&lt;Valeur name="intitule"&gt;FRAIS E-VIR SEPA VERS EEE&lt;/Valeur&gt;&lt;Valeur name="description"&gt;&lt;/Valeur&gt;&lt;Valeur name="compte"&gt;18&lt;/Valeur&gt;&lt;Valeur name="solde"&gt;17099.08&lt;/Valeur&gt;&lt;Valeur name="ventiler"&gt;0&lt;/Valeur&gt;&lt;Valeur name="compta"&gt;1&lt;/Valeur&gt;&lt;Valeur name="valeur"&gt;0.21&lt;/Valeur&gt;&lt;/Insert&gt;</v>
      </c>
    </row>
    <row r="271" spans="1:40" x14ac:dyDescent="0.25">
      <c r="A271" t="s">
        <v>634</v>
      </c>
      <c r="B271">
        <v>246</v>
      </c>
      <c r="C271" s="1">
        <v>43570</v>
      </c>
      <c r="D271">
        <v>1</v>
      </c>
      <c r="E271" t="str">
        <f>IF(F271&lt;&gt;"",INDEX(Balance!A:A,MATCH(F271,Balance!B:B,0)),"")</f>
        <v>Depense</v>
      </c>
      <c r="F271" t="s">
        <v>257</v>
      </c>
      <c r="G271" t="s">
        <v>31</v>
      </c>
      <c r="I271" s="10">
        <v>0.21</v>
      </c>
      <c r="K271" s="11">
        <f t="shared" si="90"/>
        <v>3.5000000000000003E-2</v>
      </c>
      <c r="L271" s="10">
        <f t="shared" si="88"/>
        <v>17098.87000000001</v>
      </c>
      <c r="N271">
        <v>246</v>
      </c>
      <c r="O271">
        <v>1</v>
      </c>
      <c r="P271">
        <v>1</v>
      </c>
      <c r="Q271" t="str">
        <f t="shared" si="91"/>
        <v>300760283626261100200EUR201904159223352600</v>
      </c>
      <c r="R271" s="16" t="s">
        <v>886</v>
      </c>
      <c r="S271" t="str">
        <f t="shared" si="92"/>
        <v>FRAIS E-VIR SEPA VERS EEE</v>
      </c>
      <c r="U271">
        <f>IFERROR(VLOOKUP(F271,tab!A:B,2,FALSE),1)</f>
        <v>18</v>
      </c>
      <c r="V271" s="14">
        <f t="shared" si="93"/>
        <v>17098.87000000001</v>
      </c>
      <c r="W271">
        <f t="shared" si="94"/>
        <v>0</v>
      </c>
      <c r="X271">
        <f t="shared" si="95"/>
        <v>1</v>
      </c>
      <c r="Y271" s="14">
        <f t="shared" si="96"/>
        <v>0.21</v>
      </c>
      <c r="AA271" t="str">
        <f t="shared" si="97"/>
        <v>&lt;Valeur name="no"&gt;246&lt;/Valeur&gt;</v>
      </c>
      <c r="AB271" t="str">
        <f t="shared" si="97"/>
        <v>&lt;Valeur name="banque"&gt;1&lt;/Valeur&gt;</v>
      </c>
      <c r="AC271" t="str">
        <f t="shared" si="78"/>
        <v>&lt;Valeur name="pointer"&gt;1&lt;/Valeur&gt;</v>
      </c>
      <c r="AD271" t="str">
        <f t="shared" si="79"/>
        <v>&lt;Valeur name="idbanque"&gt;300760283626261100200EUR201904159223352600&lt;/Valeur&gt;</v>
      </c>
      <c r="AE271" t="str">
        <f t="shared" si="80"/>
        <v>&lt;Valeur name="datevaleur"&gt;2019/04/15&lt;/Valeur&gt;</v>
      </c>
      <c r="AF271" t="str">
        <f t="shared" si="81"/>
        <v>&lt;Valeur name="intitule"&gt;FRAIS E-VIR SEPA VERS EEE&lt;/Valeur&gt;</v>
      </c>
      <c r="AG271" t="str">
        <f t="shared" si="82"/>
        <v>&lt;Valeur name="description"&gt;&lt;/Valeur&gt;</v>
      </c>
      <c r="AH271" t="str">
        <f t="shared" si="83"/>
        <v>&lt;Valeur name="compte"&gt;18&lt;/Valeur&gt;</v>
      </c>
      <c r="AI271" t="str">
        <f t="shared" si="84"/>
        <v>&lt;Valeur name="solde"&gt;17098.87&lt;/Valeur&gt;</v>
      </c>
      <c r="AJ271" t="str">
        <f t="shared" si="85"/>
        <v>&lt;Valeur name="ventiler"&gt;0&lt;/Valeur&gt;</v>
      </c>
      <c r="AK271" t="str">
        <f t="shared" si="86"/>
        <v>&lt;Valeur name="compta"&gt;1&lt;/Valeur&gt;</v>
      </c>
      <c r="AL271" t="str">
        <f t="shared" si="87"/>
        <v>&lt;Valeur name="valeur"&gt;0.21&lt;/Valeur&gt;</v>
      </c>
      <c r="AN271" t="str">
        <f t="shared" si="98"/>
        <v>&lt;Insert&gt;&lt;Valeur name="no"&gt;246&lt;/Valeur&gt;&lt;Valeur name="banque"&gt;1&lt;/Valeur&gt;&lt;Valeur name="pointer"&gt;1&lt;/Valeur&gt;&lt;Valeur name="idbanque"&gt;300760283626261100200EUR201904159223352600&lt;/Valeur&gt;&lt;Valeur name="datevaleur"&gt;2019/04/15&lt;/Valeur&gt;&lt;Valeur name="intitule"&gt;FRAIS E-VIR SEPA VERS EEE&lt;/Valeur&gt;&lt;Valeur name="description"&gt;&lt;/Valeur&gt;&lt;Valeur name="compte"&gt;18&lt;/Valeur&gt;&lt;Valeur name="solde"&gt;17098.87&lt;/Valeur&gt;&lt;Valeur name="ventiler"&gt;0&lt;/Valeur&gt;&lt;Valeur name="compta"&gt;1&lt;/Valeur&gt;&lt;Valeur name="valeur"&gt;0.21&lt;/Valeur&gt;&lt;/Insert&gt;</v>
      </c>
    </row>
    <row r="272" spans="1:40" x14ac:dyDescent="0.25">
      <c r="A272" t="s">
        <v>635</v>
      </c>
      <c r="B272">
        <v>247</v>
      </c>
      <c r="C272" s="1">
        <v>43571</v>
      </c>
      <c r="D272">
        <v>1</v>
      </c>
      <c r="E272" t="str">
        <f>IF(F272&lt;&gt;"",INDEX(Balance!A:A,MATCH(F272,Balance!B:B,0)),"")</f>
        <v/>
      </c>
      <c r="G272" t="s">
        <v>636</v>
      </c>
      <c r="I272" s="10">
        <v>5042.08</v>
      </c>
      <c r="K272" s="11">
        <f t="shared" si="90"/>
        <v>840.34666666666635</v>
      </c>
      <c r="L272" s="10">
        <f t="shared" si="88"/>
        <v>12056.79000000001</v>
      </c>
      <c r="N272">
        <v>247</v>
      </c>
      <c r="O272">
        <v>1</v>
      </c>
      <c r="P272">
        <v>1</v>
      </c>
      <c r="Q272" t="str">
        <f t="shared" si="91"/>
        <v>300760283626261100200EUR201904160910254200</v>
      </c>
      <c r="R272" s="16" t="s">
        <v>925</v>
      </c>
      <c r="S272" t="str">
        <f t="shared" si="92"/>
        <v>RELEVE LCR DU  090419  CONFORME</v>
      </c>
      <c r="U272">
        <f>IFERROR(VLOOKUP(F272,tab!A:B,2,FALSE),1)</f>
        <v>1</v>
      </c>
      <c r="V272" s="14">
        <f t="shared" si="93"/>
        <v>12056.79000000001</v>
      </c>
      <c r="W272">
        <f t="shared" si="94"/>
        <v>0</v>
      </c>
      <c r="X272">
        <f t="shared" si="95"/>
        <v>1</v>
      </c>
      <c r="Y272" s="14">
        <f t="shared" si="96"/>
        <v>5042.08</v>
      </c>
      <c r="AA272" t="str">
        <f t="shared" si="97"/>
        <v>&lt;Valeur name="no"&gt;247&lt;/Valeur&gt;</v>
      </c>
      <c r="AB272" t="str">
        <f t="shared" si="97"/>
        <v>&lt;Valeur name="banque"&gt;1&lt;/Valeur&gt;</v>
      </c>
      <c r="AC272" t="str">
        <f t="shared" si="78"/>
        <v>&lt;Valeur name="pointer"&gt;1&lt;/Valeur&gt;</v>
      </c>
      <c r="AD272" t="str">
        <f t="shared" si="79"/>
        <v>&lt;Valeur name="idbanque"&gt;300760283626261100200EUR201904160910254200&lt;/Valeur&gt;</v>
      </c>
      <c r="AE272" t="str">
        <f t="shared" si="80"/>
        <v>&lt;Valeur name="datevaleur"&gt;2019/04/16&lt;/Valeur&gt;</v>
      </c>
      <c r="AF272" t="str">
        <f t="shared" si="81"/>
        <v>&lt;Valeur name="intitule"&gt;RELEVE LCR DU  090419  CONFORME&lt;/Valeur&gt;</v>
      </c>
      <c r="AG272" t="str">
        <f t="shared" si="82"/>
        <v>&lt;Valeur name="description"&gt;&lt;/Valeur&gt;</v>
      </c>
      <c r="AH272" t="str">
        <f t="shared" si="83"/>
        <v>&lt;Valeur name="compte"&gt;1&lt;/Valeur&gt;</v>
      </c>
      <c r="AI272" t="str">
        <f t="shared" si="84"/>
        <v>&lt;Valeur name="solde"&gt;12056.79&lt;/Valeur&gt;</v>
      </c>
      <c r="AJ272" t="str">
        <f t="shared" si="85"/>
        <v>&lt;Valeur name="ventiler"&gt;0&lt;/Valeur&gt;</v>
      </c>
      <c r="AK272" t="str">
        <f t="shared" si="86"/>
        <v>&lt;Valeur name="compta"&gt;1&lt;/Valeur&gt;</v>
      </c>
      <c r="AL272" t="str">
        <f t="shared" si="87"/>
        <v>&lt;Valeur name="valeur"&gt;5042.08&lt;/Valeur&gt;</v>
      </c>
      <c r="AN272" t="str">
        <f t="shared" si="98"/>
        <v>&lt;Insert&gt;&lt;Valeur name="no"&gt;247&lt;/Valeur&gt;&lt;Valeur name="banque"&gt;1&lt;/Valeur&gt;&lt;Valeur name="pointer"&gt;1&lt;/Valeur&gt;&lt;Valeur name="idbanque"&gt;300760283626261100200EUR201904160910254200&lt;/Valeur&gt;&lt;Valeur name="datevaleur"&gt;2019/04/16&lt;/Valeur&gt;&lt;Valeur name="intitule"&gt;RELEVE LCR DU  090419  CONFORME&lt;/Valeur&gt;&lt;Valeur name="description"&gt;&lt;/Valeur&gt;&lt;Valeur name="compte"&gt;1&lt;/Valeur&gt;&lt;Valeur name="solde"&gt;12056.79&lt;/Valeur&gt;&lt;Valeur name="ventiler"&gt;0&lt;/Valeur&gt;&lt;Valeur name="compta"&gt;1&lt;/Valeur&gt;&lt;Valeur name="valeur"&gt;5042.08&lt;/Valeur&gt;&lt;/Insert&gt;</v>
      </c>
    </row>
    <row r="273" spans="1:40" x14ac:dyDescent="0.25">
      <c r="A273" t="s">
        <v>637</v>
      </c>
      <c r="B273">
        <v>248</v>
      </c>
      <c r="C273" s="1">
        <v>43571</v>
      </c>
      <c r="D273">
        <v>1</v>
      </c>
      <c r="E273" t="str">
        <f>IF(F273&lt;&gt;"",INDEX(Balance!A:A,MATCH(F273,Balance!B:B,0)),"")</f>
        <v>Depense</v>
      </c>
      <c r="F273" t="s">
        <v>254</v>
      </c>
      <c r="G273" t="s">
        <v>461</v>
      </c>
      <c r="I273" s="10">
        <v>12.2</v>
      </c>
      <c r="K273" s="11">
        <f t="shared" si="90"/>
        <v>2.0333333333333332</v>
      </c>
      <c r="L273" s="10">
        <f t="shared" si="88"/>
        <v>12044.590000000009</v>
      </c>
      <c r="N273">
        <v>248</v>
      </c>
      <c r="O273">
        <v>1</v>
      </c>
      <c r="P273">
        <v>1</v>
      </c>
      <c r="Q273" t="str">
        <f t="shared" si="91"/>
        <v>300760283626261100200EUR201904161071901100</v>
      </c>
      <c r="R273" s="16" t="s">
        <v>925</v>
      </c>
      <c r="S273" t="str">
        <f t="shared" si="92"/>
        <v>CB 454106 BOULANGERIE 59FERRIERE</v>
      </c>
      <c r="U273">
        <f>IFERROR(VLOOKUP(F273,tab!A:B,2,FALSE),1)</f>
        <v>27</v>
      </c>
      <c r="V273" s="14">
        <f t="shared" si="93"/>
        <v>12044.590000000009</v>
      </c>
      <c r="W273">
        <f t="shared" si="94"/>
        <v>0</v>
      </c>
      <c r="X273">
        <f t="shared" si="95"/>
        <v>1</v>
      </c>
      <c r="Y273" s="14">
        <f t="shared" si="96"/>
        <v>12.2</v>
      </c>
      <c r="AA273" t="str">
        <f t="shared" si="97"/>
        <v>&lt;Valeur name="no"&gt;248&lt;/Valeur&gt;</v>
      </c>
      <c r="AB273" t="str">
        <f t="shared" si="97"/>
        <v>&lt;Valeur name="banque"&gt;1&lt;/Valeur&gt;</v>
      </c>
      <c r="AC273" t="str">
        <f t="shared" si="78"/>
        <v>&lt;Valeur name="pointer"&gt;1&lt;/Valeur&gt;</v>
      </c>
      <c r="AD273" t="str">
        <f t="shared" si="79"/>
        <v>&lt;Valeur name="idbanque"&gt;300760283626261100200EUR201904161071901100&lt;/Valeur&gt;</v>
      </c>
      <c r="AE273" t="str">
        <f t="shared" si="80"/>
        <v>&lt;Valeur name="datevaleur"&gt;2019/04/16&lt;/Valeur&gt;</v>
      </c>
      <c r="AF273" t="str">
        <f t="shared" si="81"/>
        <v>&lt;Valeur name="intitule"&gt;CB 454106 BOULANGERIE 59FERRIERE&lt;/Valeur&gt;</v>
      </c>
      <c r="AG273" t="str">
        <f t="shared" si="82"/>
        <v>&lt;Valeur name="description"&gt;&lt;/Valeur&gt;</v>
      </c>
      <c r="AH273" t="str">
        <f t="shared" si="83"/>
        <v>&lt;Valeur name="compte"&gt;27&lt;/Valeur&gt;</v>
      </c>
      <c r="AI273" t="str">
        <f t="shared" si="84"/>
        <v>&lt;Valeur name="solde"&gt;12044.59&lt;/Valeur&gt;</v>
      </c>
      <c r="AJ273" t="str">
        <f t="shared" si="85"/>
        <v>&lt;Valeur name="ventiler"&gt;0&lt;/Valeur&gt;</v>
      </c>
      <c r="AK273" t="str">
        <f t="shared" si="86"/>
        <v>&lt;Valeur name="compta"&gt;1&lt;/Valeur&gt;</v>
      </c>
      <c r="AL273" t="str">
        <f t="shared" si="87"/>
        <v>&lt;Valeur name="valeur"&gt;12.2&lt;/Valeur&gt;</v>
      </c>
      <c r="AN273" t="str">
        <f t="shared" si="98"/>
        <v>&lt;Insert&gt;&lt;Valeur name="no"&gt;248&lt;/Valeur&gt;&lt;Valeur name="banque"&gt;1&lt;/Valeur&gt;&lt;Valeur name="pointer"&gt;1&lt;/Valeur&gt;&lt;Valeur name="idbanque"&gt;300760283626261100200EUR201904161071901100&lt;/Valeur&gt;&lt;Valeur name="datevaleur"&gt;2019/04/16&lt;/Valeur&gt;&lt;Valeur name="intitule"&gt;CB 454106 BOULANGERIE 59FERRIERE&lt;/Valeur&gt;&lt;Valeur name="description"&gt;&lt;/Valeur&gt;&lt;Valeur name="compte"&gt;27&lt;/Valeur&gt;&lt;Valeur name="solde"&gt;12044.59&lt;/Valeur&gt;&lt;Valeur name="ventiler"&gt;0&lt;/Valeur&gt;&lt;Valeur name="compta"&gt;1&lt;/Valeur&gt;&lt;Valeur name="valeur"&gt;12.2&lt;/Valeur&gt;&lt;/Insert&gt;</v>
      </c>
    </row>
    <row r="274" spans="1:40" x14ac:dyDescent="0.25">
      <c r="A274" t="s">
        <v>638</v>
      </c>
      <c r="B274">
        <v>249</v>
      </c>
      <c r="C274" s="1">
        <v>43571</v>
      </c>
      <c r="D274">
        <v>1</v>
      </c>
      <c r="E274" t="str">
        <f>IF(F274&lt;&gt;"",INDEX(Balance!A:A,MATCH(F274,Balance!B:B,0)),"")</f>
        <v>Depense</v>
      </c>
      <c r="F274" t="s">
        <v>269</v>
      </c>
      <c r="G274" t="s">
        <v>47</v>
      </c>
      <c r="H274" t="s">
        <v>639</v>
      </c>
      <c r="I274" s="10">
        <v>3551</v>
      </c>
      <c r="K274" s="11">
        <f t="shared" si="90"/>
        <v>591.83333333333303</v>
      </c>
      <c r="L274" s="10">
        <f t="shared" si="88"/>
        <v>8493.5900000000092</v>
      </c>
      <c r="N274">
        <v>249</v>
      </c>
      <c r="O274">
        <v>1</v>
      </c>
      <c r="P274">
        <v>1</v>
      </c>
      <c r="Q274" t="str">
        <f t="shared" si="91"/>
        <v>300760283626261100200EUR201904166330805500</v>
      </c>
      <c r="R274" s="16" t="s">
        <v>925</v>
      </c>
      <c r="S274" t="str">
        <f t="shared" si="92"/>
        <v>PRLV SEPA URSSAF Nord-Pas-de-Cal / UR 317000001020473292    MARS197</v>
      </c>
      <c r="U274">
        <f>IFERROR(VLOOKUP(F274,tab!A:B,2,FALSE),1)</f>
        <v>14</v>
      </c>
      <c r="V274" s="14">
        <f t="shared" si="93"/>
        <v>8493.5900000000092</v>
      </c>
      <c r="W274">
        <f t="shared" si="94"/>
        <v>0</v>
      </c>
      <c r="X274">
        <f t="shared" si="95"/>
        <v>1</v>
      </c>
      <c r="Y274" s="14">
        <f t="shared" si="96"/>
        <v>3551</v>
      </c>
      <c r="AA274" t="str">
        <f t="shared" si="97"/>
        <v>&lt;Valeur name="no"&gt;249&lt;/Valeur&gt;</v>
      </c>
      <c r="AB274" t="str">
        <f t="shared" si="97"/>
        <v>&lt;Valeur name="banque"&gt;1&lt;/Valeur&gt;</v>
      </c>
      <c r="AC274" t="str">
        <f t="shared" ref="AC274:AC337" si="99">IF(ISBLANK($N274),"",P$1&amp;P274&amp;"&lt;/Valeur&gt;")</f>
        <v>&lt;Valeur name="pointer"&gt;1&lt;/Valeur&gt;</v>
      </c>
      <c r="AD274" t="str">
        <f t="shared" ref="AD274:AD337" si="100">IF(ISBLANK($N274),"",Q$1&amp;Q274&amp;"&lt;/Valeur&gt;")</f>
        <v>&lt;Valeur name="idbanque"&gt;300760283626261100200EUR201904166330805500&lt;/Valeur&gt;</v>
      </c>
      <c r="AE274" t="str">
        <f t="shared" ref="AE274:AE337" si="101">IF(ISBLANK($N274),"",R$1&amp;R274&amp;"&lt;/Valeur&gt;")</f>
        <v>&lt;Valeur name="datevaleur"&gt;2019/04/16&lt;/Valeur&gt;</v>
      </c>
      <c r="AF274" t="str">
        <f t="shared" ref="AF274:AF337" si="102">IF(ISBLANK($N274),"",S$1&amp;S274&amp;"&lt;/Valeur&gt;")</f>
        <v>&lt;Valeur name="intitule"&gt;PRLV SEPA URSSAF Nord-Pas-de-Cal / UR 317000001020473292    MARS197&lt;/Valeur&gt;</v>
      </c>
      <c r="AG274" t="str">
        <f t="shared" ref="AG274:AG337" si="103">IF(ISBLANK($N274),"",T$1&amp;T274&amp;"&lt;/Valeur&gt;")</f>
        <v>&lt;Valeur name="description"&gt;&lt;/Valeur&gt;</v>
      </c>
      <c r="AH274" t="str">
        <f t="shared" ref="AH274:AH337" si="104">IF(ISBLANK($N274),"",U$1&amp;U274&amp;"&lt;/Valeur&gt;")</f>
        <v>&lt;Valeur name="compte"&gt;14&lt;/Valeur&gt;</v>
      </c>
      <c r="AI274" t="str">
        <f t="shared" ref="AI274:AI337" si="105">IF(ISBLANK($N274),"",V$1&amp;V274&amp;"&lt;/Valeur&gt;")</f>
        <v>&lt;Valeur name="solde"&gt;8493.59000000001&lt;/Valeur&gt;</v>
      </c>
      <c r="AJ274" t="str">
        <f t="shared" ref="AJ274:AJ337" si="106">IF(ISBLANK($N274),"",W$1&amp;W274&amp;"&lt;/Valeur&gt;")</f>
        <v>&lt;Valeur name="ventiler"&gt;0&lt;/Valeur&gt;</v>
      </c>
      <c r="AK274" t="str">
        <f t="shared" ref="AK274:AK337" si="107">IF(ISBLANK($N274),"",X$1&amp;X274&amp;"&lt;/Valeur&gt;")</f>
        <v>&lt;Valeur name="compta"&gt;1&lt;/Valeur&gt;</v>
      </c>
      <c r="AL274" t="str">
        <f t="shared" ref="AL274:AL337" si="108">IF(ISBLANK($N274),"",Y$1&amp;Y274&amp;"&lt;/Valeur&gt;")</f>
        <v>&lt;Valeur name="valeur"&gt;3551&lt;/Valeur&gt;</v>
      </c>
      <c r="AN274" t="str">
        <f t="shared" si="98"/>
        <v>&lt;Insert&gt;&lt;Valeur name="no"&gt;249&lt;/Valeur&gt;&lt;Valeur name="banque"&gt;1&lt;/Valeur&gt;&lt;Valeur name="pointer"&gt;1&lt;/Valeur&gt;&lt;Valeur name="idbanque"&gt;300760283626261100200EUR201904166330805500&lt;/Valeur&gt;&lt;Valeur name="datevaleur"&gt;2019/04/16&lt;/Valeur&gt;&lt;Valeur name="intitule"&gt;PRLV SEPA URSSAF Nord-Pas-de-Cal / UR 317000001020473292    MARS197&lt;/Valeur&gt;&lt;Valeur name="description"&gt;&lt;/Valeur&gt;&lt;Valeur name="compte"&gt;14&lt;/Valeur&gt;&lt;Valeur name="solde"&gt;8493.59000000001&lt;/Valeur&gt;&lt;Valeur name="ventiler"&gt;0&lt;/Valeur&gt;&lt;Valeur name="compta"&gt;1&lt;/Valeur&gt;&lt;Valeur name="valeur"&gt;3551&lt;/Valeur&gt;&lt;/Insert&gt;</v>
      </c>
    </row>
    <row r="275" spans="1:40" x14ac:dyDescent="0.25">
      <c r="A275" t="s">
        <v>640</v>
      </c>
      <c r="B275">
        <v>250</v>
      </c>
      <c r="C275" s="1">
        <v>43572</v>
      </c>
      <c r="D275">
        <v>1</v>
      </c>
      <c r="E275" t="str">
        <f>IF(F275&lt;&gt;"",INDEX(Balance!A:A,MATCH(F275,Balance!B:B,0)),"")</f>
        <v>Depense</v>
      </c>
      <c r="F275" t="s">
        <v>254</v>
      </c>
      <c r="G275" t="s">
        <v>641</v>
      </c>
      <c r="I275" s="10">
        <v>12.5</v>
      </c>
      <c r="K275" s="11">
        <f t="shared" si="90"/>
        <v>2.0833333333333321</v>
      </c>
      <c r="L275" s="10">
        <f t="shared" ref="L275:L278" si="109">L274-I275+J275</f>
        <v>8481.0900000000092</v>
      </c>
      <c r="N275">
        <v>250</v>
      </c>
      <c r="O275">
        <v>1</v>
      </c>
      <c r="P275">
        <v>1</v>
      </c>
      <c r="Q275" t="str">
        <f t="shared" si="91"/>
        <v>300760283626261100200EUR201904171072952000</v>
      </c>
      <c r="R275" s="16" t="s">
        <v>974</v>
      </c>
      <c r="S275" t="str">
        <f t="shared" si="92"/>
        <v>CB 454106 K0679       59LEZENNES</v>
      </c>
      <c r="U275">
        <f>IFERROR(VLOOKUP(F275,tab!A:B,2,FALSE),1)</f>
        <v>27</v>
      </c>
      <c r="V275" s="14">
        <f t="shared" si="93"/>
        <v>8481.0900000000092</v>
      </c>
      <c r="W275">
        <f t="shared" si="94"/>
        <v>0</v>
      </c>
      <c r="X275">
        <f t="shared" si="95"/>
        <v>1</v>
      </c>
      <c r="Y275" s="14">
        <f t="shared" si="96"/>
        <v>12.5</v>
      </c>
      <c r="AA275" t="str">
        <f t="shared" si="97"/>
        <v>&lt;Valeur name="no"&gt;250&lt;/Valeur&gt;</v>
      </c>
      <c r="AB275" t="str">
        <f t="shared" si="97"/>
        <v>&lt;Valeur name="banque"&gt;1&lt;/Valeur&gt;</v>
      </c>
      <c r="AC275" t="str">
        <f t="shared" si="99"/>
        <v>&lt;Valeur name="pointer"&gt;1&lt;/Valeur&gt;</v>
      </c>
      <c r="AD275" t="str">
        <f t="shared" si="100"/>
        <v>&lt;Valeur name="idbanque"&gt;300760283626261100200EUR201904171072952000&lt;/Valeur&gt;</v>
      </c>
      <c r="AE275" t="str">
        <f t="shared" si="101"/>
        <v>&lt;Valeur name="datevaleur"&gt;2019/04/17&lt;/Valeur&gt;</v>
      </c>
      <c r="AF275" t="str">
        <f t="shared" si="102"/>
        <v>&lt;Valeur name="intitule"&gt;CB 454106 K0679       59LEZENNES&lt;/Valeur&gt;</v>
      </c>
      <c r="AG275" t="str">
        <f t="shared" si="103"/>
        <v>&lt;Valeur name="description"&gt;&lt;/Valeur&gt;</v>
      </c>
      <c r="AH275" t="str">
        <f t="shared" si="104"/>
        <v>&lt;Valeur name="compte"&gt;27&lt;/Valeur&gt;</v>
      </c>
      <c r="AI275" t="str">
        <f t="shared" si="105"/>
        <v>&lt;Valeur name="solde"&gt;8481.09000000001&lt;/Valeur&gt;</v>
      </c>
      <c r="AJ275" t="str">
        <f t="shared" si="106"/>
        <v>&lt;Valeur name="ventiler"&gt;0&lt;/Valeur&gt;</v>
      </c>
      <c r="AK275" t="str">
        <f t="shared" si="107"/>
        <v>&lt;Valeur name="compta"&gt;1&lt;/Valeur&gt;</v>
      </c>
      <c r="AL275" t="str">
        <f t="shared" si="108"/>
        <v>&lt;Valeur name="valeur"&gt;12.5&lt;/Valeur&gt;</v>
      </c>
      <c r="AN275" t="str">
        <f t="shared" si="98"/>
        <v>&lt;Insert&gt;&lt;Valeur name="no"&gt;250&lt;/Valeur&gt;&lt;Valeur name="banque"&gt;1&lt;/Valeur&gt;&lt;Valeur name="pointer"&gt;1&lt;/Valeur&gt;&lt;Valeur name="idbanque"&gt;300760283626261100200EUR201904171072952000&lt;/Valeur&gt;&lt;Valeur name="datevaleur"&gt;2019/04/17&lt;/Valeur&gt;&lt;Valeur name="intitule"&gt;CB 454106 K0679       59LEZENNES&lt;/Valeur&gt;&lt;Valeur name="description"&gt;&lt;/Valeur&gt;&lt;Valeur name="compte"&gt;27&lt;/Valeur&gt;&lt;Valeur name="solde"&gt;8481.09000000001&lt;/Valeur&gt;&lt;Valeur name="ventiler"&gt;0&lt;/Valeur&gt;&lt;Valeur name="compta"&gt;1&lt;/Valeur&gt;&lt;Valeur name="valeur"&gt;12.5&lt;/Valeur&gt;&lt;/Insert&gt;</v>
      </c>
    </row>
    <row r="276" spans="1:40" x14ac:dyDescent="0.25">
      <c r="A276" t="s">
        <v>642</v>
      </c>
      <c r="B276">
        <v>251</v>
      </c>
      <c r="C276" s="1">
        <v>43572</v>
      </c>
      <c r="D276">
        <v>1</v>
      </c>
      <c r="E276" t="str">
        <f>IF(F276&lt;&gt;"",INDEX(Balance!A:A,MATCH(F276,Balance!B:B,0)),"")</f>
        <v>Depense</v>
      </c>
      <c r="F276" t="s">
        <v>372</v>
      </c>
      <c r="G276" t="s">
        <v>643</v>
      </c>
      <c r="I276" s="10">
        <v>4.0999999999999996</v>
      </c>
      <c r="K276" s="11">
        <f t="shared" si="90"/>
        <v>0.68333333333333313</v>
      </c>
      <c r="L276" s="10">
        <f t="shared" si="109"/>
        <v>8476.9900000000089</v>
      </c>
      <c r="N276">
        <v>251</v>
      </c>
      <c r="O276">
        <v>1</v>
      </c>
      <c r="P276">
        <v>1</v>
      </c>
      <c r="Q276" t="str">
        <f t="shared" si="91"/>
        <v>300760283626261100200EUR201904171078942600</v>
      </c>
      <c r="R276" s="16" t="s">
        <v>974</v>
      </c>
      <c r="S276" t="str">
        <f t="shared" si="92"/>
        <v>CB 454106 SANEF 0904- 60SENLIS</v>
      </c>
      <c r="U276">
        <f>IFERROR(VLOOKUP(F276,tab!A:B,2,FALSE),1)</f>
        <v>21</v>
      </c>
      <c r="V276" s="14">
        <f t="shared" si="93"/>
        <v>8476.9900000000089</v>
      </c>
      <c r="W276">
        <f t="shared" si="94"/>
        <v>0</v>
      </c>
      <c r="X276">
        <f t="shared" si="95"/>
        <v>1</v>
      </c>
      <c r="Y276" s="14">
        <f t="shared" si="96"/>
        <v>4.0999999999999996</v>
      </c>
      <c r="AA276" t="str">
        <f t="shared" si="97"/>
        <v>&lt;Valeur name="no"&gt;251&lt;/Valeur&gt;</v>
      </c>
      <c r="AB276" t="str">
        <f t="shared" si="97"/>
        <v>&lt;Valeur name="banque"&gt;1&lt;/Valeur&gt;</v>
      </c>
      <c r="AC276" t="str">
        <f t="shared" si="99"/>
        <v>&lt;Valeur name="pointer"&gt;1&lt;/Valeur&gt;</v>
      </c>
      <c r="AD276" t="str">
        <f t="shared" si="100"/>
        <v>&lt;Valeur name="idbanque"&gt;300760283626261100200EUR201904171078942600&lt;/Valeur&gt;</v>
      </c>
      <c r="AE276" t="str">
        <f t="shared" si="101"/>
        <v>&lt;Valeur name="datevaleur"&gt;2019/04/17&lt;/Valeur&gt;</v>
      </c>
      <c r="AF276" t="str">
        <f t="shared" si="102"/>
        <v>&lt;Valeur name="intitule"&gt;CB 454106 SANEF 0904- 60SENLIS&lt;/Valeur&gt;</v>
      </c>
      <c r="AG276" t="str">
        <f t="shared" si="103"/>
        <v>&lt;Valeur name="description"&gt;&lt;/Valeur&gt;</v>
      </c>
      <c r="AH276" t="str">
        <f t="shared" si="104"/>
        <v>&lt;Valeur name="compte"&gt;21&lt;/Valeur&gt;</v>
      </c>
      <c r="AI276" t="str">
        <f t="shared" si="105"/>
        <v>&lt;Valeur name="solde"&gt;8476.99000000001&lt;/Valeur&gt;</v>
      </c>
      <c r="AJ276" t="str">
        <f t="shared" si="106"/>
        <v>&lt;Valeur name="ventiler"&gt;0&lt;/Valeur&gt;</v>
      </c>
      <c r="AK276" t="str">
        <f t="shared" si="107"/>
        <v>&lt;Valeur name="compta"&gt;1&lt;/Valeur&gt;</v>
      </c>
      <c r="AL276" t="str">
        <f t="shared" si="108"/>
        <v>&lt;Valeur name="valeur"&gt;4.1&lt;/Valeur&gt;</v>
      </c>
      <c r="AN276" t="str">
        <f t="shared" si="98"/>
        <v>&lt;Insert&gt;&lt;Valeur name="no"&gt;251&lt;/Valeur&gt;&lt;Valeur name="banque"&gt;1&lt;/Valeur&gt;&lt;Valeur name="pointer"&gt;1&lt;/Valeur&gt;&lt;Valeur name="idbanque"&gt;300760283626261100200EUR201904171078942600&lt;/Valeur&gt;&lt;Valeur name="datevaleur"&gt;2019/04/17&lt;/Valeur&gt;&lt;Valeur name="intitule"&gt;CB 454106 SANEF 0904- 60SENLIS&lt;/Valeur&gt;&lt;Valeur name="description"&gt;&lt;/Valeur&gt;&lt;Valeur name="compte"&gt;21&lt;/Valeur&gt;&lt;Valeur name="solde"&gt;8476.99000000001&lt;/Valeur&gt;&lt;Valeur name="ventiler"&gt;0&lt;/Valeur&gt;&lt;Valeur name="compta"&gt;1&lt;/Valeur&gt;&lt;Valeur name="valeur"&gt;4.1&lt;/Valeur&gt;&lt;/Insert&gt;</v>
      </c>
    </row>
    <row r="277" spans="1:40" x14ac:dyDescent="0.25">
      <c r="A277" t="s">
        <v>644</v>
      </c>
      <c r="B277">
        <v>252</v>
      </c>
      <c r="C277" s="1">
        <v>43573</v>
      </c>
      <c r="D277">
        <v>1</v>
      </c>
      <c r="E277" t="str">
        <f>IF(F277&lt;&gt;"",INDEX(Balance!A:A,MATCH(F277,Balance!B:B,0)),"")</f>
        <v>Fournisseurs</v>
      </c>
      <c r="F277" t="s">
        <v>376</v>
      </c>
      <c r="G277" t="s">
        <v>645</v>
      </c>
      <c r="I277" s="10">
        <v>9.99</v>
      </c>
      <c r="K277" s="11">
        <f t="shared" si="90"/>
        <v>1.6649999999999991</v>
      </c>
      <c r="L277" s="10">
        <f t="shared" si="109"/>
        <v>8467.0000000000091</v>
      </c>
      <c r="N277">
        <v>252</v>
      </c>
      <c r="O277">
        <v>1</v>
      </c>
      <c r="P277">
        <v>1</v>
      </c>
      <c r="Q277" t="str">
        <f t="shared" si="91"/>
        <v>300760283626261100200EUR201904181076047400</v>
      </c>
      <c r="R277" s="16" t="s">
        <v>975</v>
      </c>
      <c r="S277" t="str">
        <f t="shared" si="92"/>
        <v>CB 548222 GOOGLE *GOO GB   9,99</v>
      </c>
      <c r="U277">
        <f>IFERROR(VLOOKUP(F277,tab!A:B,2,FALSE),1)</f>
        <v>69</v>
      </c>
      <c r="V277" s="14">
        <f t="shared" si="93"/>
        <v>8467.0000000000091</v>
      </c>
      <c r="W277">
        <f t="shared" si="94"/>
        <v>0</v>
      </c>
      <c r="X277">
        <f t="shared" si="95"/>
        <v>1</v>
      </c>
      <c r="Y277" s="14">
        <f t="shared" si="96"/>
        <v>9.99</v>
      </c>
      <c r="AA277" t="str">
        <f t="shared" si="97"/>
        <v>&lt;Valeur name="no"&gt;252&lt;/Valeur&gt;</v>
      </c>
      <c r="AB277" t="str">
        <f t="shared" si="97"/>
        <v>&lt;Valeur name="banque"&gt;1&lt;/Valeur&gt;</v>
      </c>
      <c r="AC277" t="str">
        <f t="shared" si="99"/>
        <v>&lt;Valeur name="pointer"&gt;1&lt;/Valeur&gt;</v>
      </c>
      <c r="AD277" t="str">
        <f t="shared" si="100"/>
        <v>&lt;Valeur name="idbanque"&gt;300760283626261100200EUR201904181076047400&lt;/Valeur&gt;</v>
      </c>
      <c r="AE277" t="str">
        <f t="shared" si="101"/>
        <v>&lt;Valeur name="datevaleur"&gt;2019/04/18&lt;/Valeur&gt;</v>
      </c>
      <c r="AF277" t="str">
        <f t="shared" si="102"/>
        <v>&lt;Valeur name="intitule"&gt;CB 548222 GOOGLE *GOO GB   9,99&lt;/Valeur&gt;</v>
      </c>
      <c r="AG277" t="str">
        <f t="shared" si="103"/>
        <v>&lt;Valeur name="description"&gt;&lt;/Valeur&gt;</v>
      </c>
      <c r="AH277" t="str">
        <f t="shared" si="104"/>
        <v>&lt;Valeur name="compte"&gt;69&lt;/Valeur&gt;</v>
      </c>
      <c r="AI277" t="str">
        <f t="shared" si="105"/>
        <v>&lt;Valeur name="solde"&gt;8467.00000000001&lt;/Valeur&gt;</v>
      </c>
      <c r="AJ277" t="str">
        <f t="shared" si="106"/>
        <v>&lt;Valeur name="ventiler"&gt;0&lt;/Valeur&gt;</v>
      </c>
      <c r="AK277" t="str">
        <f t="shared" si="107"/>
        <v>&lt;Valeur name="compta"&gt;1&lt;/Valeur&gt;</v>
      </c>
      <c r="AL277" t="str">
        <f t="shared" si="108"/>
        <v>&lt;Valeur name="valeur"&gt;9.99&lt;/Valeur&gt;</v>
      </c>
      <c r="AN277" t="str">
        <f t="shared" si="98"/>
        <v>&lt;Insert&gt;&lt;Valeur name="no"&gt;252&lt;/Valeur&gt;&lt;Valeur name="banque"&gt;1&lt;/Valeur&gt;&lt;Valeur name="pointer"&gt;1&lt;/Valeur&gt;&lt;Valeur name="idbanque"&gt;300760283626261100200EUR201904181076047400&lt;/Valeur&gt;&lt;Valeur name="datevaleur"&gt;2019/04/18&lt;/Valeur&gt;&lt;Valeur name="intitule"&gt;CB 548222 GOOGLE *GOO GB   9,99&lt;/Valeur&gt;&lt;Valeur name="description"&gt;&lt;/Valeur&gt;&lt;Valeur name="compte"&gt;69&lt;/Valeur&gt;&lt;Valeur name="solde"&gt;8467.00000000001&lt;/Valeur&gt;&lt;Valeur name="ventiler"&gt;0&lt;/Valeur&gt;&lt;Valeur name="compta"&gt;1&lt;/Valeur&gt;&lt;Valeur name="valeur"&gt;9.99&lt;/Valeur&gt;&lt;/Insert&gt;</v>
      </c>
    </row>
    <row r="278" spans="1:40" x14ac:dyDescent="0.25">
      <c r="A278" t="s">
        <v>646</v>
      </c>
      <c r="B278">
        <v>253</v>
      </c>
      <c r="C278" s="1">
        <v>43578</v>
      </c>
      <c r="D278">
        <v>1</v>
      </c>
      <c r="E278" t="str">
        <f>IF(F278&lt;&gt;"",INDEX(Balance!A:A,MATCH(F278,Balance!B:B,0)),"")</f>
        <v>Depense</v>
      </c>
      <c r="F278" t="s">
        <v>254</v>
      </c>
      <c r="G278" t="s">
        <v>647</v>
      </c>
      <c r="I278" s="10">
        <v>13.4</v>
      </c>
      <c r="K278" s="11">
        <f t="shared" si="90"/>
        <v>2.2333333333333325</v>
      </c>
      <c r="L278" s="10">
        <f t="shared" si="109"/>
        <v>8453.6000000000095</v>
      </c>
      <c r="N278">
        <v>253</v>
      </c>
      <c r="O278">
        <v>1</v>
      </c>
      <c r="P278">
        <v>1</v>
      </c>
      <c r="Q278" t="str">
        <f t="shared" si="91"/>
        <v>300760283626261100200EUR201904231074478700</v>
      </c>
      <c r="R278" s="16" t="s">
        <v>976</v>
      </c>
      <c r="S278" t="str">
        <f t="shared" si="92"/>
        <v>CB 454106 BOUL PROUVY 59PROUVY</v>
      </c>
      <c r="U278">
        <f>IFERROR(VLOOKUP(F278,tab!A:B,2,FALSE),1)</f>
        <v>27</v>
      </c>
      <c r="V278" s="14">
        <f t="shared" si="93"/>
        <v>8453.6000000000095</v>
      </c>
      <c r="W278">
        <f t="shared" si="94"/>
        <v>0</v>
      </c>
      <c r="X278">
        <f t="shared" si="95"/>
        <v>1</v>
      </c>
      <c r="Y278" s="14">
        <f t="shared" si="96"/>
        <v>13.4</v>
      </c>
      <c r="AA278" t="str">
        <f t="shared" si="97"/>
        <v>&lt;Valeur name="no"&gt;253&lt;/Valeur&gt;</v>
      </c>
      <c r="AB278" t="str">
        <f t="shared" si="97"/>
        <v>&lt;Valeur name="banque"&gt;1&lt;/Valeur&gt;</v>
      </c>
      <c r="AC278" t="str">
        <f t="shared" si="99"/>
        <v>&lt;Valeur name="pointer"&gt;1&lt;/Valeur&gt;</v>
      </c>
      <c r="AD278" t="str">
        <f t="shared" si="100"/>
        <v>&lt;Valeur name="idbanque"&gt;300760283626261100200EUR201904231074478700&lt;/Valeur&gt;</v>
      </c>
      <c r="AE278" t="str">
        <f t="shared" si="101"/>
        <v>&lt;Valeur name="datevaleur"&gt;2019/04/23&lt;/Valeur&gt;</v>
      </c>
      <c r="AF278" t="str">
        <f t="shared" si="102"/>
        <v>&lt;Valeur name="intitule"&gt;CB 454106 BOUL PROUVY 59PROUVY&lt;/Valeur&gt;</v>
      </c>
      <c r="AG278" t="str">
        <f t="shared" si="103"/>
        <v>&lt;Valeur name="description"&gt;&lt;/Valeur&gt;</v>
      </c>
      <c r="AH278" t="str">
        <f t="shared" si="104"/>
        <v>&lt;Valeur name="compte"&gt;27&lt;/Valeur&gt;</v>
      </c>
      <c r="AI278" t="str">
        <f t="shared" si="105"/>
        <v>&lt;Valeur name="solde"&gt;8453.60000000001&lt;/Valeur&gt;</v>
      </c>
      <c r="AJ278" t="str">
        <f t="shared" si="106"/>
        <v>&lt;Valeur name="ventiler"&gt;0&lt;/Valeur&gt;</v>
      </c>
      <c r="AK278" t="str">
        <f t="shared" si="107"/>
        <v>&lt;Valeur name="compta"&gt;1&lt;/Valeur&gt;</v>
      </c>
      <c r="AL278" t="str">
        <f t="shared" si="108"/>
        <v>&lt;Valeur name="valeur"&gt;13.4&lt;/Valeur&gt;</v>
      </c>
      <c r="AN278" t="str">
        <f t="shared" si="98"/>
        <v>&lt;Insert&gt;&lt;Valeur name="no"&gt;253&lt;/Valeur&gt;&lt;Valeur name="banque"&gt;1&lt;/Valeur&gt;&lt;Valeur name="pointer"&gt;1&lt;/Valeur&gt;&lt;Valeur name="idbanque"&gt;300760283626261100200EUR201904231074478700&lt;/Valeur&gt;&lt;Valeur name="datevaleur"&gt;2019/04/23&lt;/Valeur&gt;&lt;Valeur name="intitule"&gt;CB 454106 BOUL PROUVY 59PROUVY&lt;/Valeur&gt;&lt;Valeur name="description"&gt;&lt;/Valeur&gt;&lt;Valeur name="compte"&gt;27&lt;/Valeur&gt;&lt;Valeur name="solde"&gt;8453.60000000001&lt;/Valeur&gt;&lt;Valeur name="ventiler"&gt;0&lt;/Valeur&gt;&lt;Valeur name="compta"&gt;1&lt;/Valeur&gt;&lt;Valeur name="valeur"&gt;13.4&lt;/Valeur&gt;&lt;/Insert&gt;</v>
      </c>
    </row>
    <row r="279" spans="1:40" x14ac:dyDescent="0.25">
      <c r="A279" t="s">
        <v>649</v>
      </c>
      <c r="B279">
        <v>254</v>
      </c>
      <c r="C279" s="1">
        <v>43579</v>
      </c>
      <c r="D279">
        <v>1</v>
      </c>
      <c r="E279" t="str">
        <f>IF(F279&lt;&gt;"",INDEX(Balance!A:A,MATCH(F279,Balance!B:B,0)),"")</f>
        <v>Depense</v>
      </c>
      <c r="F279" t="s">
        <v>253</v>
      </c>
      <c r="G279" t="s">
        <v>9</v>
      </c>
      <c r="I279" s="10">
        <v>82.11</v>
      </c>
      <c r="K279" s="11">
        <f t="shared" ref="K279" si="110">IF(I279&gt;0,I279-(I279/TVA),-(J279-(J279/TVA)))</f>
        <v>13.685000000000002</v>
      </c>
      <c r="L279" s="10">
        <f t="shared" ref="L279" si="111">L278-I279+J279</f>
        <v>8371.4900000000089</v>
      </c>
      <c r="N279">
        <v>254</v>
      </c>
      <c r="O279">
        <v>1</v>
      </c>
      <c r="P279">
        <v>1</v>
      </c>
      <c r="Q279" t="str">
        <f t="shared" si="91"/>
        <v>300760283626261100200EUR201904241079632900</v>
      </c>
      <c r="R279" s="16" t="s">
        <v>918</v>
      </c>
      <c r="S279" t="str">
        <f t="shared" si="92"/>
        <v>CB 548222 DAC AUCHAN  59VALENCIE</v>
      </c>
      <c r="U279">
        <f>IFERROR(VLOOKUP(F279,tab!A:B,2,FALSE),1)</f>
        <v>13</v>
      </c>
      <c r="V279" s="14">
        <f t="shared" si="93"/>
        <v>8371.4900000000089</v>
      </c>
      <c r="W279">
        <f t="shared" si="94"/>
        <v>0</v>
      </c>
      <c r="X279">
        <f t="shared" si="95"/>
        <v>1</v>
      </c>
      <c r="Y279" s="14">
        <f t="shared" si="96"/>
        <v>82.11</v>
      </c>
      <c r="AA279" t="str">
        <f t="shared" si="97"/>
        <v>&lt;Valeur name="no"&gt;254&lt;/Valeur&gt;</v>
      </c>
      <c r="AB279" t="str">
        <f t="shared" si="97"/>
        <v>&lt;Valeur name="banque"&gt;1&lt;/Valeur&gt;</v>
      </c>
      <c r="AC279" t="str">
        <f t="shared" si="99"/>
        <v>&lt;Valeur name="pointer"&gt;1&lt;/Valeur&gt;</v>
      </c>
      <c r="AD279" t="str">
        <f t="shared" si="100"/>
        <v>&lt;Valeur name="idbanque"&gt;300760283626261100200EUR201904241079632900&lt;/Valeur&gt;</v>
      </c>
      <c r="AE279" t="str">
        <f t="shared" si="101"/>
        <v>&lt;Valeur name="datevaleur"&gt;2019/04/24&lt;/Valeur&gt;</v>
      </c>
      <c r="AF279" t="str">
        <f t="shared" si="102"/>
        <v>&lt;Valeur name="intitule"&gt;CB 548222 DAC AUCHAN  59VALENCIE&lt;/Valeur&gt;</v>
      </c>
      <c r="AG279" t="str">
        <f t="shared" si="103"/>
        <v>&lt;Valeur name="description"&gt;&lt;/Valeur&gt;</v>
      </c>
      <c r="AH279" t="str">
        <f t="shared" si="104"/>
        <v>&lt;Valeur name="compte"&gt;13&lt;/Valeur&gt;</v>
      </c>
      <c r="AI279" t="str">
        <f t="shared" si="105"/>
        <v>&lt;Valeur name="solde"&gt;8371.49000000001&lt;/Valeur&gt;</v>
      </c>
      <c r="AJ279" t="str">
        <f t="shared" si="106"/>
        <v>&lt;Valeur name="ventiler"&gt;0&lt;/Valeur&gt;</v>
      </c>
      <c r="AK279" t="str">
        <f t="shared" si="107"/>
        <v>&lt;Valeur name="compta"&gt;1&lt;/Valeur&gt;</v>
      </c>
      <c r="AL279" t="str">
        <f t="shared" si="108"/>
        <v>&lt;Valeur name="valeur"&gt;82.11&lt;/Valeur&gt;</v>
      </c>
      <c r="AN279" t="str">
        <f t="shared" si="98"/>
        <v>&lt;Insert&gt;&lt;Valeur name="no"&gt;254&lt;/Valeur&gt;&lt;Valeur name="banque"&gt;1&lt;/Valeur&gt;&lt;Valeur name="pointer"&gt;1&lt;/Valeur&gt;&lt;Valeur name="idbanque"&gt;300760283626261100200EUR201904241079632900&lt;/Valeur&gt;&lt;Valeur name="datevaleur"&gt;2019/04/24&lt;/Valeur&gt;&lt;Valeur name="intitule"&gt;CB 548222 DAC AUCHAN  59VALENCIE&lt;/Valeur&gt;&lt;Valeur name="description"&gt;&lt;/Valeur&gt;&lt;Valeur name="compte"&gt;13&lt;/Valeur&gt;&lt;Valeur name="solde"&gt;8371.49000000001&lt;/Valeur&gt;&lt;Valeur name="ventiler"&gt;0&lt;/Valeur&gt;&lt;Valeur name="compta"&gt;1&lt;/Valeur&gt;&lt;Valeur name="valeur"&gt;82.11&lt;/Valeur&gt;&lt;/Insert&gt;</v>
      </c>
    </row>
    <row r="280" spans="1:40" x14ac:dyDescent="0.25">
      <c r="A280" t="s">
        <v>650</v>
      </c>
      <c r="B280">
        <v>255</v>
      </c>
      <c r="C280" s="1">
        <v>43579</v>
      </c>
      <c r="D280">
        <v>1</v>
      </c>
      <c r="E280" t="str">
        <f>IF(F280&lt;&gt;"",INDEX(Balance!A:A,MATCH(F280,Balance!B:B,0)),"")</f>
        <v>Depense</v>
      </c>
      <c r="F280" t="s">
        <v>254</v>
      </c>
      <c r="G280" t="s">
        <v>7</v>
      </c>
      <c r="I280" s="10">
        <v>12.6</v>
      </c>
      <c r="K280" s="11">
        <f t="shared" ref="K280:K293" si="112">IF(I280&gt;0,I280-(I280/TVA),-(J280-(J280/TVA)))</f>
        <v>2.0999999999999996</v>
      </c>
      <c r="L280" s="10">
        <f t="shared" ref="L280:L293" si="113">L279-I280+J280</f>
        <v>8358.8900000000085</v>
      </c>
      <c r="N280">
        <v>255</v>
      </c>
      <c r="O280">
        <v>1</v>
      </c>
      <c r="P280">
        <v>1</v>
      </c>
      <c r="Q280" t="str">
        <f t="shared" si="91"/>
        <v>300760283626261100200EUR201904241079633000</v>
      </c>
      <c r="R280" s="16" t="s">
        <v>918</v>
      </c>
      <c r="S280" t="str">
        <f t="shared" si="92"/>
        <v>CB 454106 SNACK THIER 59BAVAY</v>
      </c>
      <c r="U280">
        <f>IFERROR(VLOOKUP(F280,tab!A:B,2,FALSE),1)</f>
        <v>27</v>
      </c>
      <c r="V280" s="14">
        <f t="shared" si="93"/>
        <v>8358.8900000000085</v>
      </c>
      <c r="W280">
        <f t="shared" si="94"/>
        <v>0</v>
      </c>
      <c r="X280">
        <f t="shared" si="95"/>
        <v>1</v>
      </c>
      <c r="Y280" s="14">
        <f t="shared" si="96"/>
        <v>12.6</v>
      </c>
      <c r="AA280" t="str">
        <f t="shared" si="97"/>
        <v>&lt;Valeur name="no"&gt;255&lt;/Valeur&gt;</v>
      </c>
      <c r="AB280" t="str">
        <f t="shared" si="97"/>
        <v>&lt;Valeur name="banque"&gt;1&lt;/Valeur&gt;</v>
      </c>
      <c r="AC280" t="str">
        <f t="shared" si="99"/>
        <v>&lt;Valeur name="pointer"&gt;1&lt;/Valeur&gt;</v>
      </c>
      <c r="AD280" t="str">
        <f t="shared" si="100"/>
        <v>&lt;Valeur name="idbanque"&gt;300760283626261100200EUR201904241079633000&lt;/Valeur&gt;</v>
      </c>
      <c r="AE280" t="str">
        <f t="shared" si="101"/>
        <v>&lt;Valeur name="datevaleur"&gt;2019/04/24&lt;/Valeur&gt;</v>
      </c>
      <c r="AF280" t="str">
        <f t="shared" si="102"/>
        <v>&lt;Valeur name="intitule"&gt;CB 454106 SNACK THIER 59BAVAY&lt;/Valeur&gt;</v>
      </c>
      <c r="AG280" t="str">
        <f t="shared" si="103"/>
        <v>&lt;Valeur name="description"&gt;&lt;/Valeur&gt;</v>
      </c>
      <c r="AH280" t="str">
        <f t="shared" si="104"/>
        <v>&lt;Valeur name="compte"&gt;27&lt;/Valeur&gt;</v>
      </c>
      <c r="AI280" t="str">
        <f t="shared" si="105"/>
        <v>&lt;Valeur name="solde"&gt;8358.89000000001&lt;/Valeur&gt;</v>
      </c>
      <c r="AJ280" t="str">
        <f t="shared" si="106"/>
        <v>&lt;Valeur name="ventiler"&gt;0&lt;/Valeur&gt;</v>
      </c>
      <c r="AK280" t="str">
        <f t="shared" si="107"/>
        <v>&lt;Valeur name="compta"&gt;1&lt;/Valeur&gt;</v>
      </c>
      <c r="AL280" t="str">
        <f t="shared" si="108"/>
        <v>&lt;Valeur name="valeur"&gt;12.6&lt;/Valeur&gt;</v>
      </c>
      <c r="AN280" t="str">
        <f t="shared" si="98"/>
        <v>&lt;Insert&gt;&lt;Valeur name="no"&gt;255&lt;/Valeur&gt;&lt;Valeur name="banque"&gt;1&lt;/Valeur&gt;&lt;Valeur name="pointer"&gt;1&lt;/Valeur&gt;&lt;Valeur name="idbanque"&gt;300760283626261100200EUR201904241079633000&lt;/Valeur&gt;&lt;Valeur name="datevaleur"&gt;2019/04/24&lt;/Valeur&gt;&lt;Valeur name="intitule"&gt;CB 454106 SNACK THIER 59BAVAY&lt;/Valeur&gt;&lt;Valeur name="description"&gt;&lt;/Valeur&gt;&lt;Valeur name="compte"&gt;27&lt;/Valeur&gt;&lt;Valeur name="solde"&gt;8358.89000000001&lt;/Valeur&gt;&lt;Valeur name="ventiler"&gt;0&lt;/Valeur&gt;&lt;Valeur name="compta"&gt;1&lt;/Valeur&gt;&lt;Valeur name="valeur"&gt;12.6&lt;/Valeur&gt;&lt;/Insert&gt;</v>
      </c>
    </row>
    <row r="281" spans="1:40" x14ac:dyDescent="0.25">
      <c r="A281" t="s">
        <v>651</v>
      </c>
      <c r="B281">
        <v>256</v>
      </c>
      <c r="C281" s="1">
        <v>43579</v>
      </c>
      <c r="D281">
        <v>1</v>
      </c>
      <c r="E281" t="str">
        <f>IF(F281&lt;&gt;"",INDEX(Balance!A:A,MATCH(F281,Balance!B:B,0)),"")</f>
        <v>Fournisseurs</v>
      </c>
      <c r="F281" t="s">
        <v>375</v>
      </c>
      <c r="G281" t="s">
        <v>77</v>
      </c>
      <c r="I281" s="10">
        <v>1168.9000000000001</v>
      </c>
      <c r="K281" s="11">
        <f t="shared" si="112"/>
        <v>194.81666666666661</v>
      </c>
      <c r="L281" s="10">
        <f t="shared" si="113"/>
        <v>7189.9900000000089</v>
      </c>
      <c r="N281">
        <v>256</v>
      </c>
      <c r="O281">
        <v>1</v>
      </c>
      <c r="P281">
        <v>1</v>
      </c>
      <c r="Q281" t="str">
        <f t="shared" si="91"/>
        <v>300760283626261100200EUR201904241079633100</v>
      </c>
      <c r="R281" s="16" t="s">
        <v>918</v>
      </c>
      <c r="S281" t="str">
        <f t="shared" si="92"/>
        <v>CB 548222 DESIGN PROD 14TROARN</v>
      </c>
      <c r="U281">
        <f>IFERROR(VLOOKUP(F281,tab!A:B,2,FALSE),1)</f>
        <v>52</v>
      </c>
      <c r="V281" s="14">
        <f t="shared" si="93"/>
        <v>7189.9900000000089</v>
      </c>
      <c r="W281">
        <f t="shared" si="94"/>
        <v>0</v>
      </c>
      <c r="X281">
        <f t="shared" si="95"/>
        <v>1</v>
      </c>
      <c r="Y281" s="14">
        <f t="shared" si="96"/>
        <v>1168.9000000000001</v>
      </c>
      <c r="AA281" t="str">
        <f t="shared" si="97"/>
        <v>&lt;Valeur name="no"&gt;256&lt;/Valeur&gt;</v>
      </c>
      <c r="AB281" t="str">
        <f t="shared" si="97"/>
        <v>&lt;Valeur name="banque"&gt;1&lt;/Valeur&gt;</v>
      </c>
      <c r="AC281" t="str">
        <f t="shared" si="99"/>
        <v>&lt;Valeur name="pointer"&gt;1&lt;/Valeur&gt;</v>
      </c>
      <c r="AD281" t="str">
        <f t="shared" si="100"/>
        <v>&lt;Valeur name="idbanque"&gt;300760283626261100200EUR201904241079633100&lt;/Valeur&gt;</v>
      </c>
      <c r="AE281" t="str">
        <f t="shared" si="101"/>
        <v>&lt;Valeur name="datevaleur"&gt;2019/04/24&lt;/Valeur&gt;</v>
      </c>
      <c r="AF281" t="str">
        <f t="shared" si="102"/>
        <v>&lt;Valeur name="intitule"&gt;CB 548222 DESIGN PROD 14TROARN&lt;/Valeur&gt;</v>
      </c>
      <c r="AG281" t="str">
        <f t="shared" si="103"/>
        <v>&lt;Valeur name="description"&gt;&lt;/Valeur&gt;</v>
      </c>
      <c r="AH281" t="str">
        <f t="shared" si="104"/>
        <v>&lt;Valeur name="compte"&gt;52&lt;/Valeur&gt;</v>
      </c>
      <c r="AI281" t="str">
        <f t="shared" si="105"/>
        <v>&lt;Valeur name="solde"&gt;7189.99000000001&lt;/Valeur&gt;</v>
      </c>
      <c r="AJ281" t="str">
        <f t="shared" si="106"/>
        <v>&lt;Valeur name="ventiler"&gt;0&lt;/Valeur&gt;</v>
      </c>
      <c r="AK281" t="str">
        <f t="shared" si="107"/>
        <v>&lt;Valeur name="compta"&gt;1&lt;/Valeur&gt;</v>
      </c>
      <c r="AL281" t="str">
        <f t="shared" si="108"/>
        <v>&lt;Valeur name="valeur"&gt;1168.9&lt;/Valeur&gt;</v>
      </c>
      <c r="AN281" t="str">
        <f t="shared" si="98"/>
        <v>&lt;Insert&gt;&lt;Valeur name="no"&gt;256&lt;/Valeur&gt;&lt;Valeur name="banque"&gt;1&lt;/Valeur&gt;&lt;Valeur name="pointer"&gt;1&lt;/Valeur&gt;&lt;Valeur name="idbanque"&gt;300760283626261100200EUR201904241079633100&lt;/Valeur&gt;&lt;Valeur name="datevaleur"&gt;2019/04/24&lt;/Valeur&gt;&lt;Valeur name="intitule"&gt;CB 548222 DESIGN PROD 14TROARN&lt;/Valeur&gt;&lt;Valeur name="description"&gt;&lt;/Valeur&gt;&lt;Valeur name="compte"&gt;52&lt;/Valeur&gt;&lt;Valeur name="solde"&gt;7189.99000000001&lt;/Valeur&gt;&lt;Valeur name="ventiler"&gt;0&lt;/Valeur&gt;&lt;Valeur name="compta"&gt;1&lt;/Valeur&gt;&lt;Valeur name="valeur"&gt;1168.9&lt;/Valeur&gt;&lt;/Insert&gt;</v>
      </c>
    </row>
    <row r="282" spans="1:40" x14ac:dyDescent="0.25">
      <c r="A282" t="s">
        <v>652</v>
      </c>
      <c r="B282">
        <v>257</v>
      </c>
      <c r="C282" s="1">
        <v>43579</v>
      </c>
      <c r="D282">
        <v>1</v>
      </c>
      <c r="E282" t="str">
        <f>IF(F282&lt;&gt;"",INDEX(Balance!A:A,MATCH(F282,Balance!B:B,0)),"")</f>
        <v>Depense</v>
      </c>
      <c r="F282" t="s">
        <v>269</v>
      </c>
      <c r="G282" t="s">
        <v>15</v>
      </c>
      <c r="H282" t="s">
        <v>653</v>
      </c>
      <c r="I282" s="10">
        <v>155</v>
      </c>
      <c r="K282" s="11">
        <f t="shared" si="112"/>
        <v>25.833333333333314</v>
      </c>
      <c r="L282" s="10">
        <f t="shared" si="113"/>
        <v>7034.9900000000089</v>
      </c>
      <c r="N282">
        <v>257</v>
      </c>
      <c r="O282">
        <v>1</v>
      </c>
      <c r="P282">
        <v>1</v>
      </c>
      <c r="Q282" t="str">
        <f t="shared" si="91"/>
        <v>300760283626261100200EUR201904246330737800</v>
      </c>
      <c r="R282" s="16" t="s">
        <v>918</v>
      </c>
      <c r="S282" t="str">
        <f t="shared" si="92"/>
        <v>PRLV B2B DGFIP / PASDSN15042019-032019-7945135310</v>
      </c>
      <c r="U282">
        <f>IFERROR(VLOOKUP(F282,tab!A:B,2,FALSE),1)</f>
        <v>14</v>
      </c>
      <c r="V282" s="14">
        <f t="shared" si="93"/>
        <v>7034.9900000000089</v>
      </c>
      <c r="W282">
        <f t="shared" si="94"/>
        <v>0</v>
      </c>
      <c r="X282">
        <f t="shared" si="95"/>
        <v>1</v>
      </c>
      <c r="Y282" s="14">
        <f t="shared" si="96"/>
        <v>155</v>
      </c>
      <c r="AA282" t="str">
        <f t="shared" si="97"/>
        <v>&lt;Valeur name="no"&gt;257&lt;/Valeur&gt;</v>
      </c>
      <c r="AB282" t="str">
        <f t="shared" si="97"/>
        <v>&lt;Valeur name="banque"&gt;1&lt;/Valeur&gt;</v>
      </c>
      <c r="AC282" t="str">
        <f t="shared" si="99"/>
        <v>&lt;Valeur name="pointer"&gt;1&lt;/Valeur&gt;</v>
      </c>
      <c r="AD282" t="str">
        <f t="shared" si="100"/>
        <v>&lt;Valeur name="idbanque"&gt;300760283626261100200EUR201904246330737800&lt;/Valeur&gt;</v>
      </c>
      <c r="AE282" t="str">
        <f t="shared" si="101"/>
        <v>&lt;Valeur name="datevaleur"&gt;2019/04/24&lt;/Valeur&gt;</v>
      </c>
      <c r="AF282" t="str">
        <f t="shared" si="102"/>
        <v>&lt;Valeur name="intitule"&gt;PRLV B2B DGFIP / PASDSN15042019-032019-7945135310&lt;/Valeur&gt;</v>
      </c>
      <c r="AG282" t="str">
        <f t="shared" si="103"/>
        <v>&lt;Valeur name="description"&gt;&lt;/Valeur&gt;</v>
      </c>
      <c r="AH282" t="str">
        <f t="shared" si="104"/>
        <v>&lt;Valeur name="compte"&gt;14&lt;/Valeur&gt;</v>
      </c>
      <c r="AI282" t="str">
        <f t="shared" si="105"/>
        <v>&lt;Valeur name="solde"&gt;7034.99000000001&lt;/Valeur&gt;</v>
      </c>
      <c r="AJ282" t="str">
        <f t="shared" si="106"/>
        <v>&lt;Valeur name="ventiler"&gt;0&lt;/Valeur&gt;</v>
      </c>
      <c r="AK282" t="str">
        <f t="shared" si="107"/>
        <v>&lt;Valeur name="compta"&gt;1&lt;/Valeur&gt;</v>
      </c>
      <c r="AL282" t="str">
        <f t="shared" si="108"/>
        <v>&lt;Valeur name="valeur"&gt;155&lt;/Valeur&gt;</v>
      </c>
      <c r="AN282" t="str">
        <f t="shared" si="98"/>
        <v>&lt;Insert&gt;&lt;Valeur name="no"&gt;257&lt;/Valeur&gt;&lt;Valeur name="banque"&gt;1&lt;/Valeur&gt;&lt;Valeur name="pointer"&gt;1&lt;/Valeur&gt;&lt;Valeur name="idbanque"&gt;300760283626261100200EUR201904246330737800&lt;/Valeur&gt;&lt;Valeur name="datevaleur"&gt;2019/04/24&lt;/Valeur&gt;&lt;Valeur name="intitule"&gt;PRLV B2B DGFIP / PASDSN15042019-032019-7945135310&lt;/Valeur&gt;&lt;Valeur name="description"&gt;&lt;/Valeur&gt;&lt;Valeur name="compte"&gt;14&lt;/Valeur&gt;&lt;Valeur name="solde"&gt;7034.99000000001&lt;/Valeur&gt;&lt;Valeur name="ventiler"&gt;0&lt;/Valeur&gt;&lt;Valeur name="compta"&gt;1&lt;/Valeur&gt;&lt;Valeur name="valeur"&gt;155&lt;/Valeur&gt;&lt;/Insert&gt;</v>
      </c>
    </row>
    <row r="283" spans="1:40" x14ac:dyDescent="0.25">
      <c r="A283" t="s">
        <v>654</v>
      </c>
      <c r="B283">
        <v>258</v>
      </c>
      <c r="C283" s="1">
        <v>43580</v>
      </c>
      <c r="D283">
        <v>1</v>
      </c>
      <c r="E283" t="str">
        <f>IF(F283&lt;&gt;"",INDEX(Balance!A:A,MATCH(F283,Balance!B:B,0)),"")</f>
        <v>Depense</v>
      </c>
      <c r="F283" t="s">
        <v>253</v>
      </c>
      <c r="G283" t="s">
        <v>27</v>
      </c>
      <c r="I283" s="10">
        <v>83.52</v>
      </c>
      <c r="K283" s="11">
        <f t="shared" si="112"/>
        <v>13.920000000000002</v>
      </c>
      <c r="L283" s="10">
        <f t="shared" si="113"/>
        <v>6951.4700000000084</v>
      </c>
      <c r="N283">
        <v>258</v>
      </c>
      <c r="O283">
        <v>1</v>
      </c>
      <c r="P283">
        <v>1</v>
      </c>
      <c r="Q283" t="str">
        <f t="shared" si="91"/>
        <v>300760283626261100200EUR201904251077308300</v>
      </c>
      <c r="R283" s="16" t="s">
        <v>934</v>
      </c>
      <c r="S283" t="str">
        <f t="shared" si="92"/>
        <v>CB 454106 CARREFOUR D 59AULNOY L</v>
      </c>
      <c r="U283">
        <f>IFERROR(VLOOKUP(F283,tab!A:B,2,FALSE),1)</f>
        <v>13</v>
      </c>
      <c r="V283" s="14">
        <f t="shared" si="93"/>
        <v>6951.4700000000084</v>
      </c>
      <c r="W283">
        <f t="shared" si="94"/>
        <v>0</v>
      </c>
      <c r="X283">
        <f t="shared" si="95"/>
        <v>1</v>
      </c>
      <c r="Y283" s="14">
        <f t="shared" si="96"/>
        <v>83.52</v>
      </c>
      <c r="AA283" t="str">
        <f t="shared" si="97"/>
        <v>&lt;Valeur name="no"&gt;258&lt;/Valeur&gt;</v>
      </c>
      <c r="AB283" t="str">
        <f t="shared" si="97"/>
        <v>&lt;Valeur name="banque"&gt;1&lt;/Valeur&gt;</v>
      </c>
      <c r="AC283" t="str">
        <f t="shared" si="99"/>
        <v>&lt;Valeur name="pointer"&gt;1&lt;/Valeur&gt;</v>
      </c>
      <c r="AD283" t="str">
        <f t="shared" si="100"/>
        <v>&lt;Valeur name="idbanque"&gt;300760283626261100200EUR201904251077308300&lt;/Valeur&gt;</v>
      </c>
      <c r="AE283" t="str">
        <f t="shared" si="101"/>
        <v>&lt;Valeur name="datevaleur"&gt;2019/04/25&lt;/Valeur&gt;</v>
      </c>
      <c r="AF283" t="str">
        <f t="shared" si="102"/>
        <v>&lt;Valeur name="intitule"&gt;CB 454106 CARREFOUR D 59AULNOY L&lt;/Valeur&gt;</v>
      </c>
      <c r="AG283" t="str">
        <f t="shared" si="103"/>
        <v>&lt;Valeur name="description"&gt;&lt;/Valeur&gt;</v>
      </c>
      <c r="AH283" t="str">
        <f t="shared" si="104"/>
        <v>&lt;Valeur name="compte"&gt;13&lt;/Valeur&gt;</v>
      </c>
      <c r="AI283" t="str">
        <f t="shared" si="105"/>
        <v>&lt;Valeur name="solde"&gt;6951.47000000001&lt;/Valeur&gt;</v>
      </c>
      <c r="AJ283" t="str">
        <f t="shared" si="106"/>
        <v>&lt;Valeur name="ventiler"&gt;0&lt;/Valeur&gt;</v>
      </c>
      <c r="AK283" t="str">
        <f t="shared" si="107"/>
        <v>&lt;Valeur name="compta"&gt;1&lt;/Valeur&gt;</v>
      </c>
      <c r="AL283" t="str">
        <f t="shared" si="108"/>
        <v>&lt;Valeur name="valeur"&gt;83.52&lt;/Valeur&gt;</v>
      </c>
      <c r="AN283" t="str">
        <f t="shared" si="98"/>
        <v>&lt;Insert&gt;&lt;Valeur name="no"&gt;258&lt;/Valeur&gt;&lt;Valeur name="banque"&gt;1&lt;/Valeur&gt;&lt;Valeur name="pointer"&gt;1&lt;/Valeur&gt;&lt;Valeur name="idbanque"&gt;300760283626261100200EUR201904251077308300&lt;/Valeur&gt;&lt;Valeur name="datevaleur"&gt;2019/04/25&lt;/Valeur&gt;&lt;Valeur name="intitule"&gt;CB 454106 CARREFOUR D 59AULNOY L&lt;/Valeur&gt;&lt;Valeur name="description"&gt;&lt;/Valeur&gt;&lt;Valeur name="compte"&gt;13&lt;/Valeur&gt;&lt;Valeur name="solde"&gt;6951.47000000001&lt;/Valeur&gt;&lt;Valeur name="ventiler"&gt;0&lt;/Valeur&gt;&lt;Valeur name="compta"&gt;1&lt;/Valeur&gt;&lt;Valeur name="valeur"&gt;83.52&lt;/Valeur&gt;&lt;/Insert&gt;</v>
      </c>
    </row>
    <row r="284" spans="1:40" x14ac:dyDescent="0.25">
      <c r="A284" t="s">
        <v>655</v>
      </c>
      <c r="B284">
        <v>259</v>
      </c>
      <c r="C284" s="1">
        <v>43580</v>
      </c>
      <c r="D284">
        <v>1</v>
      </c>
      <c r="E284" t="str">
        <f>IF(F284&lt;&gt;"",INDEX(Balance!A:A,MATCH(F284,Balance!B:B,0)),"")</f>
        <v>Fournisseurs</v>
      </c>
      <c r="F284" t="s">
        <v>437</v>
      </c>
      <c r="G284" t="s">
        <v>247</v>
      </c>
      <c r="I284" s="10">
        <v>252</v>
      </c>
      <c r="K284" s="11">
        <f t="shared" si="112"/>
        <v>42</v>
      </c>
      <c r="L284" s="10">
        <f t="shared" si="113"/>
        <v>6699.4700000000084</v>
      </c>
      <c r="N284">
        <v>259</v>
      </c>
      <c r="O284">
        <v>1</v>
      </c>
      <c r="P284">
        <v>1</v>
      </c>
      <c r="Q284" t="str">
        <f t="shared" si="91"/>
        <v>300760283626261100200EUR201904251077308400</v>
      </c>
      <c r="R284" s="16" t="s">
        <v>934</v>
      </c>
      <c r="S284" t="str">
        <f t="shared" si="92"/>
        <v>CB 548222 CARREFOUR V 59AULNOY L</v>
      </c>
      <c r="U284">
        <f>IFERROR(VLOOKUP(F284,tab!A:B,2,FALSE),1)</f>
        <v>41</v>
      </c>
      <c r="V284" s="14">
        <f t="shared" si="93"/>
        <v>6699.4700000000084</v>
      </c>
      <c r="W284">
        <f t="shared" si="94"/>
        <v>0</v>
      </c>
      <c r="X284">
        <f t="shared" si="95"/>
        <v>1</v>
      </c>
      <c r="Y284" s="14">
        <f t="shared" si="96"/>
        <v>252</v>
      </c>
      <c r="AA284" t="str">
        <f t="shared" si="97"/>
        <v>&lt;Valeur name="no"&gt;259&lt;/Valeur&gt;</v>
      </c>
      <c r="AB284" t="str">
        <f t="shared" si="97"/>
        <v>&lt;Valeur name="banque"&gt;1&lt;/Valeur&gt;</v>
      </c>
      <c r="AC284" t="str">
        <f t="shared" si="99"/>
        <v>&lt;Valeur name="pointer"&gt;1&lt;/Valeur&gt;</v>
      </c>
      <c r="AD284" t="str">
        <f t="shared" si="100"/>
        <v>&lt;Valeur name="idbanque"&gt;300760283626261100200EUR201904251077308400&lt;/Valeur&gt;</v>
      </c>
      <c r="AE284" t="str">
        <f t="shared" si="101"/>
        <v>&lt;Valeur name="datevaleur"&gt;2019/04/25&lt;/Valeur&gt;</v>
      </c>
      <c r="AF284" t="str">
        <f t="shared" si="102"/>
        <v>&lt;Valeur name="intitule"&gt;CB 548222 CARREFOUR V 59AULNOY L&lt;/Valeur&gt;</v>
      </c>
      <c r="AG284" t="str">
        <f t="shared" si="103"/>
        <v>&lt;Valeur name="description"&gt;&lt;/Valeur&gt;</v>
      </c>
      <c r="AH284" t="str">
        <f t="shared" si="104"/>
        <v>&lt;Valeur name="compte"&gt;41&lt;/Valeur&gt;</v>
      </c>
      <c r="AI284" t="str">
        <f t="shared" si="105"/>
        <v>&lt;Valeur name="solde"&gt;6699.47000000001&lt;/Valeur&gt;</v>
      </c>
      <c r="AJ284" t="str">
        <f t="shared" si="106"/>
        <v>&lt;Valeur name="ventiler"&gt;0&lt;/Valeur&gt;</v>
      </c>
      <c r="AK284" t="str">
        <f t="shared" si="107"/>
        <v>&lt;Valeur name="compta"&gt;1&lt;/Valeur&gt;</v>
      </c>
      <c r="AL284" t="str">
        <f t="shared" si="108"/>
        <v>&lt;Valeur name="valeur"&gt;252&lt;/Valeur&gt;</v>
      </c>
      <c r="AN284" t="str">
        <f t="shared" si="98"/>
        <v>&lt;Insert&gt;&lt;Valeur name="no"&gt;259&lt;/Valeur&gt;&lt;Valeur name="banque"&gt;1&lt;/Valeur&gt;&lt;Valeur name="pointer"&gt;1&lt;/Valeur&gt;&lt;Valeur name="idbanque"&gt;300760283626261100200EUR201904251077308400&lt;/Valeur&gt;&lt;Valeur name="datevaleur"&gt;2019/04/25&lt;/Valeur&gt;&lt;Valeur name="intitule"&gt;CB 548222 CARREFOUR V 59AULNOY L&lt;/Valeur&gt;&lt;Valeur name="description"&gt;&lt;/Valeur&gt;&lt;Valeur name="compte"&gt;41&lt;/Valeur&gt;&lt;Valeur name="solde"&gt;6699.47000000001&lt;/Valeur&gt;&lt;Valeur name="ventiler"&gt;0&lt;/Valeur&gt;&lt;Valeur name="compta"&gt;1&lt;/Valeur&gt;&lt;Valeur name="valeur"&gt;252&lt;/Valeur&gt;&lt;/Insert&gt;</v>
      </c>
    </row>
    <row r="285" spans="1:40" x14ac:dyDescent="0.25">
      <c r="A285" t="s">
        <v>656</v>
      </c>
      <c r="B285">
        <v>260</v>
      </c>
      <c r="C285" s="1">
        <v>43581</v>
      </c>
      <c r="E285" t="str">
        <f>IF(F285&lt;&gt;"",INDEX(Balance!A:A,MATCH(F285,Balance!B:B,0)),"")</f>
        <v>Fournisseurs</v>
      </c>
      <c r="F285" t="s">
        <v>291</v>
      </c>
      <c r="G285" t="s">
        <v>657</v>
      </c>
      <c r="I285" s="10">
        <v>204</v>
      </c>
      <c r="K285" s="11">
        <f t="shared" si="112"/>
        <v>34</v>
      </c>
      <c r="L285" s="10">
        <f t="shared" si="113"/>
        <v>6495.4700000000084</v>
      </c>
      <c r="N285">
        <v>260</v>
      </c>
      <c r="O285">
        <v>1</v>
      </c>
      <c r="P285">
        <v>1</v>
      </c>
      <c r="Q285" t="str">
        <f t="shared" si="91"/>
        <v>300760283626261100200EUR201904260292924500</v>
      </c>
      <c r="R285" s="16" t="s">
        <v>977</v>
      </c>
      <c r="S285" t="str">
        <f t="shared" si="92"/>
        <v>E-VIR SEPA Hoornaert mars</v>
      </c>
      <c r="U285">
        <f>IFERROR(VLOOKUP(F285,tab!A:B,2,FALSE),1)</f>
        <v>71</v>
      </c>
      <c r="V285" s="14">
        <f t="shared" si="93"/>
        <v>6495.4700000000084</v>
      </c>
      <c r="W285">
        <f t="shared" si="94"/>
        <v>0</v>
      </c>
      <c r="X285" t="str">
        <f t="shared" si="95"/>
        <v/>
      </c>
      <c r="Y285" s="14">
        <f t="shared" si="96"/>
        <v>204</v>
      </c>
      <c r="AA285" t="str">
        <f t="shared" si="97"/>
        <v>&lt;Valeur name="no"&gt;260&lt;/Valeur&gt;</v>
      </c>
      <c r="AB285" t="str">
        <f t="shared" si="97"/>
        <v>&lt;Valeur name="banque"&gt;1&lt;/Valeur&gt;</v>
      </c>
      <c r="AC285" t="str">
        <f t="shared" si="99"/>
        <v>&lt;Valeur name="pointer"&gt;1&lt;/Valeur&gt;</v>
      </c>
      <c r="AD285" t="str">
        <f t="shared" si="100"/>
        <v>&lt;Valeur name="idbanque"&gt;300760283626261100200EUR201904260292924500&lt;/Valeur&gt;</v>
      </c>
      <c r="AE285" t="str">
        <f t="shared" si="101"/>
        <v>&lt;Valeur name="datevaleur"&gt;2019/04/26&lt;/Valeur&gt;</v>
      </c>
      <c r="AF285" t="str">
        <f t="shared" si="102"/>
        <v>&lt;Valeur name="intitule"&gt;E-VIR SEPA Hoornaert mars&lt;/Valeur&gt;</v>
      </c>
      <c r="AG285" t="str">
        <f t="shared" si="103"/>
        <v>&lt;Valeur name="description"&gt;&lt;/Valeur&gt;</v>
      </c>
      <c r="AH285" t="str">
        <f t="shared" si="104"/>
        <v>&lt;Valeur name="compte"&gt;71&lt;/Valeur&gt;</v>
      </c>
      <c r="AI285" t="str">
        <f t="shared" si="105"/>
        <v>&lt;Valeur name="solde"&gt;6495.47000000001&lt;/Valeur&gt;</v>
      </c>
      <c r="AJ285" t="str">
        <f t="shared" si="106"/>
        <v>&lt;Valeur name="ventiler"&gt;0&lt;/Valeur&gt;</v>
      </c>
      <c r="AK285" t="str">
        <f t="shared" si="107"/>
        <v>&lt;Valeur name="compta"&gt;&lt;/Valeur&gt;</v>
      </c>
      <c r="AL285" t="str">
        <f t="shared" si="108"/>
        <v>&lt;Valeur name="valeur"&gt;204&lt;/Valeur&gt;</v>
      </c>
      <c r="AN285" t="str">
        <f t="shared" si="98"/>
        <v>&lt;Insert&gt;&lt;Valeur name="no"&gt;260&lt;/Valeur&gt;&lt;Valeur name="banque"&gt;1&lt;/Valeur&gt;&lt;Valeur name="pointer"&gt;1&lt;/Valeur&gt;&lt;Valeur name="idbanque"&gt;300760283626261100200EUR201904260292924500&lt;/Valeur&gt;&lt;Valeur name="datevaleur"&gt;2019/04/26&lt;/Valeur&gt;&lt;Valeur name="intitule"&gt;E-VIR SEPA Hoornaert mars&lt;/Valeur&gt;&lt;Valeur name="description"&gt;&lt;/Valeur&gt;&lt;Valeur name="compte"&gt;71&lt;/Valeur&gt;&lt;Valeur name="solde"&gt;6495.47000000001&lt;/Valeur&gt;&lt;Valeur name="ventiler"&gt;0&lt;/Valeur&gt;&lt;Valeur name="compta"&gt;&lt;/Valeur&gt;&lt;Valeur name="valeur"&gt;204&lt;/Valeur&gt;&lt;/Insert&gt;</v>
      </c>
    </row>
    <row r="286" spans="1:40" x14ac:dyDescent="0.25">
      <c r="A286" t="s">
        <v>658</v>
      </c>
      <c r="B286">
        <v>261</v>
      </c>
      <c r="C286" s="1">
        <v>43581</v>
      </c>
      <c r="D286">
        <v>1</v>
      </c>
      <c r="E286" t="str">
        <f>IF(F286&lt;&gt;"",INDEX(Balance!A:A,MATCH(F286,Balance!B:B,0)),"")</f>
        <v>Fournisseurs</v>
      </c>
      <c r="F286" t="s">
        <v>674</v>
      </c>
      <c r="G286" t="s">
        <v>659</v>
      </c>
      <c r="I286" s="10">
        <v>97.58</v>
      </c>
      <c r="K286" s="11">
        <f t="shared" si="112"/>
        <v>16.263333333333335</v>
      </c>
      <c r="L286" s="10">
        <f t="shared" si="113"/>
        <v>6397.8900000000085</v>
      </c>
      <c r="N286">
        <v>261</v>
      </c>
      <c r="O286">
        <v>1</v>
      </c>
      <c r="P286">
        <v>1</v>
      </c>
      <c r="Q286" t="str">
        <f t="shared" si="91"/>
        <v>300760283626261100200EUR201904261075198200</v>
      </c>
      <c r="R286" s="16" t="s">
        <v>977</v>
      </c>
      <c r="S286" t="str">
        <f t="shared" si="92"/>
        <v>CB 548222 QUINCAILLER 80AMIENS</v>
      </c>
      <c r="U286">
        <f>IFERROR(VLOOKUP(F286,tab!A:B,2,FALSE),1)</f>
        <v>98</v>
      </c>
      <c r="V286" s="14">
        <f t="shared" si="93"/>
        <v>6397.8900000000085</v>
      </c>
      <c r="W286">
        <f t="shared" si="94"/>
        <v>0</v>
      </c>
      <c r="X286">
        <f t="shared" si="95"/>
        <v>1</v>
      </c>
      <c r="Y286" s="14">
        <f t="shared" si="96"/>
        <v>97.58</v>
      </c>
      <c r="AA286" t="str">
        <f t="shared" si="97"/>
        <v>&lt;Valeur name="no"&gt;261&lt;/Valeur&gt;</v>
      </c>
      <c r="AB286" t="str">
        <f t="shared" si="97"/>
        <v>&lt;Valeur name="banque"&gt;1&lt;/Valeur&gt;</v>
      </c>
      <c r="AC286" t="str">
        <f t="shared" si="99"/>
        <v>&lt;Valeur name="pointer"&gt;1&lt;/Valeur&gt;</v>
      </c>
      <c r="AD286" t="str">
        <f t="shared" si="100"/>
        <v>&lt;Valeur name="idbanque"&gt;300760283626261100200EUR201904261075198200&lt;/Valeur&gt;</v>
      </c>
      <c r="AE286" t="str">
        <f t="shared" si="101"/>
        <v>&lt;Valeur name="datevaleur"&gt;2019/04/26&lt;/Valeur&gt;</v>
      </c>
      <c r="AF286" t="str">
        <f t="shared" si="102"/>
        <v>&lt;Valeur name="intitule"&gt;CB 548222 QUINCAILLER 80AMIENS&lt;/Valeur&gt;</v>
      </c>
      <c r="AG286" t="str">
        <f t="shared" si="103"/>
        <v>&lt;Valeur name="description"&gt;&lt;/Valeur&gt;</v>
      </c>
      <c r="AH286" t="str">
        <f t="shared" si="104"/>
        <v>&lt;Valeur name="compte"&gt;98&lt;/Valeur&gt;</v>
      </c>
      <c r="AI286" t="str">
        <f t="shared" si="105"/>
        <v>&lt;Valeur name="solde"&gt;6397.89000000001&lt;/Valeur&gt;</v>
      </c>
      <c r="AJ286" t="str">
        <f t="shared" si="106"/>
        <v>&lt;Valeur name="ventiler"&gt;0&lt;/Valeur&gt;</v>
      </c>
      <c r="AK286" t="str">
        <f t="shared" si="107"/>
        <v>&lt;Valeur name="compta"&gt;1&lt;/Valeur&gt;</v>
      </c>
      <c r="AL286" t="str">
        <f t="shared" si="108"/>
        <v>&lt;Valeur name="valeur"&gt;97.58&lt;/Valeur&gt;</v>
      </c>
      <c r="AN286" t="str">
        <f t="shared" si="98"/>
        <v>&lt;Insert&gt;&lt;Valeur name="no"&gt;261&lt;/Valeur&gt;&lt;Valeur name="banque"&gt;1&lt;/Valeur&gt;&lt;Valeur name="pointer"&gt;1&lt;/Valeur&gt;&lt;Valeur name="idbanque"&gt;300760283626261100200EUR201904261075198200&lt;/Valeur&gt;&lt;Valeur name="datevaleur"&gt;2019/04/26&lt;/Valeur&gt;&lt;Valeur name="intitule"&gt;CB 548222 QUINCAILLER 80AMIENS&lt;/Valeur&gt;&lt;Valeur name="description"&gt;&lt;/Valeur&gt;&lt;Valeur name="compte"&gt;98&lt;/Valeur&gt;&lt;Valeur name="solde"&gt;6397.89000000001&lt;/Valeur&gt;&lt;Valeur name="ventiler"&gt;0&lt;/Valeur&gt;&lt;Valeur name="compta"&gt;1&lt;/Valeur&gt;&lt;Valeur name="valeur"&gt;97.58&lt;/Valeur&gt;&lt;/Insert&gt;</v>
      </c>
    </row>
    <row r="287" spans="1:40" x14ac:dyDescent="0.25">
      <c r="A287" t="s">
        <v>660</v>
      </c>
      <c r="B287">
        <v>262</v>
      </c>
      <c r="C287" s="1">
        <v>43581</v>
      </c>
      <c r="D287">
        <v>1</v>
      </c>
      <c r="E287" t="str">
        <f>IF(F287&lt;&gt;"",INDEX(Balance!A:A,MATCH(F287,Balance!B:B,0)),"")</f>
        <v>Depense</v>
      </c>
      <c r="F287" t="s">
        <v>254</v>
      </c>
      <c r="G287" t="s">
        <v>661</v>
      </c>
      <c r="I287" s="10">
        <v>15</v>
      </c>
      <c r="K287" s="11">
        <f t="shared" si="112"/>
        <v>2.5</v>
      </c>
      <c r="L287" s="10">
        <f t="shared" si="113"/>
        <v>6382.8900000000085</v>
      </c>
      <c r="N287">
        <v>262</v>
      </c>
      <c r="O287">
        <v>1</v>
      </c>
      <c r="P287">
        <v>1</v>
      </c>
      <c r="Q287" t="str">
        <f t="shared" si="91"/>
        <v>300760283626261100200EUR201904261075198300</v>
      </c>
      <c r="R287" s="16" t="s">
        <v>977</v>
      </c>
      <c r="S287" t="str">
        <f t="shared" si="92"/>
        <v>CB 548222 BRASSERIE D 80AMIENS</v>
      </c>
      <c r="U287">
        <f>IFERROR(VLOOKUP(F287,tab!A:B,2,FALSE),1)</f>
        <v>27</v>
      </c>
      <c r="V287" s="14">
        <f t="shared" si="93"/>
        <v>6382.8900000000085</v>
      </c>
      <c r="W287">
        <f t="shared" si="94"/>
        <v>0</v>
      </c>
      <c r="X287">
        <f t="shared" si="95"/>
        <v>1</v>
      </c>
      <c r="Y287" s="14">
        <f t="shared" si="96"/>
        <v>15</v>
      </c>
      <c r="AA287" t="str">
        <f t="shared" si="97"/>
        <v>&lt;Valeur name="no"&gt;262&lt;/Valeur&gt;</v>
      </c>
      <c r="AB287" t="str">
        <f t="shared" si="97"/>
        <v>&lt;Valeur name="banque"&gt;1&lt;/Valeur&gt;</v>
      </c>
      <c r="AC287" t="str">
        <f t="shared" si="99"/>
        <v>&lt;Valeur name="pointer"&gt;1&lt;/Valeur&gt;</v>
      </c>
      <c r="AD287" t="str">
        <f t="shared" si="100"/>
        <v>&lt;Valeur name="idbanque"&gt;300760283626261100200EUR201904261075198300&lt;/Valeur&gt;</v>
      </c>
      <c r="AE287" t="str">
        <f t="shared" si="101"/>
        <v>&lt;Valeur name="datevaleur"&gt;2019/04/26&lt;/Valeur&gt;</v>
      </c>
      <c r="AF287" t="str">
        <f t="shared" si="102"/>
        <v>&lt;Valeur name="intitule"&gt;CB 548222 BRASSERIE D 80AMIENS&lt;/Valeur&gt;</v>
      </c>
      <c r="AG287" t="str">
        <f t="shared" si="103"/>
        <v>&lt;Valeur name="description"&gt;&lt;/Valeur&gt;</v>
      </c>
      <c r="AH287" t="str">
        <f t="shared" si="104"/>
        <v>&lt;Valeur name="compte"&gt;27&lt;/Valeur&gt;</v>
      </c>
      <c r="AI287" t="str">
        <f t="shared" si="105"/>
        <v>&lt;Valeur name="solde"&gt;6382.89000000001&lt;/Valeur&gt;</v>
      </c>
      <c r="AJ287" t="str">
        <f t="shared" si="106"/>
        <v>&lt;Valeur name="ventiler"&gt;0&lt;/Valeur&gt;</v>
      </c>
      <c r="AK287" t="str">
        <f t="shared" si="107"/>
        <v>&lt;Valeur name="compta"&gt;1&lt;/Valeur&gt;</v>
      </c>
      <c r="AL287" t="str">
        <f t="shared" si="108"/>
        <v>&lt;Valeur name="valeur"&gt;15&lt;/Valeur&gt;</v>
      </c>
      <c r="AN287" t="str">
        <f t="shared" si="98"/>
        <v>&lt;Insert&gt;&lt;Valeur name="no"&gt;262&lt;/Valeur&gt;&lt;Valeur name="banque"&gt;1&lt;/Valeur&gt;&lt;Valeur name="pointer"&gt;1&lt;/Valeur&gt;&lt;Valeur name="idbanque"&gt;300760283626261100200EUR201904261075198300&lt;/Valeur&gt;&lt;Valeur name="datevaleur"&gt;2019/04/26&lt;/Valeur&gt;&lt;Valeur name="intitule"&gt;CB 548222 BRASSERIE D 80AMIENS&lt;/Valeur&gt;&lt;Valeur name="description"&gt;&lt;/Valeur&gt;&lt;Valeur name="compte"&gt;27&lt;/Valeur&gt;&lt;Valeur name="solde"&gt;6382.89000000001&lt;/Valeur&gt;&lt;Valeur name="ventiler"&gt;0&lt;/Valeur&gt;&lt;Valeur name="compta"&gt;1&lt;/Valeur&gt;&lt;Valeur name="valeur"&gt;15&lt;/Valeur&gt;&lt;/Insert&gt;</v>
      </c>
    </row>
    <row r="288" spans="1:40" x14ac:dyDescent="0.25">
      <c r="A288" t="s">
        <v>662</v>
      </c>
      <c r="B288">
        <v>263</v>
      </c>
      <c r="C288" s="1">
        <v>43584</v>
      </c>
      <c r="D288">
        <v>1</v>
      </c>
      <c r="E288" t="str">
        <f>IF(F288&lt;&gt;"",INDEX(Balance!A:A,MATCH(F288,Balance!B:B,0)),"")</f>
        <v>Fournisseurs</v>
      </c>
      <c r="F288" t="s">
        <v>437</v>
      </c>
      <c r="G288" t="s">
        <v>27</v>
      </c>
      <c r="I288" s="10">
        <v>67.42</v>
      </c>
      <c r="K288" s="11">
        <f t="shared" si="112"/>
        <v>11.236666666666665</v>
      </c>
      <c r="L288" s="10">
        <f t="shared" si="113"/>
        <v>6315.4700000000084</v>
      </c>
      <c r="N288">
        <v>263</v>
      </c>
      <c r="O288">
        <v>1</v>
      </c>
      <c r="P288">
        <v>1</v>
      </c>
      <c r="Q288" t="str">
        <f t="shared" si="91"/>
        <v>300760283626261100200EUR201904291075959800</v>
      </c>
      <c r="R288" s="16" t="s">
        <v>978</v>
      </c>
      <c r="S288" t="str">
        <f t="shared" si="92"/>
        <v>CB 454106 CARREFOUR D 59AULNOY L</v>
      </c>
      <c r="U288">
        <f>IFERROR(VLOOKUP(F288,tab!A:B,2,FALSE),1)</f>
        <v>41</v>
      </c>
      <c r="V288" s="14">
        <f t="shared" si="93"/>
        <v>6315.4700000000084</v>
      </c>
      <c r="W288">
        <f t="shared" si="94"/>
        <v>0</v>
      </c>
      <c r="X288">
        <f t="shared" si="95"/>
        <v>1</v>
      </c>
      <c r="Y288" s="14">
        <f t="shared" si="96"/>
        <v>67.42</v>
      </c>
      <c r="AA288" t="str">
        <f t="shared" si="97"/>
        <v>&lt;Valeur name="no"&gt;263&lt;/Valeur&gt;</v>
      </c>
      <c r="AB288" t="str">
        <f t="shared" si="97"/>
        <v>&lt;Valeur name="banque"&gt;1&lt;/Valeur&gt;</v>
      </c>
      <c r="AC288" t="str">
        <f t="shared" si="99"/>
        <v>&lt;Valeur name="pointer"&gt;1&lt;/Valeur&gt;</v>
      </c>
      <c r="AD288" t="str">
        <f t="shared" si="100"/>
        <v>&lt;Valeur name="idbanque"&gt;300760283626261100200EUR201904291075959800&lt;/Valeur&gt;</v>
      </c>
      <c r="AE288" t="str">
        <f t="shared" si="101"/>
        <v>&lt;Valeur name="datevaleur"&gt;2019/04/29&lt;/Valeur&gt;</v>
      </c>
      <c r="AF288" t="str">
        <f t="shared" si="102"/>
        <v>&lt;Valeur name="intitule"&gt;CB 454106 CARREFOUR D 59AULNOY L&lt;/Valeur&gt;</v>
      </c>
      <c r="AG288" t="str">
        <f t="shared" si="103"/>
        <v>&lt;Valeur name="description"&gt;&lt;/Valeur&gt;</v>
      </c>
      <c r="AH288" t="str">
        <f t="shared" si="104"/>
        <v>&lt;Valeur name="compte"&gt;41&lt;/Valeur&gt;</v>
      </c>
      <c r="AI288" t="str">
        <f t="shared" si="105"/>
        <v>&lt;Valeur name="solde"&gt;6315.47000000001&lt;/Valeur&gt;</v>
      </c>
      <c r="AJ288" t="str">
        <f t="shared" si="106"/>
        <v>&lt;Valeur name="ventiler"&gt;0&lt;/Valeur&gt;</v>
      </c>
      <c r="AK288" t="str">
        <f t="shared" si="107"/>
        <v>&lt;Valeur name="compta"&gt;1&lt;/Valeur&gt;</v>
      </c>
      <c r="AL288" t="str">
        <f t="shared" si="108"/>
        <v>&lt;Valeur name="valeur"&gt;67.42&lt;/Valeur&gt;</v>
      </c>
      <c r="AN288" t="str">
        <f t="shared" si="98"/>
        <v>&lt;Insert&gt;&lt;Valeur name="no"&gt;263&lt;/Valeur&gt;&lt;Valeur name="banque"&gt;1&lt;/Valeur&gt;&lt;Valeur name="pointer"&gt;1&lt;/Valeur&gt;&lt;Valeur name="idbanque"&gt;300760283626261100200EUR201904291075959800&lt;/Valeur&gt;&lt;Valeur name="datevaleur"&gt;2019/04/29&lt;/Valeur&gt;&lt;Valeur name="intitule"&gt;CB 454106 CARREFOUR D 59AULNOY L&lt;/Valeur&gt;&lt;Valeur name="description"&gt;&lt;/Valeur&gt;&lt;Valeur name="compte"&gt;41&lt;/Valeur&gt;&lt;Valeur name="solde"&gt;6315.47000000001&lt;/Valeur&gt;&lt;Valeur name="ventiler"&gt;0&lt;/Valeur&gt;&lt;Valeur name="compta"&gt;1&lt;/Valeur&gt;&lt;Valeur name="valeur"&gt;67.42&lt;/Valeur&gt;&lt;/Insert&gt;</v>
      </c>
    </row>
    <row r="289" spans="1:40" x14ac:dyDescent="0.25">
      <c r="A289" t="s">
        <v>663</v>
      </c>
      <c r="B289">
        <v>264</v>
      </c>
      <c r="C289" s="1">
        <v>43584</v>
      </c>
      <c r="D289">
        <v>1</v>
      </c>
      <c r="E289" t="str">
        <f>IF(F289&lt;&gt;"",INDEX(Balance!A:A,MATCH(F289,Balance!B:B,0)),"")</f>
        <v>Depense</v>
      </c>
      <c r="F289" t="s">
        <v>272</v>
      </c>
      <c r="G289" t="s">
        <v>15</v>
      </c>
      <c r="H289" t="s">
        <v>664</v>
      </c>
      <c r="I289" s="10">
        <v>9255</v>
      </c>
      <c r="K289" s="11">
        <f t="shared" si="112"/>
        <v>1542.5</v>
      </c>
      <c r="L289" s="10">
        <f t="shared" si="113"/>
        <v>-2939.5299999999916</v>
      </c>
      <c r="N289">
        <v>264</v>
      </c>
      <c r="O289">
        <v>1</v>
      </c>
      <c r="P289">
        <v>1</v>
      </c>
      <c r="Q289" t="str">
        <f t="shared" si="91"/>
        <v>300760283626261100200EUR201904296330240600</v>
      </c>
      <c r="R289" s="16" t="s">
        <v>978</v>
      </c>
      <c r="S289" t="str">
        <f t="shared" si="92"/>
        <v>PRLV B2B DGFIP / TVA1-042019-3310CA3</v>
      </c>
      <c r="U289">
        <f>IFERROR(VLOOKUP(F289,tab!A:B,2,FALSE),1)</f>
        <v>29</v>
      </c>
      <c r="V289" s="14">
        <f t="shared" si="93"/>
        <v>-2939.5299999999916</v>
      </c>
      <c r="W289">
        <f t="shared" si="94"/>
        <v>0</v>
      </c>
      <c r="X289">
        <f t="shared" si="95"/>
        <v>1</v>
      </c>
      <c r="Y289" s="14">
        <f t="shared" si="96"/>
        <v>9255</v>
      </c>
      <c r="AA289" t="str">
        <f t="shared" si="97"/>
        <v>&lt;Valeur name="no"&gt;264&lt;/Valeur&gt;</v>
      </c>
      <c r="AB289" t="str">
        <f t="shared" si="97"/>
        <v>&lt;Valeur name="banque"&gt;1&lt;/Valeur&gt;</v>
      </c>
      <c r="AC289" t="str">
        <f t="shared" si="99"/>
        <v>&lt;Valeur name="pointer"&gt;1&lt;/Valeur&gt;</v>
      </c>
      <c r="AD289" t="str">
        <f t="shared" si="100"/>
        <v>&lt;Valeur name="idbanque"&gt;300760283626261100200EUR201904296330240600&lt;/Valeur&gt;</v>
      </c>
      <c r="AE289" t="str">
        <f t="shared" si="101"/>
        <v>&lt;Valeur name="datevaleur"&gt;2019/04/29&lt;/Valeur&gt;</v>
      </c>
      <c r="AF289" t="str">
        <f t="shared" si="102"/>
        <v>&lt;Valeur name="intitule"&gt;PRLV B2B DGFIP / TVA1-042019-3310CA3&lt;/Valeur&gt;</v>
      </c>
      <c r="AG289" t="str">
        <f t="shared" si="103"/>
        <v>&lt;Valeur name="description"&gt;&lt;/Valeur&gt;</v>
      </c>
      <c r="AH289" t="str">
        <f t="shared" si="104"/>
        <v>&lt;Valeur name="compte"&gt;29&lt;/Valeur&gt;</v>
      </c>
      <c r="AI289" t="str">
        <f t="shared" si="105"/>
        <v>&lt;Valeur name="solde"&gt;-2939.52999999999&lt;/Valeur&gt;</v>
      </c>
      <c r="AJ289" t="str">
        <f t="shared" si="106"/>
        <v>&lt;Valeur name="ventiler"&gt;0&lt;/Valeur&gt;</v>
      </c>
      <c r="AK289" t="str">
        <f t="shared" si="107"/>
        <v>&lt;Valeur name="compta"&gt;1&lt;/Valeur&gt;</v>
      </c>
      <c r="AL289" t="str">
        <f t="shared" si="108"/>
        <v>&lt;Valeur name="valeur"&gt;9255&lt;/Valeur&gt;</v>
      </c>
      <c r="AN289" t="str">
        <f t="shared" si="98"/>
        <v>&lt;Insert&gt;&lt;Valeur name="no"&gt;264&lt;/Valeur&gt;&lt;Valeur name="banque"&gt;1&lt;/Valeur&gt;&lt;Valeur name="pointer"&gt;1&lt;/Valeur&gt;&lt;Valeur name="idbanque"&gt;300760283626261100200EUR201904296330240600&lt;/Valeur&gt;&lt;Valeur name="datevaleur"&gt;2019/04/29&lt;/Valeur&gt;&lt;Valeur name="intitule"&gt;PRLV B2B DGFIP / TVA1-042019-3310CA3&lt;/Valeur&gt;&lt;Valeur name="description"&gt;&lt;/Valeur&gt;&lt;Valeur name="compte"&gt;29&lt;/Valeur&gt;&lt;Valeur name="solde"&gt;-2939.52999999999&lt;/Valeur&gt;&lt;Valeur name="ventiler"&gt;0&lt;/Valeur&gt;&lt;Valeur name="compta"&gt;1&lt;/Valeur&gt;&lt;Valeur name="valeur"&gt;9255&lt;/Valeur&gt;&lt;/Insert&gt;</v>
      </c>
    </row>
    <row r="290" spans="1:40" x14ac:dyDescent="0.25">
      <c r="A290" t="s">
        <v>665</v>
      </c>
      <c r="B290">
        <v>265</v>
      </c>
      <c r="C290" s="1">
        <v>43584</v>
      </c>
      <c r="D290">
        <v>1</v>
      </c>
      <c r="E290" t="str">
        <f>IF(F290&lt;&gt;"",INDEX(Balance!A:A,MATCH(F290,Balance!B:B,0)),"")</f>
        <v>Depense</v>
      </c>
      <c r="F290" t="s">
        <v>257</v>
      </c>
      <c r="G290" t="s">
        <v>31</v>
      </c>
      <c r="I290" s="10">
        <v>0.21</v>
      </c>
      <c r="K290" s="11">
        <f t="shared" si="112"/>
        <v>3.5000000000000003E-2</v>
      </c>
      <c r="L290" s="10">
        <f t="shared" si="113"/>
        <v>-2939.7399999999916</v>
      </c>
      <c r="N290">
        <v>265</v>
      </c>
      <c r="O290">
        <v>1</v>
      </c>
      <c r="P290">
        <v>1</v>
      </c>
      <c r="Q290" t="str">
        <f t="shared" si="91"/>
        <v>300760283626261100200EUR201904299224466100</v>
      </c>
      <c r="R290" s="16" t="s">
        <v>978</v>
      </c>
      <c r="S290" t="str">
        <f t="shared" si="92"/>
        <v>FRAIS E-VIR SEPA VERS EEE</v>
      </c>
      <c r="U290">
        <f>IFERROR(VLOOKUP(F290,tab!A:B,2,FALSE),1)</f>
        <v>18</v>
      </c>
      <c r="V290" s="14">
        <f t="shared" si="93"/>
        <v>-2939.7399999999916</v>
      </c>
      <c r="W290">
        <f t="shared" si="94"/>
        <v>0</v>
      </c>
      <c r="X290">
        <f t="shared" si="95"/>
        <v>1</v>
      </c>
      <c r="Y290" s="14">
        <f t="shared" si="96"/>
        <v>0.21</v>
      </c>
      <c r="AA290" t="str">
        <f t="shared" si="97"/>
        <v>&lt;Valeur name="no"&gt;265&lt;/Valeur&gt;</v>
      </c>
      <c r="AB290" t="str">
        <f t="shared" si="97"/>
        <v>&lt;Valeur name="banque"&gt;1&lt;/Valeur&gt;</v>
      </c>
      <c r="AC290" t="str">
        <f t="shared" si="99"/>
        <v>&lt;Valeur name="pointer"&gt;1&lt;/Valeur&gt;</v>
      </c>
      <c r="AD290" t="str">
        <f t="shared" si="100"/>
        <v>&lt;Valeur name="idbanque"&gt;300760283626261100200EUR201904299224466100&lt;/Valeur&gt;</v>
      </c>
      <c r="AE290" t="str">
        <f t="shared" si="101"/>
        <v>&lt;Valeur name="datevaleur"&gt;2019/04/29&lt;/Valeur&gt;</v>
      </c>
      <c r="AF290" t="str">
        <f t="shared" si="102"/>
        <v>&lt;Valeur name="intitule"&gt;FRAIS E-VIR SEPA VERS EEE&lt;/Valeur&gt;</v>
      </c>
      <c r="AG290" t="str">
        <f t="shared" si="103"/>
        <v>&lt;Valeur name="description"&gt;&lt;/Valeur&gt;</v>
      </c>
      <c r="AH290" t="str">
        <f t="shared" si="104"/>
        <v>&lt;Valeur name="compte"&gt;18&lt;/Valeur&gt;</v>
      </c>
      <c r="AI290" t="str">
        <f t="shared" si="105"/>
        <v>&lt;Valeur name="solde"&gt;-2939.73999999999&lt;/Valeur&gt;</v>
      </c>
      <c r="AJ290" t="str">
        <f t="shared" si="106"/>
        <v>&lt;Valeur name="ventiler"&gt;0&lt;/Valeur&gt;</v>
      </c>
      <c r="AK290" t="str">
        <f t="shared" si="107"/>
        <v>&lt;Valeur name="compta"&gt;1&lt;/Valeur&gt;</v>
      </c>
      <c r="AL290" t="str">
        <f t="shared" si="108"/>
        <v>&lt;Valeur name="valeur"&gt;0.21&lt;/Valeur&gt;</v>
      </c>
      <c r="AN290" t="str">
        <f t="shared" si="98"/>
        <v>&lt;Insert&gt;&lt;Valeur name="no"&gt;265&lt;/Valeur&gt;&lt;Valeur name="banque"&gt;1&lt;/Valeur&gt;&lt;Valeur name="pointer"&gt;1&lt;/Valeur&gt;&lt;Valeur name="idbanque"&gt;300760283626261100200EUR201904299224466100&lt;/Valeur&gt;&lt;Valeur name="datevaleur"&gt;2019/04/29&lt;/Valeur&gt;&lt;Valeur name="intitule"&gt;FRAIS E-VIR SEPA VERS EEE&lt;/Valeur&gt;&lt;Valeur name="description"&gt;&lt;/Valeur&gt;&lt;Valeur name="compte"&gt;18&lt;/Valeur&gt;&lt;Valeur name="solde"&gt;-2939.73999999999&lt;/Valeur&gt;&lt;Valeur name="ventiler"&gt;0&lt;/Valeur&gt;&lt;Valeur name="compta"&gt;1&lt;/Valeur&gt;&lt;Valeur name="valeur"&gt;0.21&lt;/Valeur&gt;&lt;/Insert&gt;</v>
      </c>
    </row>
    <row r="291" spans="1:40" x14ac:dyDescent="0.25">
      <c r="A291" t="s">
        <v>666</v>
      </c>
      <c r="B291">
        <v>266</v>
      </c>
      <c r="C291" s="1">
        <v>43585</v>
      </c>
      <c r="E291" t="str">
        <f>IF(F291&lt;&gt;"",INDEX(Balance!A:A,MATCH(F291,Balance!B:B,0)),"")</f>
        <v/>
      </c>
      <c r="G291" t="s">
        <v>667</v>
      </c>
      <c r="I291" s="10">
        <v>3327.31</v>
      </c>
      <c r="K291" s="11">
        <f t="shared" si="112"/>
        <v>554.55166666666673</v>
      </c>
      <c r="L291" s="10">
        <f t="shared" si="113"/>
        <v>-6267.049999999992</v>
      </c>
      <c r="N291">
        <v>266</v>
      </c>
      <c r="O291">
        <v>1</v>
      </c>
      <c r="P291">
        <v>1</v>
      </c>
      <c r="Q291" t="str">
        <f t="shared" si="91"/>
        <v>300760283626261100200EUR201904300911960600</v>
      </c>
      <c r="R291" s="16" t="s">
        <v>882</v>
      </c>
      <c r="S291" t="str">
        <f t="shared" si="92"/>
        <v>RELEVE LCR DU  230419  CONFORME</v>
      </c>
      <c r="U291">
        <f>IFERROR(VLOOKUP(F291,tab!A:B,2,FALSE),1)</f>
        <v>1</v>
      </c>
      <c r="V291" s="14">
        <f t="shared" si="93"/>
        <v>-6267.049999999992</v>
      </c>
      <c r="W291">
        <f t="shared" si="94"/>
        <v>0</v>
      </c>
      <c r="X291" t="str">
        <f t="shared" si="95"/>
        <v/>
      </c>
      <c r="Y291" s="14">
        <f t="shared" si="96"/>
        <v>3327.31</v>
      </c>
      <c r="AA291" t="str">
        <f t="shared" si="97"/>
        <v>&lt;Valeur name="no"&gt;266&lt;/Valeur&gt;</v>
      </c>
      <c r="AB291" t="str">
        <f t="shared" si="97"/>
        <v>&lt;Valeur name="banque"&gt;1&lt;/Valeur&gt;</v>
      </c>
      <c r="AC291" t="str">
        <f t="shared" si="99"/>
        <v>&lt;Valeur name="pointer"&gt;1&lt;/Valeur&gt;</v>
      </c>
      <c r="AD291" t="str">
        <f t="shared" si="100"/>
        <v>&lt;Valeur name="idbanque"&gt;300760283626261100200EUR201904300911960600&lt;/Valeur&gt;</v>
      </c>
      <c r="AE291" t="str">
        <f t="shared" si="101"/>
        <v>&lt;Valeur name="datevaleur"&gt;2019/04/30&lt;/Valeur&gt;</v>
      </c>
      <c r="AF291" t="str">
        <f t="shared" si="102"/>
        <v>&lt;Valeur name="intitule"&gt;RELEVE LCR DU  230419  CONFORME&lt;/Valeur&gt;</v>
      </c>
      <c r="AG291" t="str">
        <f t="shared" si="103"/>
        <v>&lt;Valeur name="description"&gt;&lt;/Valeur&gt;</v>
      </c>
      <c r="AH291" t="str">
        <f t="shared" si="104"/>
        <v>&lt;Valeur name="compte"&gt;1&lt;/Valeur&gt;</v>
      </c>
      <c r="AI291" t="str">
        <f t="shared" si="105"/>
        <v>&lt;Valeur name="solde"&gt;-6267.04999999999&lt;/Valeur&gt;</v>
      </c>
      <c r="AJ291" t="str">
        <f t="shared" si="106"/>
        <v>&lt;Valeur name="ventiler"&gt;0&lt;/Valeur&gt;</v>
      </c>
      <c r="AK291" t="str">
        <f t="shared" si="107"/>
        <v>&lt;Valeur name="compta"&gt;&lt;/Valeur&gt;</v>
      </c>
      <c r="AL291" t="str">
        <f t="shared" si="108"/>
        <v>&lt;Valeur name="valeur"&gt;3327.31&lt;/Valeur&gt;</v>
      </c>
      <c r="AN291" t="str">
        <f t="shared" si="98"/>
        <v>&lt;Insert&gt;&lt;Valeur name="no"&gt;266&lt;/Valeur&gt;&lt;Valeur name="banque"&gt;1&lt;/Valeur&gt;&lt;Valeur name="pointer"&gt;1&lt;/Valeur&gt;&lt;Valeur name="idbanque"&gt;300760283626261100200EUR201904300911960600&lt;/Valeur&gt;&lt;Valeur name="datevaleur"&gt;2019/04/30&lt;/Valeur&gt;&lt;Valeur name="intitule"&gt;RELEVE LCR DU  230419  CONFORME&lt;/Valeur&gt;&lt;Valeur name="description"&gt;&lt;/Valeur&gt;&lt;Valeur name="compte"&gt;1&lt;/Valeur&gt;&lt;Valeur name="solde"&gt;-6267.04999999999&lt;/Valeur&gt;&lt;Valeur name="ventiler"&gt;0&lt;/Valeur&gt;&lt;Valeur name="compta"&gt;&lt;/Valeur&gt;&lt;Valeur name="valeur"&gt;3327.31&lt;/Valeur&gt;&lt;/Insert&gt;</v>
      </c>
    </row>
    <row r="292" spans="1:40" x14ac:dyDescent="0.25">
      <c r="A292" t="s">
        <v>668</v>
      </c>
      <c r="B292">
        <v>267</v>
      </c>
      <c r="C292" s="1">
        <v>43585</v>
      </c>
      <c r="D292">
        <v>1</v>
      </c>
      <c r="E292" t="str">
        <f>IF(F292&lt;&gt;"",INDEX(Balance!A:A,MATCH(F292,Balance!B:B,0)),"")</f>
        <v>Depense</v>
      </c>
      <c r="F292" t="s">
        <v>269</v>
      </c>
      <c r="G292" t="s">
        <v>669</v>
      </c>
      <c r="H292" t="s">
        <v>670</v>
      </c>
      <c r="I292" s="10">
        <v>1602.97</v>
      </c>
      <c r="K292" s="11">
        <f t="shared" si="112"/>
        <v>267.16166666666663</v>
      </c>
      <c r="L292" s="10">
        <f t="shared" si="113"/>
        <v>-7870.0199999999923</v>
      </c>
      <c r="N292">
        <v>267</v>
      </c>
      <c r="O292">
        <v>1</v>
      </c>
      <c r="P292">
        <v>1</v>
      </c>
      <c r="Q292" t="str">
        <f t="shared" si="91"/>
        <v>300760283626261100200EUR201904306338845000</v>
      </c>
      <c r="R292" s="16" t="s">
        <v>882</v>
      </c>
      <c r="S292" t="str">
        <f t="shared" si="92"/>
        <v>PRLV SEPA PROBTP RETRAITE-PRO BT / CNRO 71353254.4304042 DU 260419</v>
      </c>
      <c r="U292">
        <f>IFERROR(VLOOKUP(F292,tab!A:B,2,FALSE),1)</f>
        <v>14</v>
      </c>
      <c r="V292" s="14">
        <f t="shared" si="93"/>
        <v>-7870.0199999999923</v>
      </c>
      <c r="W292">
        <f t="shared" si="94"/>
        <v>0</v>
      </c>
      <c r="X292">
        <f t="shared" si="95"/>
        <v>1</v>
      </c>
      <c r="Y292" s="14">
        <f t="shared" si="96"/>
        <v>1602.97</v>
      </c>
      <c r="AA292" t="str">
        <f t="shared" si="97"/>
        <v>&lt;Valeur name="no"&gt;267&lt;/Valeur&gt;</v>
      </c>
      <c r="AB292" t="str">
        <f t="shared" si="97"/>
        <v>&lt;Valeur name="banque"&gt;1&lt;/Valeur&gt;</v>
      </c>
      <c r="AC292" t="str">
        <f t="shared" si="99"/>
        <v>&lt;Valeur name="pointer"&gt;1&lt;/Valeur&gt;</v>
      </c>
      <c r="AD292" t="str">
        <f t="shared" si="100"/>
        <v>&lt;Valeur name="idbanque"&gt;300760283626261100200EUR201904306338845000&lt;/Valeur&gt;</v>
      </c>
      <c r="AE292" t="str">
        <f t="shared" si="101"/>
        <v>&lt;Valeur name="datevaleur"&gt;2019/04/30&lt;/Valeur&gt;</v>
      </c>
      <c r="AF292" t="str">
        <f t="shared" si="102"/>
        <v>&lt;Valeur name="intitule"&gt;PRLV SEPA PROBTP RETRAITE-PRO BT / CNRO 71353254.4304042 DU 260419&lt;/Valeur&gt;</v>
      </c>
      <c r="AG292" t="str">
        <f t="shared" si="103"/>
        <v>&lt;Valeur name="description"&gt;&lt;/Valeur&gt;</v>
      </c>
      <c r="AH292" t="str">
        <f t="shared" si="104"/>
        <v>&lt;Valeur name="compte"&gt;14&lt;/Valeur&gt;</v>
      </c>
      <c r="AI292" t="str">
        <f t="shared" si="105"/>
        <v>&lt;Valeur name="solde"&gt;-7870.01999999999&lt;/Valeur&gt;</v>
      </c>
      <c r="AJ292" t="str">
        <f t="shared" si="106"/>
        <v>&lt;Valeur name="ventiler"&gt;0&lt;/Valeur&gt;</v>
      </c>
      <c r="AK292" t="str">
        <f t="shared" si="107"/>
        <v>&lt;Valeur name="compta"&gt;1&lt;/Valeur&gt;</v>
      </c>
      <c r="AL292" t="str">
        <f t="shared" si="108"/>
        <v>&lt;Valeur name="valeur"&gt;1602.97&lt;/Valeur&gt;</v>
      </c>
      <c r="AN292" t="str">
        <f t="shared" si="98"/>
        <v>&lt;Insert&gt;&lt;Valeur name="no"&gt;267&lt;/Valeur&gt;&lt;Valeur name="banque"&gt;1&lt;/Valeur&gt;&lt;Valeur name="pointer"&gt;1&lt;/Valeur&gt;&lt;Valeur name="idbanque"&gt;300760283626261100200EUR201904306338845000&lt;/Valeur&gt;&lt;Valeur name="datevaleur"&gt;2019/04/30&lt;/Valeur&gt;&lt;Valeur name="intitule"&gt;PRLV SEPA PROBTP RETRAITE-PRO BT / CNRO 71353254.4304042 DU 260419&lt;/Valeur&gt;&lt;Valeur name="description"&gt;&lt;/Valeur&gt;&lt;Valeur name="compte"&gt;14&lt;/Valeur&gt;&lt;Valeur name="solde"&gt;-7870.01999999999&lt;/Valeur&gt;&lt;Valeur name="ventiler"&gt;0&lt;/Valeur&gt;&lt;Valeur name="compta"&gt;1&lt;/Valeur&gt;&lt;Valeur name="valeur"&gt;1602.97&lt;/Valeur&gt;&lt;/Insert&gt;</v>
      </c>
    </row>
    <row r="293" spans="1:40" x14ac:dyDescent="0.25">
      <c r="A293" t="s">
        <v>671</v>
      </c>
      <c r="B293">
        <v>268</v>
      </c>
      <c r="C293" s="1">
        <v>43585</v>
      </c>
      <c r="D293">
        <v>1</v>
      </c>
      <c r="E293" t="str">
        <f>IF(F293&lt;&gt;"",INDEX(Balance!A:A,MATCH(F293,Balance!B:B,0)),"")</f>
        <v>Depense</v>
      </c>
      <c r="F293" t="s">
        <v>269</v>
      </c>
      <c r="G293" t="s">
        <v>672</v>
      </c>
      <c r="H293" t="s">
        <v>673</v>
      </c>
      <c r="I293" s="10">
        <v>1723.68</v>
      </c>
      <c r="K293" s="11">
        <f t="shared" si="112"/>
        <v>287.27999999999997</v>
      </c>
      <c r="L293" s="10">
        <f t="shared" si="113"/>
        <v>-9593.6999999999916</v>
      </c>
      <c r="N293">
        <v>268</v>
      </c>
      <c r="O293">
        <v>1</v>
      </c>
      <c r="P293">
        <v>1</v>
      </c>
      <c r="Q293" t="str">
        <f t="shared" si="91"/>
        <v>300760283626261100200EUR201904306339549400</v>
      </c>
      <c r="R293" s="16" t="s">
        <v>882</v>
      </c>
      <c r="S293" t="str">
        <f t="shared" si="92"/>
        <v>PRLV SEPA PROBTP ADP-PRO BTP / CNRO 71353254.4304007 DU 300419</v>
      </c>
      <c r="U293">
        <f>IFERROR(VLOOKUP(F293,tab!A:B,2,FALSE),1)</f>
        <v>14</v>
      </c>
      <c r="V293" s="14">
        <f t="shared" si="93"/>
        <v>-9593.6999999999916</v>
      </c>
      <c r="W293">
        <f t="shared" si="94"/>
        <v>0</v>
      </c>
      <c r="X293">
        <f t="shared" si="95"/>
        <v>1</v>
      </c>
      <c r="Y293" s="14">
        <f t="shared" si="96"/>
        <v>1723.68</v>
      </c>
      <c r="AA293" t="str">
        <f t="shared" si="97"/>
        <v>&lt;Valeur name="no"&gt;268&lt;/Valeur&gt;</v>
      </c>
      <c r="AB293" t="str">
        <f t="shared" si="97"/>
        <v>&lt;Valeur name="banque"&gt;1&lt;/Valeur&gt;</v>
      </c>
      <c r="AC293" t="str">
        <f t="shared" si="99"/>
        <v>&lt;Valeur name="pointer"&gt;1&lt;/Valeur&gt;</v>
      </c>
      <c r="AD293" t="str">
        <f t="shared" si="100"/>
        <v>&lt;Valeur name="idbanque"&gt;300760283626261100200EUR201904306339549400&lt;/Valeur&gt;</v>
      </c>
      <c r="AE293" t="str">
        <f t="shared" si="101"/>
        <v>&lt;Valeur name="datevaleur"&gt;2019/04/30&lt;/Valeur&gt;</v>
      </c>
      <c r="AF293" t="str">
        <f t="shared" si="102"/>
        <v>&lt;Valeur name="intitule"&gt;PRLV SEPA PROBTP ADP-PRO BTP / CNRO 71353254.4304007 DU 300419&lt;/Valeur&gt;</v>
      </c>
      <c r="AG293" t="str">
        <f t="shared" si="103"/>
        <v>&lt;Valeur name="description"&gt;&lt;/Valeur&gt;</v>
      </c>
      <c r="AH293" t="str">
        <f t="shared" si="104"/>
        <v>&lt;Valeur name="compte"&gt;14&lt;/Valeur&gt;</v>
      </c>
      <c r="AI293" t="str">
        <f t="shared" si="105"/>
        <v>&lt;Valeur name="solde"&gt;-9593.69999999999&lt;/Valeur&gt;</v>
      </c>
      <c r="AJ293" t="str">
        <f t="shared" si="106"/>
        <v>&lt;Valeur name="ventiler"&gt;0&lt;/Valeur&gt;</v>
      </c>
      <c r="AK293" t="str">
        <f t="shared" si="107"/>
        <v>&lt;Valeur name="compta"&gt;1&lt;/Valeur&gt;</v>
      </c>
      <c r="AL293" t="str">
        <f t="shared" si="108"/>
        <v>&lt;Valeur name="valeur"&gt;1723.68&lt;/Valeur&gt;</v>
      </c>
      <c r="AN293" t="str">
        <f t="shared" si="98"/>
        <v>&lt;Insert&gt;&lt;Valeur name="no"&gt;268&lt;/Valeur&gt;&lt;Valeur name="banque"&gt;1&lt;/Valeur&gt;&lt;Valeur name="pointer"&gt;1&lt;/Valeur&gt;&lt;Valeur name="idbanque"&gt;300760283626261100200EUR201904306339549400&lt;/Valeur&gt;&lt;Valeur name="datevaleur"&gt;2019/04/30&lt;/Valeur&gt;&lt;Valeur name="intitule"&gt;PRLV SEPA PROBTP ADP-PRO BTP / CNRO 71353254.4304007 DU 300419&lt;/Valeur&gt;&lt;Valeur name="description"&gt;&lt;/Valeur&gt;&lt;Valeur name="compte"&gt;14&lt;/Valeur&gt;&lt;Valeur name="solde"&gt;-9593.69999999999&lt;/Valeur&gt;&lt;Valeur name="ventiler"&gt;0&lt;/Valeur&gt;&lt;Valeur name="compta"&gt;1&lt;/Valeur&gt;&lt;Valeur name="valeur"&gt;1723.68&lt;/Valeur&gt;&lt;/Insert&gt;</v>
      </c>
    </row>
    <row r="294" spans="1:40" x14ac:dyDescent="0.25">
      <c r="A294" t="s">
        <v>675</v>
      </c>
      <c r="B294">
        <v>269</v>
      </c>
      <c r="C294" s="1">
        <v>43584</v>
      </c>
      <c r="D294">
        <v>1</v>
      </c>
      <c r="E294" t="str">
        <f>IF(F294&lt;&gt;"",INDEX(Balance!A:A,MATCH(F294,Balance!B:B,0)),"")</f>
        <v>Fournisseurs</v>
      </c>
      <c r="F294" t="s">
        <v>680</v>
      </c>
      <c r="G294" t="s">
        <v>676</v>
      </c>
      <c r="I294" s="10">
        <v>61.22</v>
      </c>
      <c r="K294" s="11">
        <f t="shared" ref="K294:K347" si="114">IF(I294&gt;0,I294-(I294/TVA),-(J294-(J294/TVA)))</f>
        <v>10.203333333333333</v>
      </c>
      <c r="L294" s="10">
        <f t="shared" ref="L294:L347" si="115">L293-I294+J294</f>
        <v>-9654.919999999991</v>
      </c>
      <c r="N294">
        <v>269</v>
      </c>
      <c r="O294">
        <v>1</v>
      </c>
      <c r="P294">
        <v>1</v>
      </c>
      <c r="Q294" t="str">
        <f t="shared" si="91"/>
        <v>300760283626261100200EUR201904290290664400</v>
      </c>
      <c r="R294" s="16" t="s">
        <v>978</v>
      </c>
      <c r="S294" t="str">
        <f t="shared" si="92"/>
        <v>E-VIR SEPA Glass solution 05/201</v>
      </c>
      <c r="U294">
        <f>IFERROR(VLOOKUP(F294,tab!A:B,2,FALSE),1)</f>
        <v>103</v>
      </c>
      <c r="V294" s="14">
        <f t="shared" si="93"/>
        <v>-9654.919999999991</v>
      </c>
      <c r="W294">
        <f t="shared" si="94"/>
        <v>0</v>
      </c>
      <c r="X294">
        <f t="shared" si="95"/>
        <v>1</v>
      </c>
      <c r="Y294" s="14">
        <f t="shared" si="96"/>
        <v>61.22</v>
      </c>
      <c r="AA294" t="str">
        <f t="shared" si="97"/>
        <v>&lt;Valeur name="no"&gt;269&lt;/Valeur&gt;</v>
      </c>
      <c r="AB294" t="str">
        <f t="shared" si="97"/>
        <v>&lt;Valeur name="banque"&gt;1&lt;/Valeur&gt;</v>
      </c>
      <c r="AC294" t="str">
        <f t="shared" si="99"/>
        <v>&lt;Valeur name="pointer"&gt;1&lt;/Valeur&gt;</v>
      </c>
      <c r="AD294" t="str">
        <f t="shared" si="100"/>
        <v>&lt;Valeur name="idbanque"&gt;300760283626261100200EUR201904290290664400&lt;/Valeur&gt;</v>
      </c>
      <c r="AE294" t="str">
        <f t="shared" si="101"/>
        <v>&lt;Valeur name="datevaleur"&gt;2019/04/29&lt;/Valeur&gt;</v>
      </c>
      <c r="AF294" t="str">
        <f t="shared" si="102"/>
        <v>&lt;Valeur name="intitule"&gt;E-VIR SEPA Glass solution 05/201&lt;/Valeur&gt;</v>
      </c>
      <c r="AG294" t="str">
        <f t="shared" si="103"/>
        <v>&lt;Valeur name="description"&gt;&lt;/Valeur&gt;</v>
      </c>
      <c r="AH294" t="str">
        <f t="shared" si="104"/>
        <v>&lt;Valeur name="compte"&gt;103&lt;/Valeur&gt;</v>
      </c>
      <c r="AI294" t="str">
        <f t="shared" si="105"/>
        <v>&lt;Valeur name="solde"&gt;-9654.91999999999&lt;/Valeur&gt;</v>
      </c>
      <c r="AJ294" t="str">
        <f t="shared" si="106"/>
        <v>&lt;Valeur name="ventiler"&gt;0&lt;/Valeur&gt;</v>
      </c>
      <c r="AK294" t="str">
        <f t="shared" si="107"/>
        <v>&lt;Valeur name="compta"&gt;1&lt;/Valeur&gt;</v>
      </c>
      <c r="AL294" t="str">
        <f t="shared" si="108"/>
        <v>&lt;Valeur name="valeur"&gt;61.22&lt;/Valeur&gt;</v>
      </c>
      <c r="AN294" t="str">
        <f t="shared" si="98"/>
        <v>&lt;Insert&gt;&lt;Valeur name="no"&gt;269&lt;/Valeur&gt;&lt;Valeur name="banque"&gt;1&lt;/Valeur&gt;&lt;Valeur name="pointer"&gt;1&lt;/Valeur&gt;&lt;Valeur name="idbanque"&gt;300760283626261100200EUR201904290290664400&lt;/Valeur&gt;&lt;Valeur name="datevaleur"&gt;2019/04/29&lt;/Valeur&gt;&lt;Valeur name="intitule"&gt;E-VIR SEPA Glass solution 05/201&lt;/Valeur&gt;&lt;Valeur name="description"&gt;&lt;/Valeur&gt;&lt;Valeur name="compte"&gt;103&lt;/Valeur&gt;&lt;Valeur name="solde"&gt;-9654.91999999999&lt;/Valeur&gt;&lt;Valeur name="ventiler"&gt;0&lt;/Valeur&gt;&lt;Valeur name="compta"&gt;1&lt;/Valeur&gt;&lt;Valeur name="valeur"&gt;61.22&lt;/Valeur&gt;&lt;/Insert&gt;</v>
      </c>
    </row>
    <row r="295" spans="1:40" x14ac:dyDescent="0.25">
      <c r="A295" t="s">
        <v>677</v>
      </c>
      <c r="B295">
        <v>270</v>
      </c>
      <c r="C295" s="1">
        <v>43585</v>
      </c>
      <c r="D295">
        <v>1</v>
      </c>
      <c r="E295" t="str">
        <f>IF(F295&lt;&gt;"",INDEX(Balance!A:A,MATCH(F295,Balance!B:B,0)),"")</f>
        <v>Depense</v>
      </c>
      <c r="F295" t="s">
        <v>253</v>
      </c>
      <c r="G295" t="s">
        <v>142</v>
      </c>
      <c r="I295" s="10">
        <v>66.66</v>
      </c>
      <c r="K295" s="11">
        <f t="shared" si="114"/>
        <v>11.11</v>
      </c>
      <c r="L295" s="10">
        <f t="shared" si="115"/>
        <v>-9721.5799999999908</v>
      </c>
      <c r="N295">
        <v>270</v>
      </c>
      <c r="O295">
        <v>1</v>
      </c>
      <c r="P295">
        <v>1</v>
      </c>
      <c r="Q295" t="str">
        <f t="shared" si="91"/>
        <v>300760283626261100200EUR201904301076676600</v>
      </c>
      <c r="R295" s="16" t="s">
        <v>882</v>
      </c>
      <c r="S295" t="str">
        <f t="shared" si="92"/>
        <v>CB 454106 DAC SM MATC 59BAVAY</v>
      </c>
      <c r="U295">
        <f>IFERROR(VLOOKUP(F295,tab!A:B,2,FALSE),1)</f>
        <v>13</v>
      </c>
      <c r="V295" s="14">
        <f t="shared" si="93"/>
        <v>-9721.5799999999908</v>
      </c>
      <c r="W295">
        <f t="shared" si="94"/>
        <v>0</v>
      </c>
      <c r="X295">
        <f t="shared" si="95"/>
        <v>1</v>
      </c>
      <c r="Y295" s="14">
        <f t="shared" si="96"/>
        <v>66.66</v>
      </c>
      <c r="AA295" t="str">
        <f t="shared" si="97"/>
        <v>&lt;Valeur name="no"&gt;270&lt;/Valeur&gt;</v>
      </c>
      <c r="AB295" t="str">
        <f t="shared" si="97"/>
        <v>&lt;Valeur name="banque"&gt;1&lt;/Valeur&gt;</v>
      </c>
      <c r="AC295" t="str">
        <f t="shared" si="99"/>
        <v>&lt;Valeur name="pointer"&gt;1&lt;/Valeur&gt;</v>
      </c>
      <c r="AD295" t="str">
        <f t="shared" si="100"/>
        <v>&lt;Valeur name="idbanque"&gt;300760283626261100200EUR201904301076676600&lt;/Valeur&gt;</v>
      </c>
      <c r="AE295" t="str">
        <f t="shared" si="101"/>
        <v>&lt;Valeur name="datevaleur"&gt;2019/04/30&lt;/Valeur&gt;</v>
      </c>
      <c r="AF295" t="str">
        <f t="shared" si="102"/>
        <v>&lt;Valeur name="intitule"&gt;CB 454106 DAC SM MATC 59BAVAY&lt;/Valeur&gt;</v>
      </c>
      <c r="AG295" t="str">
        <f t="shared" si="103"/>
        <v>&lt;Valeur name="description"&gt;&lt;/Valeur&gt;</v>
      </c>
      <c r="AH295" t="str">
        <f t="shared" si="104"/>
        <v>&lt;Valeur name="compte"&gt;13&lt;/Valeur&gt;</v>
      </c>
      <c r="AI295" t="str">
        <f t="shared" si="105"/>
        <v>&lt;Valeur name="solde"&gt;-9721.57999999999&lt;/Valeur&gt;</v>
      </c>
      <c r="AJ295" t="str">
        <f t="shared" si="106"/>
        <v>&lt;Valeur name="ventiler"&gt;0&lt;/Valeur&gt;</v>
      </c>
      <c r="AK295" t="str">
        <f t="shared" si="107"/>
        <v>&lt;Valeur name="compta"&gt;1&lt;/Valeur&gt;</v>
      </c>
      <c r="AL295" t="str">
        <f t="shared" si="108"/>
        <v>&lt;Valeur name="valeur"&gt;66.66&lt;/Valeur&gt;</v>
      </c>
      <c r="AN295" t="str">
        <f t="shared" si="98"/>
        <v>&lt;Insert&gt;&lt;Valeur name="no"&gt;270&lt;/Valeur&gt;&lt;Valeur name="banque"&gt;1&lt;/Valeur&gt;&lt;Valeur name="pointer"&gt;1&lt;/Valeur&gt;&lt;Valeur name="idbanque"&gt;300760283626261100200EUR201904301076676600&lt;/Valeur&gt;&lt;Valeur name="datevaleur"&gt;2019/04/30&lt;/Valeur&gt;&lt;Valeur name="intitule"&gt;CB 454106 DAC SM MATC 59BAVAY&lt;/Valeur&gt;&lt;Valeur name="description"&gt;&lt;/Valeur&gt;&lt;Valeur name="compte"&gt;13&lt;/Valeur&gt;&lt;Valeur name="solde"&gt;-9721.57999999999&lt;/Valeur&gt;&lt;Valeur name="ventiler"&gt;0&lt;/Valeur&gt;&lt;Valeur name="compta"&gt;1&lt;/Valeur&gt;&lt;Valeur name="valeur"&gt;66.66&lt;/Valeur&gt;&lt;/Insert&gt;</v>
      </c>
    </row>
    <row r="296" spans="1:40" x14ac:dyDescent="0.25">
      <c r="A296" t="s">
        <v>678</v>
      </c>
      <c r="B296">
        <v>271</v>
      </c>
      <c r="C296" s="1">
        <v>43585</v>
      </c>
      <c r="D296">
        <v>1</v>
      </c>
      <c r="E296" t="str">
        <f>IF(F296&lt;&gt;"",INDEX(Balance!A:A,MATCH(F296,Balance!B:B,0)),"")</f>
        <v>Depense</v>
      </c>
      <c r="F296" t="s">
        <v>254</v>
      </c>
      <c r="G296" t="s">
        <v>7</v>
      </c>
      <c r="I296" s="10">
        <v>30</v>
      </c>
      <c r="K296" s="11">
        <f t="shared" si="114"/>
        <v>5</v>
      </c>
      <c r="L296" s="10">
        <f t="shared" si="115"/>
        <v>-9751.5799999999908</v>
      </c>
      <c r="N296">
        <v>271</v>
      </c>
      <c r="O296">
        <v>1</v>
      </c>
      <c r="P296">
        <v>1</v>
      </c>
      <c r="Q296" t="str">
        <f t="shared" si="91"/>
        <v>300760283626261100200EUR201904301076676700</v>
      </c>
      <c r="R296" s="16" t="s">
        <v>882</v>
      </c>
      <c r="S296" t="str">
        <f t="shared" si="92"/>
        <v>CB 454106 SNACK THIER 59BAVAY</v>
      </c>
      <c r="U296">
        <f>IFERROR(VLOOKUP(F296,tab!A:B,2,FALSE),1)</f>
        <v>27</v>
      </c>
      <c r="V296" s="14">
        <f t="shared" si="93"/>
        <v>-9751.5799999999908</v>
      </c>
      <c r="W296">
        <f t="shared" si="94"/>
        <v>0</v>
      </c>
      <c r="X296">
        <f t="shared" si="95"/>
        <v>1</v>
      </c>
      <c r="Y296" s="14">
        <f t="shared" si="96"/>
        <v>30</v>
      </c>
      <c r="AA296" t="str">
        <f t="shared" si="97"/>
        <v>&lt;Valeur name="no"&gt;271&lt;/Valeur&gt;</v>
      </c>
      <c r="AB296" t="str">
        <f t="shared" si="97"/>
        <v>&lt;Valeur name="banque"&gt;1&lt;/Valeur&gt;</v>
      </c>
      <c r="AC296" t="str">
        <f t="shared" si="99"/>
        <v>&lt;Valeur name="pointer"&gt;1&lt;/Valeur&gt;</v>
      </c>
      <c r="AD296" t="str">
        <f t="shared" si="100"/>
        <v>&lt;Valeur name="idbanque"&gt;300760283626261100200EUR201904301076676700&lt;/Valeur&gt;</v>
      </c>
      <c r="AE296" t="str">
        <f t="shared" si="101"/>
        <v>&lt;Valeur name="datevaleur"&gt;2019/04/30&lt;/Valeur&gt;</v>
      </c>
      <c r="AF296" t="str">
        <f t="shared" si="102"/>
        <v>&lt;Valeur name="intitule"&gt;CB 454106 SNACK THIER 59BAVAY&lt;/Valeur&gt;</v>
      </c>
      <c r="AG296" t="str">
        <f t="shared" si="103"/>
        <v>&lt;Valeur name="description"&gt;&lt;/Valeur&gt;</v>
      </c>
      <c r="AH296" t="str">
        <f t="shared" si="104"/>
        <v>&lt;Valeur name="compte"&gt;27&lt;/Valeur&gt;</v>
      </c>
      <c r="AI296" t="str">
        <f t="shared" si="105"/>
        <v>&lt;Valeur name="solde"&gt;-9751.57999999999&lt;/Valeur&gt;</v>
      </c>
      <c r="AJ296" t="str">
        <f t="shared" si="106"/>
        <v>&lt;Valeur name="ventiler"&gt;0&lt;/Valeur&gt;</v>
      </c>
      <c r="AK296" t="str">
        <f t="shared" si="107"/>
        <v>&lt;Valeur name="compta"&gt;1&lt;/Valeur&gt;</v>
      </c>
      <c r="AL296" t="str">
        <f t="shared" si="108"/>
        <v>&lt;Valeur name="valeur"&gt;30&lt;/Valeur&gt;</v>
      </c>
      <c r="AN296" t="str">
        <f t="shared" si="98"/>
        <v>&lt;Insert&gt;&lt;Valeur name="no"&gt;271&lt;/Valeur&gt;&lt;Valeur name="banque"&gt;1&lt;/Valeur&gt;&lt;Valeur name="pointer"&gt;1&lt;/Valeur&gt;&lt;Valeur name="idbanque"&gt;300760283626261100200EUR201904301076676700&lt;/Valeur&gt;&lt;Valeur name="datevaleur"&gt;2019/04/30&lt;/Valeur&gt;&lt;Valeur name="intitule"&gt;CB 454106 SNACK THIER 59BAVAY&lt;/Valeur&gt;&lt;Valeur name="description"&gt;&lt;/Valeur&gt;&lt;Valeur name="compte"&gt;27&lt;/Valeur&gt;&lt;Valeur name="solde"&gt;-9751.57999999999&lt;/Valeur&gt;&lt;Valeur name="ventiler"&gt;0&lt;/Valeur&gt;&lt;Valeur name="compta"&gt;1&lt;/Valeur&gt;&lt;Valeur name="valeur"&gt;30&lt;/Valeur&gt;&lt;/Insert&gt;</v>
      </c>
    </row>
    <row r="297" spans="1:40" x14ac:dyDescent="0.25">
      <c r="A297" t="s">
        <v>679</v>
      </c>
      <c r="B297">
        <v>272</v>
      </c>
      <c r="C297" s="1">
        <v>43585</v>
      </c>
      <c r="D297">
        <v>1</v>
      </c>
      <c r="E297" t="str">
        <f>IF(F297&lt;&gt;"",INDEX(Balance!A:A,MATCH(F297,Balance!B:B,0)),"")</f>
        <v>Depense</v>
      </c>
      <c r="F297" t="s">
        <v>257</v>
      </c>
      <c r="G297" t="s">
        <v>31</v>
      </c>
      <c r="I297" s="10">
        <v>0.21</v>
      </c>
      <c r="K297" s="11">
        <f t="shared" si="114"/>
        <v>3.5000000000000003E-2</v>
      </c>
      <c r="L297" s="10">
        <f t="shared" si="115"/>
        <v>-9751.78999999999</v>
      </c>
      <c r="N297">
        <v>272</v>
      </c>
      <c r="O297">
        <v>1</v>
      </c>
      <c r="P297">
        <v>1</v>
      </c>
      <c r="Q297" t="str">
        <f t="shared" si="91"/>
        <v>300760283626261100200EUR201904309227139700</v>
      </c>
      <c r="R297" s="16" t="s">
        <v>882</v>
      </c>
      <c r="S297" t="str">
        <f t="shared" si="92"/>
        <v>FRAIS E-VIR SEPA VERS EEE</v>
      </c>
      <c r="U297">
        <f>IFERROR(VLOOKUP(F297,tab!A:B,2,FALSE),1)</f>
        <v>18</v>
      </c>
      <c r="V297" s="14">
        <f t="shared" si="93"/>
        <v>-9751.78999999999</v>
      </c>
      <c r="W297">
        <f t="shared" si="94"/>
        <v>0</v>
      </c>
      <c r="X297">
        <f t="shared" si="95"/>
        <v>1</v>
      </c>
      <c r="Y297" s="14">
        <f t="shared" si="96"/>
        <v>0.21</v>
      </c>
      <c r="AA297" t="str">
        <f t="shared" si="97"/>
        <v>&lt;Valeur name="no"&gt;272&lt;/Valeur&gt;</v>
      </c>
      <c r="AB297" t="str">
        <f t="shared" si="97"/>
        <v>&lt;Valeur name="banque"&gt;1&lt;/Valeur&gt;</v>
      </c>
      <c r="AC297" t="str">
        <f t="shared" si="99"/>
        <v>&lt;Valeur name="pointer"&gt;1&lt;/Valeur&gt;</v>
      </c>
      <c r="AD297" t="str">
        <f t="shared" si="100"/>
        <v>&lt;Valeur name="idbanque"&gt;300760283626261100200EUR201904309227139700&lt;/Valeur&gt;</v>
      </c>
      <c r="AE297" t="str">
        <f t="shared" si="101"/>
        <v>&lt;Valeur name="datevaleur"&gt;2019/04/30&lt;/Valeur&gt;</v>
      </c>
      <c r="AF297" t="str">
        <f t="shared" si="102"/>
        <v>&lt;Valeur name="intitule"&gt;FRAIS E-VIR SEPA VERS EEE&lt;/Valeur&gt;</v>
      </c>
      <c r="AG297" t="str">
        <f t="shared" si="103"/>
        <v>&lt;Valeur name="description"&gt;&lt;/Valeur&gt;</v>
      </c>
      <c r="AH297" t="str">
        <f t="shared" si="104"/>
        <v>&lt;Valeur name="compte"&gt;18&lt;/Valeur&gt;</v>
      </c>
      <c r="AI297" t="str">
        <f t="shared" si="105"/>
        <v>&lt;Valeur name="solde"&gt;-9751.78999999999&lt;/Valeur&gt;</v>
      </c>
      <c r="AJ297" t="str">
        <f t="shared" si="106"/>
        <v>&lt;Valeur name="ventiler"&gt;0&lt;/Valeur&gt;</v>
      </c>
      <c r="AK297" t="str">
        <f t="shared" si="107"/>
        <v>&lt;Valeur name="compta"&gt;1&lt;/Valeur&gt;</v>
      </c>
      <c r="AL297" t="str">
        <f t="shared" si="108"/>
        <v>&lt;Valeur name="valeur"&gt;0.21&lt;/Valeur&gt;</v>
      </c>
      <c r="AN297" t="str">
        <f t="shared" si="98"/>
        <v>&lt;Insert&gt;&lt;Valeur name="no"&gt;272&lt;/Valeur&gt;&lt;Valeur name="banque"&gt;1&lt;/Valeur&gt;&lt;Valeur name="pointer"&gt;1&lt;/Valeur&gt;&lt;Valeur name="idbanque"&gt;300760283626261100200EUR201904309227139700&lt;/Valeur&gt;&lt;Valeur name="datevaleur"&gt;2019/04/30&lt;/Valeur&gt;&lt;Valeur name="intitule"&gt;FRAIS E-VIR SEPA VERS EEE&lt;/Valeur&gt;&lt;Valeur name="description"&gt;&lt;/Valeur&gt;&lt;Valeur name="compte"&gt;18&lt;/Valeur&gt;&lt;Valeur name="solde"&gt;-9751.78999999999&lt;/Valeur&gt;&lt;Valeur name="ventiler"&gt;0&lt;/Valeur&gt;&lt;Valeur name="compta"&gt;1&lt;/Valeur&gt;&lt;Valeur name="valeur"&gt;0.21&lt;/Valeur&gt;&lt;/Insert&gt;</v>
      </c>
    </row>
    <row r="298" spans="1:40" x14ac:dyDescent="0.25">
      <c r="A298" t="s">
        <v>716</v>
      </c>
      <c r="B298">
        <v>273</v>
      </c>
      <c r="C298" s="1">
        <v>43587</v>
      </c>
      <c r="D298">
        <v>1</v>
      </c>
      <c r="E298" t="str">
        <f>IF(F298&lt;&gt;"",INDEX(Balance!A:A,MATCH(F298,Balance!B:B,0)),"")</f>
        <v>Depense</v>
      </c>
      <c r="F298" t="s">
        <v>271</v>
      </c>
      <c r="G298" t="s">
        <v>717</v>
      </c>
      <c r="I298" s="10">
        <v>27.8</v>
      </c>
      <c r="K298" s="11">
        <f t="shared" si="114"/>
        <v>4.6333333333333329</v>
      </c>
      <c r="L298" s="10">
        <f t="shared" si="115"/>
        <v>-9779.5899999999892</v>
      </c>
      <c r="N298">
        <v>273</v>
      </c>
      <c r="O298">
        <v>1</v>
      </c>
      <c r="P298">
        <v>1</v>
      </c>
      <c r="Q298" t="str">
        <f t="shared" si="91"/>
        <v>300760283626261100200EUR201905021070344000</v>
      </c>
      <c r="R298" s="16" t="s">
        <v>979</v>
      </c>
      <c r="S298" t="str">
        <f t="shared" si="92"/>
        <v>CB 548222 SANEF 2304- 60SENLIS</v>
      </c>
      <c r="U298">
        <f>IFERROR(VLOOKUP(F298,tab!A:B,2,FALSE),1)</f>
        <v>15</v>
      </c>
      <c r="V298" s="14">
        <f t="shared" si="93"/>
        <v>-9779.5899999999892</v>
      </c>
      <c r="W298">
        <f t="shared" si="94"/>
        <v>0</v>
      </c>
      <c r="X298">
        <f t="shared" si="95"/>
        <v>1</v>
      </c>
      <c r="Y298" s="14">
        <f t="shared" si="96"/>
        <v>27.8</v>
      </c>
      <c r="AA298" t="str">
        <f t="shared" si="97"/>
        <v>&lt;Valeur name="no"&gt;273&lt;/Valeur&gt;</v>
      </c>
      <c r="AB298" t="str">
        <f t="shared" si="97"/>
        <v>&lt;Valeur name="banque"&gt;1&lt;/Valeur&gt;</v>
      </c>
      <c r="AC298" t="str">
        <f t="shared" si="99"/>
        <v>&lt;Valeur name="pointer"&gt;1&lt;/Valeur&gt;</v>
      </c>
      <c r="AD298" t="str">
        <f t="shared" si="100"/>
        <v>&lt;Valeur name="idbanque"&gt;300760283626261100200EUR201905021070344000&lt;/Valeur&gt;</v>
      </c>
      <c r="AE298" t="str">
        <f t="shared" si="101"/>
        <v>&lt;Valeur name="datevaleur"&gt;2019/05/02&lt;/Valeur&gt;</v>
      </c>
      <c r="AF298" t="str">
        <f t="shared" si="102"/>
        <v>&lt;Valeur name="intitule"&gt;CB 548222 SANEF 2304- 60SENLIS&lt;/Valeur&gt;</v>
      </c>
      <c r="AG298" t="str">
        <f t="shared" si="103"/>
        <v>&lt;Valeur name="description"&gt;&lt;/Valeur&gt;</v>
      </c>
      <c r="AH298" t="str">
        <f t="shared" si="104"/>
        <v>&lt;Valeur name="compte"&gt;15&lt;/Valeur&gt;</v>
      </c>
      <c r="AI298" t="str">
        <f t="shared" si="105"/>
        <v>&lt;Valeur name="solde"&gt;-9779.58999999999&lt;/Valeur&gt;</v>
      </c>
      <c r="AJ298" t="str">
        <f t="shared" si="106"/>
        <v>&lt;Valeur name="ventiler"&gt;0&lt;/Valeur&gt;</v>
      </c>
      <c r="AK298" t="str">
        <f t="shared" si="107"/>
        <v>&lt;Valeur name="compta"&gt;1&lt;/Valeur&gt;</v>
      </c>
      <c r="AL298" t="str">
        <f t="shared" si="108"/>
        <v>&lt;Valeur name="valeur"&gt;27.8&lt;/Valeur&gt;</v>
      </c>
      <c r="AN298" t="str">
        <f t="shared" si="98"/>
        <v>&lt;Insert&gt;&lt;Valeur name="no"&gt;273&lt;/Valeur&gt;&lt;Valeur name="banque"&gt;1&lt;/Valeur&gt;&lt;Valeur name="pointer"&gt;1&lt;/Valeur&gt;&lt;Valeur name="idbanque"&gt;300760283626261100200EUR201905021070344000&lt;/Valeur&gt;&lt;Valeur name="datevaleur"&gt;2019/05/02&lt;/Valeur&gt;&lt;Valeur name="intitule"&gt;CB 548222 SANEF 2304- 60SENLIS&lt;/Valeur&gt;&lt;Valeur name="description"&gt;&lt;/Valeur&gt;&lt;Valeur name="compte"&gt;15&lt;/Valeur&gt;&lt;Valeur name="solde"&gt;-9779.58999999999&lt;/Valeur&gt;&lt;Valeur name="ventiler"&gt;0&lt;/Valeur&gt;&lt;Valeur name="compta"&gt;1&lt;/Valeur&gt;&lt;Valeur name="valeur"&gt;27.8&lt;/Valeur&gt;&lt;/Insert&gt;</v>
      </c>
    </row>
    <row r="299" spans="1:40" x14ac:dyDescent="0.25">
      <c r="A299" t="s">
        <v>718</v>
      </c>
      <c r="B299">
        <v>274</v>
      </c>
      <c r="C299" s="1">
        <v>43587</v>
      </c>
      <c r="E299" t="str">
        <f>IF(F299&lt;&gt;"",INDEX(Balance!A:A,MATCH(F299,Balance!B:B,0)),"")</f>
        <v/>
      </c>
      <c r="G299" t="s">
        <v>719</v>
      </c>
      <c r="I299" s="10">
        <v>283.12</v>
      </c>
      <c r="K299" s="11">
        <f t="shared" si="114"/>
        <v>47.186666666666667</v>
      </c>
      <c r="L299" s="10">
        <f t="shared" si="115"/>
        <v>-10062.70999999999</v>
      </c>
      <c r="N299">
        <v>274</v>
      </c>
      <c r="O299">
        <v>1</v>
      </c>
      <c r="P299">
        <v>1</v>
      </c>
      <c r="Q299" t="str">
        <f t="shared" si="91"/>
        <v>300760283626261100200EUR201905021070344100</v>
      </c>
      <c r="R299" s="16" t="s">
        <v>979</v>
      </c>
      <c r="S299" t="str">
        <f t="shared" si="92"/>
        <v>CB 454106 AGENCE CITR 59BAVAY</v>
      </c>
      <c r="U299">
        <f>IFERROR(VLOOKUP(F299,tab!A:B,2,FALSE),1)</f>
        <v>1</v>
      </c>
      <c r="V299" s="14">
        <f t="shared" si="93"/>
        <v>-10062.70999999999</v>
      </c>
      <c r="W299">
        <f t="shared" si="94"/>
        <v>0</v>
      </c>
      <c r="X299" t="str">
        <f t="shared" si="95"/>
        <v/>
      </c>
      <c r="Y299" s="14">
        <f t="shared" si="96"/>
        <v>283.12</v>
      </c>
      <c r="AA299" t="str">
        <f t="shared" si="97"/>
        <v>&lt;Valeur name="no"&gt;274&lt;/Valeur&gt;</v>
      </c>
      <c r="AB299" t="str">
        <f t="shared" si="97"/>
        <v>&lt;Valeur name="banque"&gt;1&lt;/Valeur&gt;</v>
      </c>
      <c r="AC299" t="str">
        <f t="shared" si="99"/>
        <v>&lt;Valeur name="pointer"&gt;1&lt;/Valeur&gt;</v>
      </c>
      <c r="AD299" t="str">
        <f t="shared" si="100"/>
        <v>&lt;Valeur name="idbanque"&gt;300760283626261100200EUR201905021070344100&lt;/Valeur&gt;</v>
      </c>
      <c r="AE299" t="str">
        <f t="shared" si="101"/>
        <v>&lt;Valeur name="datevaleur"&gt;2019/05/02&lt;/Valeur&gt;</v>
      </c>
      <c r="AF299" t="str">
        <f t="shared" si="102"/>
        <v>&lt;Valeur name="intitule"&gt;CB 454106 AGENCE CITR 59BAVAY&lt;/Valeur&gt;</v>
      </c>
      <c r="AG299" t="str">
        <f t="shared" si="103"/>
        <v>&lt;Valeur name="description"&gt;&lt;/Valeur&gt;</v>
      </c>
      <c r="AH299" t="str">
        <f t="shared" si="104"/>
        <v>&lt;Valeur name="compte"&gt;1&lt;/Valeur&gt;</v>
      </c>
      <c r="AI299" t="str">
        <f t="shared" si="105"/>
        <v>&lt;Valeur name="solde"&gt;-10062.71&lt;/Valeur&gt;</v>
      </c>
      <c r="AJ299" t="str">
        <f t="shared" si="106"/>
        <v>&lt;Valeur name="ventiler"&gt;0&lt;/Valeur&gt;</v>
      </c>
      <c r="AK299" t="str">
        <f t="shared" si="107"/>
        <v>&lt;Valeur name="compta"&gt;&lt;/Valeur&gt;</v>
      </c>
      <c r="AL299" t="str">
        <f t="shared" si="108"/>
        <v>&lt;Valeur name="valeur"&gt;283.12&lt;/Valeur&gt;</v>
      </c>
      <c r="AN299" t="str">
        <f t="shared" si="98"/>
        <v>&lt;Insert&gt;&lt;Valeur name="no"&gt;274&lt;/Valeur&gt;&lt;Valeur name="banque"&gt;1&lt;/Valeur&gt;&lt;Valeur name="pointer"&gt;1&lt;/Valeur&gt;&lt;Valeur name="idbanque"&gt;300760283626261100200EUR201905021070344100&lt;/Valeur&gt;&lt;Valeur name="datevaleur"&gt;2019/05/02&lt;/Valeur&gt;&lt;Valeur name="intitule"&gt;CB 454106 AGENCE CITR 59BAVAY&lt;/Valeur&gt;&lt;Valeur name="description"&gt;&lt;/Valeur&gt;&lt;Valeur name="compte"&gt;1&lt;/Valeur&gt;&lt;Valeur name="solde"&gt;-10062.71&lt;/Valeur&gt;&lt;Valeur name="ventiler"&gt;0&lt;/Valeur&gt;&lt;Valeur name="compta"&gt;&lt;/Valeur&gt;&lt;Valeur name="valeur"&gt;283.12&lt;/Valeur&gt;&lt;/Insert&gt;</v>
      </c>
    </row>
    <row r="300" spans="1:40" x14ac:dyDescent="0.25">
      <c r="A300" t="s">
        <v>720</v>
      </c>
      <c r="B300">
        <v>275</v>
      </c>
      <c r="C300" s="1">
        <v>43587</v>
      </c>
      <c r="D300">
        <v>1</v>
      </c>
      <c r="E300" t="str">
        <f>IF(F300&lt;&gt;"",INDEX(Balance!A:A,MATCH(F300,Balance!B:B,0)),"")</f>
        <v>Depense</v>
      </c>
      <c r="F300" t="s">
        <v>271</v>
      </c>
      <c r="G300" t="s">
        <v>721</v>
      </c>
      <c r="I300" s="10">
        <v>17.399999999999999</v>
      </c>
      <c r="K300" s="11">
        <f t="shared" si="114"/>
        <v>2.8999999999999986</v>
      </c>
      <c r="L300" s="10">
        <f t="shared" si="115"/>
        <v>-10080.10999999999</v>
      </c>
      <c r="N300">
        <v>275</v>
      </c>
      <c r="O300">
        <v>1</v>
      </c>
      <c r="P300">
        <v>1</v>
      </c>
      <c r="Q300" t="str">
        <f t="shared" si="91"/>
        <v>300760283626261100200EUR201905021070344200</v>
      </c>
      <c r="R300" s="16" t="s">
        <v>979</v>
      </c>
      <c r="S300" t="str">
        <f t="shared" si="92"/>
        <v>CB 454106 SANEF 2304- 60SENLIS</v>
      </c>
      <c r="U300">
        <f>IFERROR(VLOOKUP(F300,tab!A:B,2,FALSE),1)</f>
        <v>15</v>
      </c>
      <c r="V300" s="14">
        <f t="shared" si="93"/>
        <v>-10080.10999999999</v>
      </c>
      <c r="W300">
        <f t="shared" si="94"/>
        <v>0</v>
      </c>
      <c r="X300">
        <f t="shared" si="95"/>
        <v>1</v>
      </c>
      <c r="Y300" s="14">
        <f t="shared" si="96"/>
        <v>17.399999999999999</v>
      </c>
      <c r="AA300" t="str">
        <f t="shared" si="97"/>
        <v>&lt;Valeur name="no"&gt;275&lt;/Valeur&gt;</v>
      </c>
      <c r="AB300" t="str">
        <f t="shared" si="97"/>
        <v>&lt;Valeur name="banque"&gt;1&lt;/Valeur&gt;</v>
      </c>
      <c r="AC300" t="str">
        <f t="shared" si="99"/>
        <v>&lt;Valeur name="pointer"&gt;1&lt;/Valeur&gt;</v>
      </c>
      <c r="AD300" t="str">
        <f t="shared" si="100"/>
        <v>&lt;Valeur name="idbanque"&gt;300760283626261100200EUR201905021070344200&lt;/Valeur&gt;</v>
      </c>
      <c r="AE300" t="str">
        <f t="shared" si="101"/>
        <v>&lt;Valeur name="datevaleur"&gt;2019/05/02&lt;/Valeur&gt;</v>
      </c>
      <c r="AF300" t="str">
        <f t="shared" si="102"/>
        <v>&lt;Valeur name="intitule"&gt;CB 454106 SANEF 2304- 60SENLIS&lt;/Valeur&gt;</v>
      </c>
      <c r="AG300" t="str">
        <f t="shared" si="103"/>
        <v>&lt;Valeur name="description"&gt;&lt;/Valeur&gt;</v>
      </c>
      <c r="AH300" t="str">
        <f t="shared" si="104"/>
        <v>&lt;Valeur name="compte"&gt;15&lt;/Valeur&gt;</v>
      </c>
      <c r="AI300" t="str">
        <f t="shared" si="105"/>
        <v>&lt;Valeur name="solde"&gt;-10080.11&lt;/Valeur&gt;</v>
      </c>
      <c r="AJ300" t="str">
        <f t="shared" si="106"/>
        <v>&lt;Valeur name="ventiler"&gt;0&lt;/Valeur&gt;</v>
      </c>
      <c r="AK300" t="str">
        <f t="shared" si="107"/>
        <v>&lt;Valeur name="compta"&gt;1&lt;/Valeur&gt;</v>
      </c>
      <c r="AL300" t="str">
        <f t="shared" si="108"/>
        <v>&lt;Valeur name="valeur"&gt;17.4&lt;/Valeur&gt;</v>
      </c>
      <c r="AN300" t="str">
        <f t="shared" si="98"/>
        <v>&lt;Insert&gt;&lt;Valeur name="no"&gt;275&lt;/Valeur&gt;&lt;Valeur name="banque"&gt;1&lt;/Valeur&gt;&lt;Valeur name="pointer"&gt;1&lt;/Valeur&gt;&lt;Valeur name="idbanque"&gt;300760283626261100200EUR201905021070344200&lt;/Valeur&gt;&lt;Valeur name="datevaleur"&gt;2019/05/02&lt;/Valeur&gt;&lt;Valeur name="intitule"&gt;CB 454106 SANEF 2304- 60SENLIS&lt;/Valeur&gt;&lt;Valeur name="description"&gt;&lt;/Valeur&gt;&lt;Valeur name="compte"&gt;15&lt;/Valeur&gt;&lt;Valeur name="solde"&gt;-10080.11&lt;/Valeur&gt;&lt;Valeur name="ventiler"&gt;0&lt;/Valeur&gt;&lt;Valeur name="compta"&gt;1&lt;/Valeur&gt;&lt;Valeur name="valeur"&gt;17.4&lt;/Valeur&gt;&lt;/Insert&gt;</v>
      </c>
    </row>
    <row r="301" spans="1:40" x14ac:dyDescent="0.25">
      <c r="A301" t="s">
        <v>722</v>
      </c>
      <c r="B301">
        <v>276</v>
      </c>
      <c r="C301" s="1">
        <v>43587</v>
      </c>
      <c r="E301" t="str">
        <f>IF(F301&lt;&gt;"",INDEX(Balance!A:A,MATCH(F301,Balance!B:B,0)),"")</f>
        <v/>
      </c>
      <c r="G301" t="s">
        <v>144</v>
      </c>
      <c r="J301" s="10">
        <v>2880</v>
      </c>
      <c r="K301" s="11">
        <f t="shared" si="114"/>
        <v>-480</v>
      </c>
      <c r="L301" s="10">
        <f t="shared" si="115"/>
        <v>-7200.1099999999897</v>
      </c>
      <c r="N301">
        <v>276</v>
      </c>
      <c r="O301">
        <v>1</v>
      </c>
      <c r="P301">
        <v>1</v>
      </c>
      <c r="Q301" t="str">
        <f t="shared" si="91"/>
        <v>300760283626261100200EUR201905028300921400</v>
      </c>
      <c r="R301" s="16" t="s">
        <v>979</v>
      </c>
      <c r="S301" t="str">
        <f t="shared" si="92"/>
        <v>REMISE CHEQUES</v>
      </c>
      <c r="U301">
        <f>IFERROR(VLOOKUP(F301,tab!A:B,2,FALSE),1)</f>
        <v>1</v>
      </c>
      <c r="V301" s="14">
        <f t="shared" si="93"/>
        <v>-7200.1099999999897</v>
      </c>
      <c r="W301">
        <f t="shared" si="94"/>
        <v>0</v>
      </c>
      <c r="X301" t="str">
        <f t="shared" si="95"/>
        <v/>
      </c>
      <c r="Y301" s="14">
        <f t="shared" si="96"/>
        <v>2880</v>
      </c>
      <c r="AA301" t="str">
        <f t="shared" si="97"/>
        <v>&lt;Valeur name="no"&gt;276&lt;/Valeur&gt;</v>
      </c>
      <c r="AB301" t="str">
        <f t="shared" si="97"/>
        <v>&lt;Valeur name="banque"&gt;1&lt;/Valeur&gt;</v>
      </c>
      <c r="AC301" t="str">
        <f t="shared" si="99"/>
        <v>&lt;Valeur name="pointer"&gt;1&lt;/Valeur&gt;</v>
      </c>
      <c r="AD301" t="str">
        <f t="shared" si="100"/>
        <v>&lt;Valeur name="idbanque"&gt;300760283626261100200EUR201905028300921400&lt;/Valeur&gt;</v>
      </c>
      <c r="AE301" t="str">
        <f t="shared" si="101"/>
        <v>&lt;Valeur name="datevaleur"&gt;2019/05/02&lt;/Valeur&gt;</v>
      </c>
      <c r="AF301" t="str">
        <f t="shared" si="102"/>
        <v>&lt;Valeur name="intitule"&gt;REMISE CHEQUES&lt;/Valeur&gt;</v>
      </c>
      <c r="AG301" t="str">
        <f t="shared" si="103"/>
        <v>&lt;Valeur name="description"&gt;&lt;/Valeur&gt;</v>
      </c>
      <c r="AH301" t="str">
        <f t="shared" si="104"/>
        <v>&lt;Valeur name="compte"&gt;1&lt;/Valeur&gt;</v>
      </c>
      <c r="AI301" t="str">
        <f t="shared" si="105"/>
        <v>&lt;Valeur name="solde"&gt;-7200.10999999999&lt;/Valeur&gt;</v>
      </c>
      <c r="AJ301" t="str">
        <f t="shared" si="106"/>
        <v>&lt;Valeur name="ventiler"&gt;0&lt;/Valeur&gt;</v>
      </c>
      <c r="AK301" t="str">
        <f t="shared" si="107"/>
        <v>&lt;Valeur name="compta"&gt;&lt;/Valeur&gt;</v>
      </c>
      <c r="AL301" t="str">
        <f t="shared" si="108"/>
        <v>&lt;Valeur name="valeur"&gt;2880&lt;/Valeur&gt;</v>
      </c>
      <c r="AN301" t="str">
        <f t="shared" si="98"/>
        <v>&lt;Insert&gt;&lt;Valeur name="no"&gt;276&lt;/Valeur&gt;&lt;Valeur name="banque"&gt;1&lt;/Valeur&gt;&lt;Valeur name="pointer"&gt;1&lt;/Valeur&gt;&lt;Valeur name="idbanque"&gt;300760283626261100200EUR201905028300921400&lt;/Valeur&gt;&lt;Valeur name="datevaleur"&gt;2019/05/02&lt;/Valeur&gt;&lt;Valeur name="intitule"&gt;REMISE CHEQUES&lt;/Valeur&gt;&lt;Valeur name="description"&gt;&lt;/Valeur&gt;&lt;Valeur name="compte"&gt;1&lt;/Valeur&gt;&lt;Valeur name="solde"&gt;-7200.10999999999&lt;/Valeur&gt;&lt;Valeur name="ventiler"&gt;0&lt;/Valeur&gt;&lt;Valeur name="compta"&gt;&lt;/Valeur&gt;&lt;Valeur name="valeur"&gt;2880&lt;/Valeur&gt;&lt;/Insert&gt;</v>
      </c>
    </row>
    <row r="302" spans="1:40" x14ac:dyDescent="0.25">
      <c r="A302" t="s">
        <v>723</v>
      </c>
      <c r="B302">
        <v>277</v>
      </c>
      <c r="C302" s="1">
        <v>43588</v>
      </c>
      <c r="D302">
        <v>1</v>
      </c>
      <c r="E302" t="str">
        <f>IF(F302&lt;&gt;"",INDEX(Balance!A:A,MATCH(F302,Balance!B:B,0)),"")</f>
        <v>Depense</v>
      </c>
      <c r="F302" t="s">
        <v>256</v>
      </c>
      <c r="G302" t="s">
        <v>724</v>
      </c>
      <c r="I302" s="10">
        <v>724.89</v>
      </c>
      <c r="K302" s="11">
        <f t="shared" si="114"/>
        <v>120.81499999999994</v>
      </c>
      <c r="L302" s="10">
        <f t="shared" si="115"/>
        <v>-7924.99999999999</v>
      </c>
      <c r="N302">
        <v>277</v>
      </c>
      <c r="O302">
        <v>1</v>
      </c>
      <c r="P302">
        <v>1</v>
      </c>
      <c r="Q302" t="str">
        <f t="shared" si="91"/>
        <v>300760283626261100200EUR201905030296058200</v>
      </c>
      <c r="R302" s="16" t="s">
        <v>980</v>
      </c>
      <c r="S302" t="str">
        <f t="shared" si="92"/>
        <v>E-VIR SEPA Salaire Hutin 04/2019</v>
      </c>
      <c r="U302">
        <f>IFERROR(VLOOKUP(F302,tab!A:B,2,FALSE),1)</f>
        <v>28</v>
      </c>
      <c r="V302" s="14">
        <f t="shared" si="93"/>
        <v>-7924.99999999999</v>
      </c>
      <c r="W302">
        <f t="shared" si="94"/>
        <v>0</v>
      </c>
      <c r="X302">
        <f t="shared" si="95"/>
        <v>1</v>
      </c>
      <c r="Y302" s="14">
        <f t="shared" si="96"/>
        <v>724.89</v>
      </c>
      <c r="AA302" t="str">
        <f t="shared" si="97"/>
        <v>&lt;Valeur name="no"&gt;277&lt;/Valeur&gt;</v>
      </c>
      <c r="AB302" t="str">
        <f t="shared" si="97"/>
        <v>&lt;Valeur name="banque"&gt;1&lt;/Valeur&gt;</v>
      </c>
      <c r="AC302" t="str">
        <f t="shared" si="99"/>
        <v>&lt;Valeur name="pointer"&gt;1&lt;/Valeur&gt;</v>
      </c>
      <c r="AD302" t="str">
        <f t="shared" si="100"/>
        <v>&lt;Valeur name="idbanque"&gt;300760283626261100200EUR201905030296058200&lt;/Valeur&gt;</v>
      </c>
      <c r="AE302" t="str">
        <f t="shared" si="101"/>
        <v>&lt;Valeur name="datevaleur"&gt;2019/05/03&lt;/Valeur&gt;</v>
      </c>
      <c r="AF302" t="str">
        <f t="shared" si="102"/>
        <v>&lt;Valeur name="intitule"&gt;E-VIR SEPA Salaire Hutin 04/2019&lt;/Valeur&gt;</v>
      </c>
      <c r="AG302" t="str">
        <f t="shared" si="103"/>
        <v>&lt;Valeur name="description"&gt;&lt;/Valeur&gt;</v>
      </c>
      <c r="AH302" t="str">
        <f t="shared" si="104"/>
        <v>&lt;Valeur name="compte"&gt;28&lt;/Valeur&gt;</v>
      </c>
      <c r="AI302" t="str">
        <f t="shared" si="105"/>
        <v>&lt;Valeur name="solde"&gt;-7924.99999999999&lt;/Valeur&gt;</v>
      </c>
      <c r="AJ302" t="str">
        <f t="shared" si="106"/>
        <v>&lt;Valeur name="ventiler"&gt;0&lt;/Valeur&gt;</v>
      </c>
      <c r="AK302" t="str">
        <f t="shared" si="107"/>
        <v>&lt;Valeur name="compta"&gt;1&lt;/Valeur&gt;</v>
      </c>
      <c r="AL302" t="str">
        <f t="shared" si="108"/>
        <v>&lt;Valeur name="valeur"&gt;724.89&lt;/Valeur&gt;</v>
      </c>
      <c r="AN302" t="str">
        <f t="shared" si="98"/>
        <v>&lt;Insert&gt;&lt;Valeur name="no"&gt;277&lt;/Valeur&gt;&lt;Valeur name="banque"&gt;1&lt;/Valeur&gt;&lt;Valeur name="pointer"&gt;1&lt;/Valeur&gt;&lt;Valeur name="idbanque"&gt;300760283626261100200EUR201905030296058200&lt;/Valeur&gt;&lt;Valeur name="datevaleur"&gt;2019/05/03&lt;/Valeur&gt;&lt;Valeur name="intitule"&gt;E-VIR SEPA Salaire Hutin 04/2019&lt;/Valeur&gt;&lt;Valeur name="description"&gt;&lt;/Valeur&gt;&lt;Valeur name="compte"&gt;28&lt;/Valeur&gt;&lt;Valeur name="solde"&gt;-7924.99999999999&lt;/Valeur&gt;&lt;Valeur name="ventiler"&gt;0&lt;/Valeur&gt;&lt;Valeur name="compta"&gt;1&lt;/Valeur&gt;&lt;Valeur name="valeur"&gt;724.89&lt;/Valeur&gt;&lt;/Insert&gt;</v>
      </c>
    </row>
    <row r="303" spans="1:40" x14ac:dyDescent="0.25">
      <c r="A303" t="s">
        <v>725</v>
      </c>
      <c r="B303">
        <v>278</v>
      </c>
      <c r="C303" s="1">
        <v>43588</v>
      </c>
      <c r="D303">
        <v>1</v>
      </c>
      <c r="E303" t="str">
        <f>IF(F303&lt;&gt;"",INDEX(Balance!A:A,MATCH(F303,Balance!B:B,0)),"")</f>
        <v>Depense</v>
      </c>
      <c r="F303" t="s">
        <v>256</v>
      </c>
      <c r="G303" t="s">
        <v>726</v>
      </c>
      <c r="I303" s="10">
        <v>1196.3499999999999</v>
      </c>
      <c r="K303" s="11">
        <f t="shared" si="114"/>
        <v>199.39166666666665</v>
      </c>
      <c r="L303" s="10">
        <f t="shared" si="115"/>
        <v>-9121.3499999999894</v>
      </c>
      <c r="N303">
        <v>278</v>
      </c>
      <c r="O303">
        <v>1</v>
      </c>
      <c r="P303">
        <v>1</v>
      </c>
      <c r="Q303" t="str">
        <f t="shared" si="91"/>
        <v>300760283626261100200EUR201905030296058300</v>
      </c>
      <c r="R303" s="16" t="s">
        <v>980</v>
      </c>
      <c r="S303" t="str">
        <f t="shared" si="92"/>
        <v>E-VIR SEPA Salaire Lefort 04/201</v>
      </c>
      <c r="U303">
        <f>IFERROR(VLOOKUP(F303,tab!A:B,2,FALSE),1)</f>
        <v>28</v>
      </c>
      <c r="V303" s="14">
        <f t="shared" si="93"/>
        <v>-9121.3499999999894</v>
      </c>
      <c r="W303">
        <f t="shared" si="94"/>
        <v>0</v>
      </c>
      <c r="X303">
        <f t="shared" si="95"/>
        <v>1</v>
      </c>
      <c r="Y303" s="14">
        <f t="shared" si="96"/>
        <v>1196.3499999999999</v>
      </c>
      <c r="AA303" t="str">
        <f t="shared" si="97"/>
        <v>&lt;Valeur name="no"&gt;278&lt;/Valeur&gt;</v>
      </c>
      <c r="AB303" t="str">
        <f t="shared" si="97"/>
        <v>&lt;Valeur name="banque"&gt;1&lt;/Valeur&gt;</v>
      </c>
      <c r="AC303" t="str">
        <f t="shared" si="99"/>
        <v>&lt;Valeur name="pointer"&gt;1&lt;/Valeur&gt;</v>
      </c>
      <c r="AD303" t="str">
        <f t="shared" si="100"/>
        <v>&lt;Valeur name="idbanque"&gt;300760283626261100200EUR201905030296058300&lt;/Valeur&gt;</v>
      </c>
      <c r="AE303" t="str">
        <f t="shared" si="101"/>
        <v>&lt;Valeur name="datevaleur"&gt;2019/05/03&lt;/Valeur&gt;</v>
      </c>
      <c r="AF303" t="str">
        <f t="shared" si="102"/>
        <v>&lt;Valeur name="intitule"&gt;E-VIR SEPA Salaire Lefort 04/201&lt;/Valeur&gt;</v>
      </c>
      <c r="AG303" t="str">
        <f t="shared" si="103"/>
        <v>&lt;Valeur name="description"&gt;&lt;/Valeur&gt;</v>
      </c>
      <c r="AH303" t="str">
        <f t="shared" si="104"/>
        <v>&lt;Valeur name="compte"&gt;28&lt;/Valeur&gt;</v>
      </c>
      <c r="AI303" t="str">
        <f t="shared" si="105"/>
        <v>&lt;Valeur name="solde"&gt;-9121.34999999999&lt;/Valeur&gt;</v>
      </c>
      <c r="AJ303" t="str">
        <f t="shared" si="106"/>
        <v>&lt;Valeur name="ventiler"&gt;0&lt;/Valeur&gt;</v>
      </c>
      <c r="AK303" t="str">
        <f t="shared" si="107"/>
        <v>&lt;Valeur name="compta"&gt;1&lt;/Valeur&gt;</v>
      </c>
      <c r="AL303" t="str">
        <f t="shared" si="108"/>
        <v>&lt;Valeur name="valeur"&gt;1196.35&lt;/Valeur&gt;</v>
      </c>
      <c r="AN303" t="str">
        <f t="shared" si="98"/>
        <v>&lt;Insert&gt;&lt;Valeur name="no"&gt;278&lt;/Valeur&gt;&lt;Valeur name="banque"&gt;1&lt;/Valeur&gt;&lt;Valeur name="pointer"&gt;1&lt;/Valeur&gt;&lt;Valeur name="idbanque"&gt;300760283626261100200EUR201905030296058300&lt;/Valeur&gt;&lt;Valeur name="datevaleur"&gt;2019/05/03&lt;/Valeur&gt;&lt;Valeur name="intitule"&gt;E-VIR SEPA Salaire Lefort 04/201&lt;/Valeur&gt;&lt;Valeur name="description"&gt;&lt;/Valeur&gt;&lt;Valeur name="compte"&gt;28&lt;/Valeur&gt;&lt;Valeur name="solde"&gt;-9121.34999999999&lt;/Valeur&gt;&lt;Valeur name="ventiler"&gt;0&lt;/Valeur&gt;&lt;Valeur name="compta"&gt;1&lt;/Valeur&gt;&lt;Valeur name="valeur"&gt;1196.35&lt;/Valeur&gt;&lt;/Insert&gt;</v>
      </c>
    </row>
    <row r="304" spans="1:40" x14ac:dyDescent="0.25">
      <c r="A304" t="s">
        <v>727</v>
      </c>
      <c r="B304">
        <v>279</v>
      </c>
      <c r="C304" s="1">
        <v>43588</v>
      </c>
      <c r="D304">
        <v>1</v>
      </c>
      <c r="E304" t="str">
        <f>IF(F304&lt;&gt;"",INDEX(Balance!A:A,MATCH(F304,Balance!B:B,0)),"")</f>
        <v>Depense</v>
      </c>
      <c r="F304" t="s">
        <v>256</v>
      </c>
      <c r="G304" t="s">
        <v>728</v>
      </c>
      <c r="I304" s="10">
        <v>754.01</v>
      </c>
      <c r="K304" s="11">
        <f t="shared" si="114"/>
        <v>125.66833333333329</v>
      </c>
      <c r="L304" s="10">
        <f t="shared" si="115"/>
        <v>-9875.3599999999897</v>
      </c>
      <c r="N304">
        <v>279</v>
      </c>
      <c r="O304">
        <v>1</v>
      </c>
      <c r="P304">
        <v>1</v>
      </c>
      <c r="Q304" t="str">
        <f t="shared" si="91"/>
        <v>300760283626261100200EUR201905030296058400</v>
      </c>
      <c r="R304" s="16" t="s">
        <v>980</v>
      </c>
      <c r="S304" t="str">
        <f t="shared" si="92"/>
        <v>E-VIR SEPA Salaire Gournay 04/20</v>
      </c>
      <c r="U304">
        <f>IFERROR(VLOOKUP(F304,tab!A:B,2,FALSE),1)</f>
        <v>28</v>
      </c>
      <c r="V304" s="14">
        <f t="shared" si="93"/>
        <v>-9875.3599999999897</v>
      </c>
      <c r="W304">
        <f t="shared" si="94"/>
        <v>0</v>
      </c>
      <c r="X304">
        <f t="shared" si="95"/>
        <v>1</v>
      </c>
      <c r="Y304" s="14">
        <f t="shared" si="96"/>
        <v>754.01</v>
      </c>
      <c r="AA304" t="str">
        <f t="shared" si="97"/>
        <v>&lt;Valeur name="no"&gt;279&lt;/Valeur&gt;</v>
      </c>
      <c r="AB304" t="str">
        <f t="shared" si="97"/>
        <v>&lt;Valeur name="banque"&gt;1&lt;/Valeur&gt;</v>
      </c>
      <c r="AC304" t="str">
        <f t="shared" si="99"/>
        <v>&lt;Valeur name="pointer"&gt;1&lt;/Valeur&gt;</v>
      </c>
      <c r="AD304" t="str">
        <f t="shared" si="100"/>
        <v>&lt;Valeur name="idbanque"&gt;300760283626261100200EUR201905030296058400&lt;/Valeur&gt;</v>
      </c>
      <c r="AE304" t="str">
        <f t="shared" si="101"/>
        <v>&lt;Valeur name="datevaleur"&gt;2019/05/03&lt;/Valeur&gt;</v>
      </c>
      <c r="AF304" t="str">
        <f t="shared" si="102"/>
        <v>&lt;Valeur name="intitule"&gt;E-VIR SEPA Salaire Gournay 04/20&lt;/Valeur&gt;</v>
      </c>
      <c r="AG304" t="str">
        <f t="shared" si="103"/>
        <v>&lt;Valeur name="description"&gt;&lt;/Valeur&gt;</v>
      </c>
      <c r="AH304" t="str">
        <f t="shared" si="104"/>
        <v>&lt;Valeur name="compte"&gt;28&lt;/Valeur&gt;</v>
      </c>
      <c r="AI304" t="str">
        <f t="shared" si="105"/>
        <v>&lt;Valeur name="solde"&gt;-9875.35999999999&lt;/Valeur&gt;</v>
      </c>
      <c r="AJ304" t="str">
        <f t="shared" si="106"/>
        <v>&lt;Valeur name="ventiler"&gt;0&lt;/Valeur&gt;</v>
      </c>
      <c r="AK304" t="str">
        <f t="shared" si="107"/>
        <v>&lt;Valeur name="compta"&gt;1&lt;/Valeur&gt;</v>
      </c>
      <c r="AL304" t="str">
        <f t="shared" si="108"/>
        <v>&lt;Valeur name="valeur"&gt;754.01&lt;/Valeur&gt;</v>
      </c>
      <c r="AN304" t="str">
        <f t="shared" si="98"/>
        <v>&lt;Insert&gt;&lt;Valeur name="no"&gt;279&lt;/Valeur&gt;&lt;Valeur name="banque"&gt;1&lt;/Valeur&gt;&lt;Valeur name="pointer"&gt;1&lt;/Valeur&gt;&lt;Valeur name="idbanque"&gt;300760283626261100200EUR201905030296058400&lt;/Valeur&gt;&lt;Valeur name="datevaleur"&gt;2019/05/03&lt;/Valeur&gt;&lt;Valeur name="intitule"&gt;E-VIR SEPA Salaire Gournay 04/20&lt;/Valeur&gt;&lt;Valeur name="description"&gt;&lt;/Valeur&gt;&lt;Valeur name="compte"&gt;28&lt;/Valeur&gt;&lt;Valeur name="solde"&gt;-9875.35999999999&lt;/Valeur&gt;&lt;Valeur name="ventiler"&gt;0&lt;/Valeur&gt;&lt;Valeur name="compta"&gt;1&lt;/Valeur&gt;&lt;Valeur name="valeur"&gt;754.01&lt;/Valeur&gt;&lt;/Insert&gt;</v>
      </c>
    </row>
    <row r="305" spans="1:40" x14ac:dyDescent="0.25">
      <c r="A305" t="s">
        <v>729</v>
      </c>
      <c r="B305">
        <v>280</v>
      </c>
      <c r="C305" s="1">
        <v>43588</v>
      </c>
      <c r="E305" t="str">
        <f>IF(F305&lt;&gt;"",INDEX(Balance!A:A,MATCH(F305,Balance!B:B,0)),"")</f>
        <v/>
      </c>
      <c r="G305" t="s">
        <v>730</v>
      </c>
      <c r="I305" s="10">
        <v>561.6</v>
      </c>
      <c r="K305" s="11">
        <f t="shared" si="114"/>
        <v>93.599999999999966</v>
      </c>
      <c r="L305" s="10">
        <f t="shared" si="115"/>
        <v>-10436.95999999999</v>
      </c>
      <c r="N305">
        <v>280</v>
      </c>
      <c r="O305">
        <v>1</v>
      </c>
      <c r="P305">
        <v>1</v>
      </c>
      <c r="Q305" t="str">
        <f t="shared" si="91"/>
        <v>300760283626261100200EUR201905030910355300</v>
      </c>
      <c r="R305" s="16" t="s">
        <v>980</v>
      </c>
      <c r="S305" t="str">
        <f t="shared" si="92"/>
        <v>RELEVE LCR DU  250419  CONFORME</v>
      </c>
      <c r="U305">
        <f>IFERROR(VLOOKUP(F305,tab!A:B,2,FALSE),1)</f>
        <v>1</v>
      </c>
      <c r="V305" s="14">
        <f t="shared" si="93"/>
        <v>-10436.95999999999</v>
      </c>
      <c r="W305">
        <f t="shared" si="94"/>
        <v>0</v>
      </c>
      <c r="X305" t="str">
        <f t="shared" si="95"/>
        <v/>
      </c>
      <c r="Y305" s="14">
        <f t="shared" si="96"/>
        <v>561.6</v>
      </c>
      <c r="AA305" t="str">
        <f t="shared" si="97"/>
        <v>&lt;Valeur name="no"&gt;280&lt;/Valeur&gt;</v>
      </c>
      <c r="AB305" t="str">
        <f t="shared" si="97"/>
        <v>&lt;Valeur name="banque"&gt;1&lt;/Valeur&gt;</v>
      </c>
      <c r="AC305" t="str">
        <f t="shared" si="99"/>
        <v>&lt;Valeur name="pointer"&gt;1&lt;/Valeur&gt;</v>
      </c>
      <c r="AD305" t="str">
        <f t="shared" si="100"/>
        <v>&lt;Valeur name="idbanque"&gt;300760283626261100200EUR201905030910355300&lt;/Valeur&gt;</v>
      </c>
      <c r="AE305" t="str">
        <f t="shared" si="101"/>
        <v>&lt;Valeur name="datevaleur"&gt;2019/05/03&lt;/Valeur&gt;</v>
      </c>
      <c r="AF305" t="str">
        <f t="shared" si="102"/>
        <v>&lt;Valeur name="intitule"&gt;RELEVE LCR DU  250419  CONFORME&lt;/Valeur&gt;</v>
      </c>
      <c r="AG305" t="str">
        <f t="shared" si="103"/>
        <v>&lt;Valeur name="description"&gt;&lt;/Valeur&gt;</v>
      </c>
      <c r="AH305" t="str">
        <f t="shared" si="104"/>
        <v>&lt;Valeur name="compte"&gt;1&lt;/Valeur&gt;</v>
      </c>
      <c r="AI305" t="str">
        <f t="shared" si="105"/>
        <v>&lt;Valeur name="solde"&gt;-10436.96&lt;/Valeur&gt;</v>
      </c>
      <c r="AJ305" t="str">
        <f t="shared" si="106"/>
        <v>&lt;Valeur name="ventiler"&gt;0&lt;/Valeur&gt;</v>
      </c>
      <c r="AK305" t="str">
        <f t="shared" si="107"/>
        <v>&lt;Valeur name="compta"&gt;&lt;/Valeur&gt;</v>
      </c>
      <c r="AL305" t="str">
        <f t="shared" si="108"/>
        <v>&lt;Valeur name="valeur"&gt;561.6&lt;/Valeur&gt;</v>
      </c>
      <c r="AN305" t="str">
        <f t="shared" si="98"/>
        <v>&lt;Insert&gt;&lt;Valeur name="no"&gt;280&lt;/Valeur&gt;&lt;Valeur name="banque"&gt;1&lt;/Valeur&gt;&lt;Valeur name="pointer"&gt;1&lt;/Valeur&gt;&lt;Valeur name="idbanque"&gt;300760283626261100200EUR201905030910355300&lt;/Valeur&gt;&lt;Valeur name="datevaleur"&gt;2019/05/03&lt;/Valeur&gt;&lt;Valeur name="intitule"&gt;RELEVE LCR DU  250419  CONFORME&lt;/Valeur&gt;&lt;Valeur name="description"&gt;&lt;/Valeur&gt;&lt;Valeur name="compte"&gt;1&lt;/Valeur&gt;&lt;Valeur name="solde"&gt;-10436.96&lt;/Valeur&gt;&lt;Valeur name="ventiler"&gt;0&lt;/Valeur&gt;&lt;Valeur name="compta"&gt;&lt;/Valeur&gt;&lt;Valeur name="valeur"&gt;561.6&lt;/Valeur&gt;&lt;/Insert&gt;</v>
      </c>
    </row>
    <row r="306" spans="1:40" x14ac:dyDescent="0.25">
      <c r="A306" t="s">
        <v>731</v>
      </c>
      <c r="B306">
        <v>281</v>
      </c>
      <c r="C306" s="1">
        <v>43588</v>
      </c>
      <c r="D306">
        <v>1</v>
      </c>
      <c r="E306" t="str">
        <f>IF(F306&lt;&gt;"",INDEX(Balance!A:A,MATCH(F306,Balance!B:B,0)),"")</f>
        <v>Fournisseurs</v>
      </c>
      <c r="F306" t="s">
        <v>376</v>
      </c>
      <c r="G306" t="s">
        <v>139</v>
      </c>
      <c r="H306" t="s">
        <v>140</v>
      </c>
      <c r="I306" s="10">
        <v>10.31</v>
      </c>
      <c r="K306" s="11">
        <f t="shared" si="114"/>
        <v>1.7183333333333337</v>
      </c>
      <c r="L306" s="10">
        <f t="shared" si="115"/>
        <v>-10447.26999999999</v>
      </c>
      <c r="N306">
        <v>281</v>
      </c>
      <c r="O306">
        <v>1</v>
      </c>
      <c r="P306">
        <v>1</v>
      </c>
      <c r="Q306" t="str">
        <f t="shared" si="91"/>
        <v>300760283626261100200EUR201905036333999600</v>
      </c>
      <c r="R306" s="16" t="s">
        <v>980</v>
      </c>
      <c r="S306" t="str">
        <f t="shared" si="92"/>
        <v>PRLV SEPA Google Ireland Limited / APPS COMMERCE:le-metal.net:GG101</v>
      </c>
      <c r="U306">
        <f>IFERROR(VLOOKUP(F306,tab!A:B,2,FALSE),1)</f>
        <v>69</v>
      </c>
      <c r="V306" s="14">
        <f t="shared" si="93"/>
        <v>-10447.26999999999</v>
      </c>
      <c r="W306">
        <f t="shared" si="94"/>
        <v>0</v>
      </c>
      <c r="X306">
        <f t="shared" si="95"/>
        <v>1</v>
      </c>
      <c r="Y306" s="14">
        <f t="shared" si="96"/>
        <v>10.31</v>
      </c>
      <c r="AA306" t="str">
        <f t="shared" si="97"/>
        <v>&lt;Valeur name="no"&gt;281&lt;/Valeur&gt;</v>
      </c>
      <c r="AB306" t="str">
        <f t="shared" si="97"/>
        <v>&lt;Valeur name="banque"&gt;1&lt;/Valeur&gt;</v>
      </c>
      <c r="AC306" t="str">
        <f t="shared" si="99"/>
        <v>&lt;Valeur name="pointer"&gt;1&lt;/Valeur&gt;</v>
      </c>
      <c r="AD306" t="str">
        <f t="shared" si="100"/>
        <v>&lt;Valeur name="idbanque"&gt;300760283626261100200EUR201905036333999600&lt;/Valeur&gt;</v>
      </c>
      <c r="AE306" t="str">
        <f t="shared" si="101"/>
        <v>&lt;Valeur name="datevaleur"&gt;2019/05/03&lt;/Valeur&gt;</v>
      </c>
      <c r="AF306" t="str">
        <f t="shared" si="102"/>
        <v>&lt;Valeur name="intitule"&gt;PRLV SEPA Google Ireland Limited / APPS COMMERCE:le-metal.net:GG101&lt;/Valeur&gt;</v>
      </c>
      <c r="AG306" t="str">
        <f t="shared" si="103"/>
        <v>&lt;Valeur name="description"&gt;&lt;/Valeur&gt;</v>
      </c>
      <c r="AH306" t="str">
        <f t="shared" si="104"/>
        <v>&lt;Valeur name="compte"&gt;69&lt;/Valeur&gt;</v>
      </c>
      <c r="AI306" t="str">
        <f t="shared" si="105"/>
        <v>&lt;Valeur name="solde"&gt;-10447.27&lt;/Valeur&gt;</v>
      </c>
      <c r="AJ306" t="str">
        <f t="shared" si="106"/>
        <v>&lt;Valeur name="ventiler"&gt;0&lt;/Valeur&gt;</v>
      </c>
      <c r="AK306" t="str">
        <f t="shared" si="107"/>
        <v>&lt;Valeur name="compta"&gt;1&lt;/Valeur&gt;</v>
      </c>
      <c r="AL306" t="str">
        <f t="shared" si="108"/>
        <v>&lt;Valeur name="valeur"&gt;10.31&lt;/Valeur&gt;</v>
      </c>
      <c r="AN306" t="str">
        <f t="shared" si="98"/>
        <v>&lt;Insert&gt;&lt;Valeur name="no"&gt;281&lt;/Valeur&gt;&lt;Valeur name="banque"&gt;1&lt;/Valeur&gt;&lt;Valeur name="pointer"&gt;1&lt;/Valeur&gt;&lt;Valeur name="idbanque"&gt;300760283626261100200EUR201905036333999600&lt;/Valeur&gt;&lt;Valeur name="datevaleur"&gt;2019/05/03&lt;/Valeur&gt;&lt;Valeur name="intitule"&gt;PRLV SEPA Google Ireland Limited / APPS COMMERCE:le-metal.net:GG101&lt;/Valeur&gt;&lt;Valeur name="description"&gt;&lt;/Valeur&gt;&lt;Valeur name="compte"&gt;69&lt;/Valeur&gt;&lt;Valeur name="solde"&gt;-10447.27&lt;/Valeur&gt;&lt;Valeur name="ventiler"&gt;0&lt;/Valeur&gt;&lt;Valeur name="compta"&gt;1&lt;/Valeur&gt;&lt;Valeur name="valeur"&gt;10.31&lt;/Valeur&gt;&lt;/Insert&gt;</v>
      </c>
    </row>
    <row r="307" spans="1:40" x14ac:dyDescent="0.25">
      <c r="A307" t="s">
        <v>732</v>
      </c>
      <c r="B307">
        <v>282</v>
      </c>
      <c r="C307" s="1">
        <v>43591</v>
      </c>
      <c r="D307">
        <v>1</v>
      </c>
      <c r="E307" t="str">
        <f>IF(F307&lt;&gt;"",INDEX(Balance!A:A,MATCH(F307,Balance!B:B,0)),"")</f>
        <v>Depense</v>
      </c>
      <c r="F307" t="s">
        <v>257</v>
      </c>
      <c r="G307" t="s">
        <v>156</v>
      </c>
      <c r="J307" s="10">
        <v>0</v>
      </c>
      <c r="K307" s="11">
        <f t="shared" si="114"/>
        <v>0</v>
      </c>
      <c r="L307" s="10">
        <f t="shared" si="115"/>
        <v>-10447.26999999999</v>
      </c>
      <c r="N307">
        <v>282</v>
      </c>
      <c r="O307">
        <v>1</v>
      </c>
      <c r="P307">
        <v>1</v>
      </c>
      <c r="Q307" t="str">
        <f t="shared" si="91"/>
        <v>300760283626261100200EUR201905060842843200</v>
      </c>
      <c r="R307" s="16" t="s">
        <v>935</v>
      </c>
      <c r="S307" t="str">
        <f t="shared" si="92"/>
        <v>INTERNET PRO (GRATUIT AVEC C.ALL</v>
      </c>
      <c r="U307">
        <f>IFERROR(VLOOKUP(F307,tab!A:B,2,FALSE),1)</f>
        <v>18</v>
      </c>
      <c r="V307" s="14">
        <f t="shared" si="93"/>
        <v>-10447.26999999999</v>
      </c>
      <c r="W307">
        <f t="shared" si="94"/>
        <v>0</v>
      </c>
      <c r="X307">
        <f t="shared" si="95"/>
        <v>1</v>
      </c>
      <c r="Y307" s="14">
        <f t="shared" si="96"/>
        <v>0</v>
      </c>
      <c r="AA307" t="str">
        <f t="shared" si="97"/>
        <v>&lt;Valeur name="no"&gt;282&lt;/Valeur&gt;</v>
      </c>
      <c r="AB307" t="str">
        <f t="shared" si="97"/>
        <v>&lt;Valeur name="banque"&gt;1&lt;/Valeur&gt;</v>
      </c>
      <c r="AC307" t="str">
        <f t="shared" si="99"/>
        <v>&lt;Valeur name="pointer"&gt;1&lt;/Valeur&gt;</v>
      </c>
      <c r="AD307" t="str">
        <f t="shared" si="100"/>
        <v>&lt;Valeur name="idbanque"&gt;300760283626261100200EUR201905060842843200&lt;/Valeur&gt;</v>
      </c>
      <c r="AE307" t="str">
        <f t="shared" si="101"/>
        <v>&lt;Valeur name="datevaleur"&gt;2019/05/06&lt;/Valeur&gt;</v>
      </c>
      <c r="AF307" t="str">
        <f t="shared" si="102"/>
        <v>&lt;Valeur name="intitule"&gt;INTERNET PRO (GRATUIT AVEC C.ALL&lt;/Valeur&gt;</v>
      </c>
      <c r="AG307" t="str">
        <f t="shared" si="103"/>
        <v>&lt;Valeur name="description"&gt;&lt;/Valeur&gt;</v>
      </c>
      <c r="AH307" t="str">
        <f t="shared" si="104"/>
        <v>&lt;Valeur name="compte"&gt;18&lt;/Valeur&gt;</v>
      </c>
      <c r="AI307" t="str">
        <f t="shared" si="105"/>
        <v>&lt;Valeur name="solde"&gt;-10447.27&lt;/Valeur&gt;</v>
      </c>
      <c r="AJ307" t="str">
        <f t="shared" si="106"/>
        <v>&lt;Valeur name="ventiler"&gt;0&lt;/Valeur&gt;</v>
      </c>
      <c r="AK307" t="str">
        <f t="shared" si="107"/>
        <v>&lt;Valeur name="compta"&gt;1&lt;/Valeur&gt;</v>
      </c>
      <c r="AL307" t="str">
        <f t="shared" si="108"/>
        <v>&lt;Valeur name="valeur"&gt;0&lt;/Valeur&gt;</v>
      </c>
      <c r="AN307" t="str">
        <f t="shared" si="98"/>
        <v>&lt;Insert&gt;&lt;Valeur name="no"&gt;282&lt;/Valeur&gt;&lt;Valeur name="banque"&gt;1&lt;/Valeur&gt;&lt;Valeur name="pointer"&gt;1&lt;/Valeur&gt;&lt;Valeur name="idbanque"&gt;300760283626261100200EUR201905060842843200&lt;/Valeur&gt;&lt;Valeur name="datevaleur"&gt;2019/05/06&lt;/Valeur&gt;&lt;Valeur name="intitule"&gt;INTERNET PRO (GRATUIT AVEC C.ALL&lt;/Valeur&gt;&lt;Valeur name="description"&gt;&lt;/Valeur&gt;&lt;Valeur name="compte"&gt;18&lt;/Valeur&gt;&lt;Valeur name="solde"&gt;-10447.27&lt;/Valeur&gt;&lt;Valeur name="ventiler"&gt;0&lt;/Valeur&gt;&lt;Valeur name="compta"&gt;1&lt;/Valeur&gt;&lt;Valeur name="valeur"&gt;0&lt;/Valeur&gt;&lt;/Insert&gt;</v>
      </c>
    </row>
    <row r="308" spans="1:40" x14ac:dyDescent="0.25">
      <c r="A308" t="s">
        <v>733</v>
      </c>
      <c r="B308">
        <v>283</v>
      </c>
      <c r="C308" s="1">
        <v>43591</v>
      </c>
      <c r="D308">
        <v>1</v>
      </c>
      <c r="E308" t="str">
        <f>IF(F308&lt;&gt;"",INDEX(Balance!A:A,MATCH(F308,Balance!B:B,0)),"")</f>
        <v>Depense</v>
      </c>
      <c r="F308" t="s">
        <v>254</v>
      </c>
      <c r="G308" t="s">
        <v>397</v>
      </c>
      <c r="I308" s="10">
        <v>49.5</v>
      </c>
      <c r="K308" s="11">
        <f t="shared" si="114"/>
        <v>8.25</v>
      </c>
      <c r="L308" s="10">
        <f t="shared" si="115"/>
        <v>-10496.76999999999</v>
      </c>
      <c r="N308">
        <v>283</v>
      </c>
      <c r="O308">
        <v>1</v>
      </c>
      <c r="P308">
        <v>1</v>
      </c>
      <c r="Q308" t="str">
        <f t="shared" si="91"/>
        <v>300760283626261100200EUR201905061073300100</v>
      </c>
      <c r="R308" s="16" t="s">
        <v>935</v>
      </c>
      <c r="S308" t="str">
        <f t="shared" si="92"/>
        <v>CB 454106 PIZZA   PAS 59BAVAY</v>
      </c>
      <c r="U308">
        <f>IFERROR(VLOOKUP(F308,tab!A:B,2,FALSE),1)</f>
        <v>27</v>
      </c>
      <c r="V308" s="14">
        <f t="shared" si="93"/>
        <v>-10496.76999999999</v>
      </c>
      <c r="W308">
        <f t="shared" si="94"/>
        <v>0</v>
      </c>
      <c r="X308">
        <f t="shared" si="95"/>
        <v>1</v>
      </c>
      <c r="Y308" s="14">
        <f t="shared" si="96"/>
        <v>49.5</v>
      </c>
      <c r="AA308" t="str">
        <f t="shared" si="97"/>
        <v>&lt;Valeur name="no"&gt;283&lt;/Valeur&gt;</v>
      </c>
      <c r="AB308" t="str">
        <f t="shared" si="97"/>
        <v>&lt;Valeur name="banque"&gt;1&lt;/Valeur&gt;</v>
      </c>
      <c r="AC308" t="str">
        <f t="shared" si="99"/>
        <v>&lt;Valeur name="pointer"&gt;1&lt;/Valeur&gt;</v>
      </c>
      <c r="AD308" t="str">
        <f t="shared" si="100"/>
        <v>&lt;Valeur name="idbanque"&gt;300760283626261100200EUR201905061073300100&lt;/Valeur&gt;</v>
      </c>
      <c r="AE308" t="str">
        <f t="shared" si="101"/>
        <v>&lt;Valeur name="datevaleur"&gt;2019/05/06&lt;/Valeur&gt;</v>
      </c>
      <c r="AF308" t="str">
        <f t="shared" si="102"/>
        <v>&lt;Valeur name="intitule"&gt;CB 454106 PIZZA   PAS 59BAVAY&lt;/Valeur&gt;</v>
      </c>
      <c r="AG308" t="str">
        <f t="shared" si="103"/>
        <v>&lt;Valeur name="description"&gt;&lt;/Valeur&gt;</v>
      </c>
      <c r="AH308" t="str">
        <f t="shared" si="104"/>
        <v>&lt;Valeur name="compte"&gt;27&lt;/Valeur&gt;</v>
      </c>
      <c r="AI308" t="str">
        <f t="shared" si="105"/>
        <v>&lt;Valeur name="solde"&gt;-10496.77&lt;/Valeur&gt;</v>
      </c>
      <c r="AJ308" t="str">
        <f t="shared" si="106"/>
        <v>&lt;Valeur name="ventiler"&gt;0&lt;/Valeur&gt;</v>
      </c>
      <c r="AK308" t="str">
        <f t="shared" si="107"/>
        <v>&lt;Valeur name="compta"&gt;1&lt;/Valeur&gt;</v>
      </c>
      <c r="AL308" t="str">
        <f t="shared" si="108"/>
        <v>&lt;Valeur name="valeur"&gt;49.5&lt;/Valeur&gt;</v>
      </c>
      <c r="AN308" t="str">
        <f t="shared" si="98"/>
        <v>&lt;Insert&gt;&lt;Valeur name="no"&gt;283&lt;/Valeur&gt;&lt;Valeur name="banque"&gt;1&lt;/Valeur&gt;&lt;Valeur name="pointer"&gt;1&lt;/Valeur&gt;&lt;Valeur name="idbanque"&gt;300760283626261100200EUR201905061073300100&lt;/Valeur&gt;&lt;Valeur name="datevaleur"&gt;2019/05/06&lt;/Valeur&gt;&lt;Valeur name="intitule"&gt;CB 454106 PIZZA   PAS 59BAVAY&lt;/Valeur&gt;&lt;Valeur name="description"&gt;&lt;/Valeur&gt;&lt;Valeur name="compte"&gt;27&lt;/Valeur&gt;&lt;Valeur name="solde"&gt;-10496.77&lt;/Valeur&gt;&lt;Valeur name="ventiler"&gt;0&lt;/Valeur&gt;&lt;Valeur name="compta"&gt;1&lt;/Valeur&gt;&lt;Valeur name="valeur"&gt;49.5&lt;/Valeur&gt;&lt;/Insert&gt;</v>
      </c>
    </row>
    <row r="309" spans="1:40" x14ac:dyDescent="0.25">
      <c r="A309" t="s">
        <v>734</v>
      </c>
      <c r="B309">
        <v>284</v>
      </c>
      <c r="C309" s="1">
        <v>43591</v>
      </c>
      <c r="D309">
        <v>1</v>
      </c>
      <c r="E309" t="str">
        <f>IF(F309&lt;&gt;"",INDEX(Balance!A:A,MATCH(F309,Balance!B:B,0)),"")</f>
        <v>Depense</v>
      </c>
      <c r="F309" t="s">
        <v>253</v>
      </c>
      <c r="G309" t="s">
        <v>9</v>
      </c>
      <c r="I309" s="10">
        <v>73.290000000000006</v>
      </c>
      <c r="K309" s="11">
        <f t="shared" si="114"/>
        <v>12.214999999999996</v>
      </c>
      <c r="L309" s="10">
        <f t="shared" si="115"/>
        <v>-10570.05999999999</v>
      </c>
      <c r="N309">
        <v>284</v>
      </c>
      <c r="O309">
        <v>1</v>
      </c>
      <c r="P309">
        <v>1</v>
      </c>
      <c r="Q309" t="str">
        <f t="shared" si="91"/>
        <v>300760283626261100200EUR201905061073300200</v>
      </c>
      <c r="R309" s="16" t="s">
        <v>935</v>
      </c>
      <c r="S309" t="str">
        <f t="shared" si="92"/>
        <v>CB 548222 DAC AUCHAN  59VALENCIE</v>
      </c>
      <c r="U309">
        <f>IFERROR(VLOOKUP(F309,tab!A:B,2,FALSE),1)</f>
        <v>13</v>
      </c>
      <c r="V309" s="14">
        <f t="shared" si="93"/>
        <v>-10570.05999999999</v>
      </c>
      <c r="W309">
        <f t="shared" si="94"/>
        <v>0</v>
      </c>
      <c r="X309">
        <f t="shared" si="95"/>
        <v>1</v>
      </c>
      <c r="Y309" s="14">
        <f t="shared" si="96"/>
        <v>73.290000000000006</v>
      </c>
      <c r="AA309" t="str">
        <f t="shared" si="97"/>
        <v>&lt;Valeur name="no"&gt;284&lt;/Valeur&gt;</v>
      </c>
      <c r="AB309" t="str">
        <f t="shared" si="97"/>
        <v>&lt;Valeur name="banque"&gt;1&lt;/Valeur&gt;</v>
      </c>
      <c r="AC309" t="str">
        <f t="shared" si="99"/>
        <v>&lt;Valeur name="pointer"&gt;1&lt;/Valeur&gt;</v>
      </c>
      <c r="AD309" t="str">
        <f t="shared" si="100"/>
        <v>&lt;Valeur name="idbanque"&gt;300760283626261100200EUR201905061073300200&lt;/Valeur&gt;</v>
      </c>
      <c r="AE309" t="str">
        <f t="shared" si="101"/>
        <v>&lt;Valeur name="datevaleur"&gt;2019/05/06&lt;/Valeur&gt;</v>
      </c>
      <c r="AF309" t="str">
        <f t="shared" si="102"/>
        <v>&lt;Valeur name="intitule"&gt;CB 548222 DAC AUCHAN  59VALENCIE&lt;/Valeur&gt;</v>
      </c>
      <c r="AG309" t="str">
        <f t="shared" si="103"/>
        <v>&lt;Valeur name="description"&gt;&lt;/Valeur&gt;</v>
      </c>
      <c r="AH309" t="str">
        <f t="shared" si="104"/>
        <v>&lt;Valeur name="compte"&gt;13&lt;/Valeur&gt;</v>
      </c>
      <c r="AI309" t="str">
        <f t="shared" si="105"/>
        <v>&lt;Valeur name="solde"&gt;-10570.06&lt;/Valeur&gt;</v>
      </c>
      <c r="AJ309" t="str">
        <f t="shared" si="106"/>
        <v>&lt;Valeur name="ventiler"&gt;0&lt;/Valeur&gt;</v>
      </c>
      <c r="AK309" t="str">
        <f t="shared" si="107"/>
        <v>&lt;Valeur name="compta"&gt;1&lt;/Valeur&gt;</v>
      </c>
      <c r="AL309" t="str">
        <f t="shared" si="108"/>
        <v>&lt;Valeur name="valeur"&gt;73.29&lt;/Valeur&gt;</v>
      </c>
      <c r="AN309" t="str">
        <f t="shared" si="98"/>
        <v>&lt;Insert&gt;&lt;Valeur name="no"&gt;284&lt;/Valeur&gt;&lt;Valeur name="banque"&gt;1&lt;/Valeur&gt;&lt;Valeur name="pointer"&gt;1&lt;/Valeur&gt;&lt;Valeur name="idbanque"&gt;300760283626261100200EUR201905061073300200&lt;/Valeur&gt;&lt;Valeur name="datevaleur"&gt;2019/05/06&lt;/Valeur&gt;&lt;Valeur name="intitule"&gt;CB 548222 DAC AUCHAN  59VALENCIE&lt;/Valeur&gt;&lt;Valeur name="description"&gt;&lt;/Valeur&gt;&lt;Valeur name="compte"&gt;13&lt;/Valeur&gt;&lt;Valeur name="solde"&gt;-10570.06&lt;/Valeur&gt;&lt;Valeur name="ventiler"&gt;0&lt;/Valeur&gt;&lt;Valeur name="compta"&gt;1&lt;/Valeur&gt;&lt;Valeur name="valeur"&gt;73.29&lt;/Valeur&gt;&lt;/Insert&gt;</v>
      </c>
    </row>
    <row r="310" spans="1:40" x14ac:dyDescent="0.25">
      <c r="A310" t="s">
        <v>735</v>
      </c>
      <c r="B310">
        <v>285</v>
      </c>
      <c r="C310" s="1">
        <v>43591</v>
      </c>
      <c r="D310">
        <v>1</v>
      </c>
      <c r="E310" t="str">
        <f>IF(F310&lt;&gt;"",INDEX(Balance!A:A,MATCH(F310,Balance!B:B,0)),"")</f>
        <v>Depense</v>
      </c>
      <c r="F310" t="s">
        <v>253</v>
      </c>
      <c r="G310" t="s">
        <v>142</v>
      </c>
      <c r="I310" s="10">
        <v>77.36</v>
      </c>
      <c r="K310" s="11">
        <f t="shared" si="114"/>
        <v>12.893333333333331</v>
      </c>
      <c r="L310" s="10">
        <f t="shared" si="115"/>
        <v>-10647.419999999991</v>
      </c>
      <c r="N310">
        <v>285</v>
      </c>
      <c r="O310">
        <v>1</v>
      </c>
      <c r="P310">
        <v>1</v>
      </c>
      <c r="Q310" t="str">
        <f t="shared" si="91"/>
        <v>300760283626261100200EUR201905061073300300</v>
      </c>
      <c r="R310" s="16" t="s">
        <v>935</v>
      </c>
      <c r="S310" t="str">
        <f t="shared" si="92"/>
        <v>CB 454106 DAC SM MATC 59BAVAY</v>
      </c>
      <c r="U310">
        <f>IFERROR(VLOOKUP(F310,tab!A:B,2,FALSE),1)</f>
        <v>13</v>
      </c>
      <c r="V310" s="14">
        <f t="shared" si="93"/>
        <v>-10647.419999999991</v>
      </c>
      <c r="W310">
        <f t="shared" si="94"/>
        <v>0</v>
      </c>
      <c r="X310">
        <f t="shared" si="95"/>
        <v>1</v>
      </c>
      <c r="Y310" s="14">
        <f t="shared" si="96"/>
        <v>77.36</v>
      </c>
      <c r="AA310" t="str">
        <f t="shared" si="97"/>
        <v>&lt;Valeur name="no"&gt;285&lt;/Valeur&gt;</v>
      </c>
      <c r="AB310" t="str">
        <f t="shared" si="97"/>
        <v>&lt;Valeur name="banque"&gt;1&lt;/Valeur&gt;</v>
      </c>
      <c r="AC310" t="str">
        <f t="shared" si="99"/>
        <v>&lt;Valeur name="pointer"&gt;1&lt;/Valeur&gt;</v>
      </c>
      <c r="AD310" t="str">
        <f t="shared" si="100"/>
        <v>&lt;Valeur name="idbanque"&gt;300760283626261100200EUR201905061073300300&lt;/Valeur&gt;</v>
      </c>
      <c r="AE310" t="str">
        <f t="shared" si="101"/>
        <v>&lt;Valeur name="datevaleur"&gt;2019/05/06&lt;/Valeur&gt;</v>
      </c>
      <c r="AF310" t="str">
        <f t="shared" si="102"/>
        <v>&lt;Valeur name="intitule"&gt;CB 454106 DAC SM MATC 59BAVAY&lt;/Valeur&gt;</v>
      </c>
      <c r="AG310" t="str">
        <f t="shared" si="103"/>
        <v>&lt;Valeur name="description"&gt;&lt;/Valeur&gt;</v>
      </c>
      <c r="AH310" t="str">
        <f t="shared" si="104"/>
        <v>&lt;Valeur name="compte"&gt;13&lt;/Valeur&gt;</v>
      </c>
      <c r="AI310" t="str">
        <f t="shared" si="105"/>
        <v>&lt;Valeur name="solde"&gt;-10647.42&lt;/Valeur&gt;</v>
      </c>
      <c r="AJ310" t="str">
        <f t="shared" si="106"/>
        <v>&lt;Valeur name="ventiler"&gt;0&lt;/Valeur&gt;</v>
      </c>
      <c r="AK310" t="str">
        <f t="shared" si="107"/>
        <v>&lt;Valeur name="compta"&gt;1&lt;/Valeur&gt;</v>
      </c>
      <c r="AL310" t="str">
        <f t="shared" si="108"/>
        <v>&lt;Valeur name="valeur"&gt;77.36&lt;/Valeur&gt;</v>
      </c>
      <c r="AN310" t="str">
        <f t="shared" si="98"/>
        <v>&lt;Insert&gt;&lt;Valeur name="no"&gt;285&lt;/Valeur&gt;&lt;Valeur name="banque"&gt;1&lt;/Valeur&gt;&lt;Valeur name="pointer"&gt;1&lt;/Valeur&gt;&lt;Valeur name="idbanque"&gt;300760283626261100200EUR201905061073300300&lt;/Valeur&gt;&lt;Valeur name="datevaleur"&gt;2019/05/06&lt;/Valeur&gt;&lt;Valeur name="intitule"&gt;CB 454106 DAC SM MATC 59BAVAY&lt;/Valeur&gt;&lt;Valeur name="description"&gt;&lt;/Valeur&gt;&lt;Valeur name="compte"&gt;13&lt;/Valeur&gt;&lt;Valeur name="solde"&gt;-10647.42&lt;/Valeur&gt;&lt;Valeur name="ventiler"&gt;0&lt;/Valeur&gt;&lt;Valeur name="compta"&gt;1&lt;/Valeur&gt;&lt;Valeur name="valeur"&gt;77.36&lt;/Valeur&gt;&lt;/Insert&gt;</v>
      </c>
    </row>
    <row r="311" spans="1:40" x14ac:dyDescent="0.25">
      <c r="A311" t="s">
        <v>736</v>
      </c>
      <c r="B311">
        <v>286</v>
      </c>
      <c r="C311" s="1">
        <v>43591</v>
      </c>
      <c r="D311">
        <v>1</v>
      </c>
      <c r="E311" t="str">
        <f>IF(F311&lt;&gt;"",INDEX(Balance!A:A,MATCH(F311,Balance!B:B,0)),"")</f>
        <v>Depense</v>
      </c>
      <c r="F311" t="s">
        <v>257</v>
      </c>
      <c r="G311" t="s">
        <v>31</v>
      </c>
      <c r="I311" s="10">
        <v>0.21</v>
      </c>
      <c r="K311" s="11">
        <f t="shared" si="114"/>
        <v>3.5000000000000003E-2</v>
      </c>
      <c r="L311" s="10">
        <f t="shared" si="115"/>
        <v>-10647.62999999999</v>
      </c>
      <c r="N311">
        <v>286</v>
      </c>
      <c r="O311">
        <v>1</v>
      </c>
      <c r="P311">
        <v>1</v>
      </c>
      <c r="Q311" t="str">
        <f t="shared" si="91"/>
        <v>300760283626261100200EUR201905069227476000</v>
      </c>
      <c r="R311" s="16" t="s">
        <v>935</v>
      </c>
      <c r="S311" t="str">
        <f t="shared" si="92"/>
        <v>FRAIS E-VIR SEPA VERS EEE</v>
      </c>
      <c r="U311">
        <f>IFERROR(VLOOKUP(F311,tab!A:B,2,FALSE),1)</f>
        <v>18</v>
      </c>
      <c r="V311" s="14">
        <f t="shared" si="93"/>
        <v>-10647.62999999999</v>
      </c>
      <c r="W311">
        <f t="shared" si="94"/>
        <v>0</v>
      </c>
      <c r="X311">
        <f t="shared" si="95"/>
        <v>1</v>
      </c>
      <c r="Y311" s="14">
        <f t="shared" si="96"/>
        <v>0.21</v>
      </c>
      <c r="AA311" t="str">
        <f t="shared" si="97"/>
        <v>&lt;Valeur name="no"&gt;286&lt;/Valeur&gt;</v>
      </c>
      <c r="AB311" t="str">
        <f t="shared" si="97"/>
        <v>&lt;Valeur name="banque"&gt;1&lt;/Valeur&gt;</v>
      </c>
      <c r="AC311" t="str">
        <f t="shared" si="99"/>
        <v>&lt;Valeur name="pointer"&gt;1&lt;/Valeur&gt;</v>
      </c>
      <c r="AD311" t="str">
        <f t="shared" si="100"/>
        <v>&lt;Valeur name="idbanque"&gt;300760283626261100200EUR201905069227476000&lt;/Valeur&gt;</v>
      </c>
      <c r="AE311" t="str">
        <f t="shared" si="101"/>
        <v>&lt;Valeur name="datevaleur"&gt;2019/05/06&lt;/Valeur&gt;</v>
      </c>
      <c r="AF311" t="str">
        <f t="shared" si="102"/>
        <v>&lt;Valeur name="intitule"&gt;FRAIS E-VIR SEPA VERS EEE&lt;/Valeur&gt;</v>
      </c>
      <c r="AG311" t="str">
        <f t="shared" si="103"/>
        <v>&lt;Valeur name="description"&gt;&lt;/Valeur&gt;</v>
      </c>
      <c r="AH311" t="str">
        <f t="shared" si="104"/>
        <v>&lt;Valeur name="compte"&gt;18&lt;/Valeur&gt;</v>
      </c>
      <c r="AI311" t="str">
        <f t="shared" si="105"/>
        <v>&lt;Valeur name="solde"&gt;-10647.63&lt;/Valeur&gt;</v>
      </c>
      <c r="AJ311" t="str">
        <f t="shared" si="106"/>
        <v>&lt;Valeur name="ventiler"&gt;0&lt;/Valeur&gt;</v>
      </c>
      <c r="AK311" t="str">
        <f t="shared" si="107"/>
        <v>&lt;Valeur name="compta"&gt;1&lt;/Valeur&gt;</v>
      </c>
      <c r="AL311" t="str">
        <f t="shared" si="108"/>
        <v>&lt;Valeur name="valeur"&gt;0.21&lt;/Valeur&gt;</v>
      </c>
      <c r="AN311" t="str">
        <f t="shared" si="98"/>
        <v>&lt;Insert&gt;&lt;Valeur name="no"&gt;286&lt;/Valeur&gt;&lt;Valeur name="banque"&gt;1&lt;/Valeur&gt;&lt;Valeur name="pointer"&gt;1&lt;/Valeur&gt;&lt;Valeur name="idbanque"&gt;300760283626261100200EUR201905069227476000&lt;/Valeur&gt;&lt;Valeur name="datevaleur"&gt;2019/05/06&lt;/Valeur&gt;&lt;Valeur name="intitule"&gt;FRAIS E-VIR SEPA VERS EEE&lt;/Valeur&gt;&lt;Valeur name="description"&gt;&lt;/Valeur&gt;&lt;Valeur name="compte"&gt;18&lt;/Valeur&gt;&lt;Valeur name="solde"&gt;-10647.63&lt;/Valeur&gt;&lt;Valeur name="ventiler"&gt;0&lt;/Valeur&gt;&lt;Valeur name="compta"&gt;1&lt;/Valeur&gt;&lt;Valeur name="valeur"&gt;0.21&lt;/Valeur&gt;&lt;/Insert&gt;</v>
      </c>
    </row>
    <row r="312" spans="1:40" x14ac:dyDescent="0.25">
      <c r="A312" t="s">
        <v>737</v>
      </c>
      <c r="B312">
        <v>287</v>
      </c>
      <c r="C312" s="1">
        <v>43591</v>
      </c>
      <c r="D312">
        <v>1</v>
      </c>
      <c r="E312" t="str">
        <f>IF(F312&lt;&gt;"",INDEX(Balance!A:A,MATCH(F312,Balance!B:B,0)),"")</f>
        <v>Depense</v>
      </c>
      <c r="F312" t="s">
        <v>257</v>
      </c>
      <c r="G312" t="s">
        <v>31</v>
      </c>
      <c r="I312" s="10">
        <v>0.21</v>
      </c>
      <c r="K312" s="11">
        <f t="shared" si="114"/>
        <v>3.5000000000000003E-2</v>
      </c>
      <c r="L312" s="10">
        <f t="shared" si="115"/>
        <v>-10647.839999999989</v>
      </c>
      <c r="N312">
        <v>287</v>
      </c>
      <c r="O312">
        <v>1</v>
      </c>
      <c r="P312">
        <v>1</v>
      </c>
      <c r="Q312" t="str">
        <f t="shared" si="91"/>
        <v>300760283626261100200EUR201905069227476100</v>
      </c>
      <c r="R312" s="16" t="s">
        <v>935</v>
      </c>
      <c r="S312" t="str">
        <f t="shared" si="92"/>
        <v>FRAIS E-VIR SEPA VERS EEE</v>
      </c>
      <c r="U312">
        <f>IFERROR(VLOOKUP(F312,tab!A:B,2,FALSE),1)</f>
        <v>18</v>
      </c>
      <c r="V312" s="14">
        <f t="shared" si="93"/>
        <v>-10647.839999999989</v>
      </c>
      <c r="W312">
        <f t="shared" si="94"/>
        <v>0</v>
      </c>
      <c r="X312">
        <f t="shared" si="95"/>
        <v>1</v>
      </c>
      <c r="Y312" s="14">
        <f t="shared" si="96"/>
        <v>0.21</v>
      </c>
      <c r="AA312" t="str">
        <f t="shared" si="97"/>
        <v>&lt;Valeur name="no"&gt;287&lt;/Valeur&gt;</v>
      </c>
      <c r="AB312" t="str">
        <f t="shared" si="97"/>
        <v>&lt;Valeur name="banque"&gt;1&lt;/Valeur&gt;</v>
      </c>
      <c r="AC312" t="str">
        <f t="shared" si="99"/>
        <v>&lt;Valeur name="pointer"&gt;1&lt;/Valeur&gt;</v>
      </c>
      <c r="AD312" t="str">
        <f t="shared" si="100"/>
        <v>&lt;Valeur name="idbanque"&gt;300760283626261100200EUR201905069227476100&lt;/Valeur&gt;</v>
      </c>
      <c r="AE312" t="str">
        <f t="shared" si="101"/>
        <v>&lt;Valeur name="datevaleur"&gt;2019/05/06&lt;/Valeur&gt;</v>
      </c>
      <c r="AF312" t="str">
        <f t="shared" si="102"/>
        <v>&lt;Valeur name="intitule"&gt;FRAIS E-VIR SEPA VERS EEE&lt;/Valeur&gt;</v>
      </c>
      <c r="AG312" t="str">
        <f t="shared" si="103"/>
        <v>&lt;Valeur name="description"&gt;&lt;/Valeur&gt;</v>
      </c>
      <c r="AH312" t="str">
        <f t="shared" si="104"/>
        <v>&lt;Valeur name="compte"&gt;18&lt;/Valeur&gt;</v>
      </c>
      <c r="AI312" t="str">
        <f t="shared" si="105"/>
        <v>&lt;Valeur name="solde"&gt;-10647.84&lt;/Valeur&gt;</v>
      </c>
      <c r="AJ312" t="str">
        <f t="shared" si="106"/>
        <v>&lt;Valeur name="ventiler"&gt;0&lt;/Valeur&gt;</v>
      </c>
      <c r="AK312" t="str">
        <f t="shared" si="107"/>
        <v>&lt;Valeur name="compta"&gt;1&lt;/Valeur&gt;</v>
      </c>
      <c r="AL312" t="str">
        <f t="shared" si="108"/>
        <v>&lt;Valeur name="valeur"&gt;0.21&lt;/Valeur&gt;</v>
      </c>
      <c r="AN312" t="str">
        <f t="shared" si="98"/>
        <v>&lt;Insert&gt;&lt;Valeur name="no"&gt;287&lt;/Valeur&gt;&lt;Valeur name="banque"&gt;1&lt;/Valeur&gt;&lt;Valeur name="pointer"&gt;1&lt;/Valeur&gt;&lt;Valeur name="idbanque"&gt;300760283626261100200EUR201905069227476100&lt;/Valeur&gt;&lt;Valeur name="datevaleur"&gt;2019/05/06&lt;/Valeur&gt;&lt;Valeur name="intitule"&gt;FRAIS E-VIR SEPA VERS EEE&lt;/Valeur&gt;&lt;Valeur name="description"&gt;&lt;/Valeur&gt;&lt;Valeur name="compte"&gt;18&lt;/Valeur&gt;&lt;Valeur name="solde"&gt;-10647.84&lt;/Valeur&gt;&lt;Valeur name="ventiler"&gt;0&lt;/Valeur&gt;&lt;Valeur name="compta"&gt;1&lt;/Valeur&gt;&lt;Valeur name="valeur"&gt;0.21&lt;/Valeur&gt;&lt;/Insert&gt;</v>
      </c>
    </row>
    <row r="313" spans="1:40" x14ac:dyDescent="0.25">
      <c r="A313" t="s">
        <v>738</v>
      </c>
      <c r="B313">
        <v>288</v>
      </c>
      <c r="C313" s="1">
        <v>43591</v>
      </c>
      <c r="D313">
        <v>1</v>
      </c>
      <c r="E313" t="str">
        <f>IF(F313&lt;&gt;"",INDEX(Balance!A:A,MATCH(F313,Balance!B:B,0)),"")</f>
        <v>Depense</v>
      </c>
      <c r="F313" t="s">
        <v>257</v>
      </c>
      <c r="G313" t="s">
        <v>31</v>
      </c>
      <c r="I313" s="10">
        <v>0.21</v>
      </c>
      <c r="K313" s="11">
        <f t="shared" si="114"/>
        <v>3.5000000000000003E-2</v>
      </c>
      <c r="L313" s="10">
        <f t="shared" si="115"/>
        <v>-10648.049999999988</v>
      </c>
      <c r="N313">
        <v>288</v>
      </c>
      <c r="O313">
        <v>1</v>
      </c>
      <c r="P313">
        <v>1</v>
      </c>
      <c r="Q313" t="str">
        <f t="shared" si="91"/>
        <v>300760283626261100200EUR201905069227476200</v>
      </c>
      <c r="R313" s="16" t="s">
        <v>935</v>
      </c>
      <c r="S313" t="str">
        <f t="shared" si="92"/>
        <v>FRAIS E-VIR SEPA VERS EEE</v>
      </c>
      <c r="U313">
        <f>IFERROR(VLOOKUP(F313,tab!A:B,2,FALSE),1)</f>
        <v>18</v>
      </c>
      <c r="V313" s="14">
        <f t="shared" si="93"/>
        <v>-10648.049999999988</v>
      </c>
      <c r="W313">
        <f t="shared" si="94"/>
        <v>0</v>
      </c>
      <c r="X313">
        <f t="shared" si="95"/>
        <v>1</v>
      </c>
      <c r="Y313" s="14">
        <f t="shared" si="96"/>
        <v>0.21</v>
      </c>
      <c r="AA313" t="str">
        <f t="shared" si="97"/>
        <v>&lt;Valeur name="no"&gt;288&lt;/Valeur&gt;</v>
      </c>
      <c r="AB313" t="str">
        <f t="shared" si="97"/>
        <v>&lt;Valeur name="banque"&gt;1&lt;/Valeur&gt;</v>
      </c>
      <c r="AC313" t="str">
        <f t="shared" si="99"/>
        <v>&lt;Valeur name="pointer"&gt;1&lt;/Valeur&gt;</v>
      </c>
      <c r="AD313" t="str">
        <f t="shared" si="100"/>
        <v>&lt;Valeur name="idbanque"&gt;300760283626261100200EUR201905069227476200&lt;/Valeur&gt;</v>
      </c>
      <c r="AE313" t="str">
        <f t="shared" si="101"/>
        <v>&lt;Valeur name="datevaleur"&gt;2019/05/06&lt;/Valeur&gt;</v>
      </c>
      <c r="AF313" t="str">
        <f t="shared" si="102"/>
        <v>&lt;Valeur name="intitule"&gt;FRAIS E-VIR SEPA VERS EEE&lt;/Valeur&gt;</v>
      </c>
      <c r="AG313" t="str">
        <f t="shared" si="103"/>
        <v>&lt;Valeur name="description"&gt;&lt;/Valeur&gt;</v>
      </c>
      <c r="AH313" t="str">
        <f t="shared" si="104"/>
        <v>&lt;Valeur name="compte"&gt;18&lt;/Valeur&gt;</v>
      </c>
      <c r="AI313" t="str">
        <f t="shared" si="105"/>
        <v>&lt;Valeur name="solde"&gt;-10648.05&lt;/Valeur&gt;</v>
      </c>
      <c r="AJ313" t="str">
        <f t="shared" si="106"/>
        <v>&lt;Valeur name="ventiler"&gt;0&lt;/Valeur&gt;</v>
      </c>
      <c r="AK313" t="str">
        <f t="shared" si="107"/>
        <v>&lt;Valeur name="compta"&gt;1&lt;/Valeur&gt;</v>
      </c>
      <c r="AL313" t="str">
        <f t="shared" si="108"/>
        <v>&lt;Valeur name="valeur"&gt;0.21&lt;/Valeur&gt;</v>
      </c>
      <c r="AN313" t="str">
        <f t="shared" si="98"/>
        <v>&lt;Insert&gt;&lt;Valeur name="no"&gt;288&lt;/Valeur&gt;&lt;Valeur name="banque"&gt;1&lt;/Valeur&gt;&lt;Valeur name="pointer"&gt;1&lt;/Valeur&gt;&lt;Valeur name="idbanque"&gt;300760283626261100200EUR201905069227476200&lt;/Valeur&gt;&lt;Valeur name="datevaleur"&gt;2019/05/06&lt;/Valeur&gt;&lt;Valeur name="intitule"&gt;FRAIS E-VIR SEPA VERS EEE&lt;/Valeur&gt;&lt;Valeur name="description"&gt;&lt;/Valeur&gt;&lt;Valeur name="compte"&gt;18&lt;/Valeur&gt;&lt;Valeur name="solde"&gt;-10648.05&lt;/Valeur&gt;&lt;Valeur name="ventiler"&gt;0&lt;/Valeur&gt;&lt;Valeur name="compta"&gt;1&lt;/Valeur&gt;&lt;Valeur name="valeur"&gt;0.21&lt;/Valeur&gt;&lt;/Insert&gt;</v>
      </c>
    </row>
    <row r="314" spans="1:40" x14ac:dyDescent="0.25">
      <c r="A314" t="s">
        <v>739</v>
      </c>
      <c r="B314">
        <v>289</v>
      </c>
      <c r="C314" s="1">
        <v>43592</v>
      </c>
      <c r="E314" t="str">
        <f>IF(F314&lt;&gt;"",INDEX(Balance!A:A,MATCH(F314,Balance!B:B,0)),"")</f>
        <v/>
      </c>
      <c r="G314" t="s">
        <v>740</v>
      </c>
      <c r="I314" s="10">
        <v>273.58999999999997</v>
      </c>
      <c r="K314" s="11">
        <f t="shared" si="114"/>
        <v>45.598333333333329</v>
      </c>
      <c r="L314" s="10">
        <f t="shared" si="115"/>
        <v>-10921.639999999989</v>
      </c>
      <c r="N314">
        <v>289</v>
      </c>
      <c r="O314">
        <v>1</v>
      </c>
      <c r="P314">
        <v>1</v>
      </c>
      <c r="Q314" t="str">
        <f t="shared" si="91"/>
        <v>300760283626261100200EUR201905070910223500</v>
      </c>
      <c r="R314" s="16" t="s">
        <v>912</v>
      </c>
      <c r="S314" t="str">
        <f t="shared" si="92"/>
        <v>RELEVE LCR DU  290419  CONFORME</v>
      </c>
      <c r="U314">
        <f>IFERROR(VLOOKUP(F314,tab!A:B,2,FALSE),1)</f>
        <v>1</v>
      </c>
      <c r="V314" s="14">
        <f t="shared" si="93"/>
        <v>-10921.639999999989</v>
      </c>
      <c r="W314">
        <f t="shared" si="94"/>
        <v>0</v>
      </c>
      <c r="X314" t="str">
        <f t="shared" si="95"/>
        <v/>
      </c>
      <c r="Y314" s="14">
        <f t="shared" si="96"/>
        <v>273.58999999999997</v>
      </c>
      <c r="AA314" t="str">
        <f t="shared" si="97"/>
        <v>&lt;Valeur name="no"&gt;289&lt;/Valeur&gt;</v>
      </c>
      <c r="AB314" t="str">
        <f t="shared" si="97"/>
        <v>&lt;Valeur name="banque"&gt;1&lt;/Valeur&gt;</v>
      </c>
      <c r="AC314" t="str">
        <f t="shared" si="99"/>
        <v>&lt;Valeur name="pointer"&gt;1&lt;/Valeur&gt;</v>
      </c>
      <c r="AD314" t="str">
        <f t="shared" si="100"/>
        <v>&lt;Valeur name="idbanque"&gt;300760283626261100200EUR201905070910223500&lt;/Valeur&gt;</v>
      </c>
      <c r="AE314" t="str">
        <f t="shared" si="101"/>
        <v>&lt;Valeur name="datevaleur"&gt;2019/05/07&lt;/Valeur&gt;</v>
      </c>
      <c r="AF314" t="str">
        <f t="shared" si="102"/>
        <v>&lt;Valeur name="intitule"&gt;RELEVE LCR DU  290419  CONFORME&lt;/Valeur&gt;</v>
      </c>
      <c r="AG314" t="str">
        <f t="shared" si="103"/>
        <v>&lt;Valeur name="description"&gt;&lt;/Valeur&gt;</v>
      </c>
      <c r="AH314" t="str">
        <f t="shared" si="104"/>
        <v>&lt;Valeur name="compte"&gt;1&lt;/Valeur&gt;</v>
      </c>
      <c r="AI314" t="str">
        <f t="shared" si="105"/>
        <v>&lt;Valeur name="solde"&gt;-10921.64&lt;/Valeur&gt;</v>
      </c>
      <c r="AJ314" t="str">
        <f t="shared" si="106"/>
        <v>&lt;Valeur name="ventiler"&gt;0&lt;/Valeur&gt;</v>
      </c>
      <c r="AK314" t="str">
        <f t="shared" si="107"/>
        <v>&lt;Valeur name="compta"&gt;&lt;/Valeur&gt;</v>
      </c>
      <c r="AL314" t="str">
        <f t="shared" si="108"/>
        <v>&lt;Valeur name="valeur"&gt;273.59&lt;/Valeur&gt;</v>
      </c>
      <c r="AN314" t="str">
        <f t="shared" si="98"/>
        <v>&lt;Insert&gt;&lt;Valeur name="no"&gt;289&lt;/Valeur&gt;&lt;Valeur name="banque"&gt;1&lt;/Valeur&gt;&lt;Valeur name="pointer"&gt;1&lt;/Valeur&gt;&lt;Valeur name="idbanque"&gt;300760283626261100200EUR201905070910223500&lt;/Valeur&gt;&lt;Valeur name="datevaleur"&gt;2019/05/07&lt;/Valeur&gt;&lt;Valeur name="intitule"&gt;RELEVE LCR DU  290419  CONFORME&lt;/Valeur&gt;&lt;Valeur name="description"&gt;&lt;/Valeur&gt;&lt;Valeur name="compte"&gt;1&lt;/Valeur&gt;&lt;Valeur name="solde"&gt;-10921.64&lt;/Valeur&gt;&lt;Valeur name="ventiler"&gt;0&lt;/Valeur&gt;&lt;Valeur name="compta"&gt;&lt;/Valeur&gt;&lt;Valeur name="valeur"&gt;273.59&lt;/Valeur&gt;&lt;/Insert&gt;</v>
      </c>
    </row>
    <row r="315" spans="1:40" x14ac:dyDescent="0.25">
      <c r="A315" t="s">
        <v>741</v>
      </c>
      <c r="B315">
        <v>290</v>
      </c>
      <c r="C315" s="1">
        <v>43592</v>
      </c>
      <c r="D315">
        <v>1</v>
      </c>
      <c r="E315" t="str">
        <f>IF(F315&lt;&gt;"",INDEX(Balance!A:A,MATCH(F315,Balance!B:B,0)),"")</f>
        <v>Fournisseurs</v>
      </c>
      <c r="F315" t="s">
        <v>373</v>
      </c>
      <c r="G315" t="s">
        <v>742</v>
      </c>
      <c r="I315" s="10">
        <v>65.7</v>
      </c>
      <c r="K315" s="11">
        <f t="shared" si="114"/>
        <v>10.949999999999996</v>
      </c>
      <c r="L315" s="10">
        <f t="shared" si="115"/>
        <v>-10987.339999999989</v>
      </c>
      <c r="N315">
        <v>290</v>
      </c>
      <c r="O315">
        <v>1</v>
      </c>
      <c r="P315">
        <v>1</v>
      </c>
      <c r="Q315" t="str">
        <f t="shared" si="91"/>
        <v>300760283626261100200EUR201905071071661600</v>
      </c>
      <c r="R315" s="16" t="s">
        <v>912</v>
      </c>
      <c r="S315" t="str">
        <f t="shared" si="92"/>
        <v>CB 454106 BRICO DEPOT 59AULNOY L</v>
      </c>
      <c r="U315">
        <f>IFERROR(VLOOKUP(F315,tab!A:B,2,FALSE),1)</f>
        <v>38</v>
      </c>
      <c r="V315" s="14">
        <f t="shared" si="93"/>
        <v>-10987.339999999989</v>
      </c>
      <c r="W315">
        <f t="shared" si="94"/>
        <v>0</v>
      </c>
      <c r="X315">
        <f t="shared" si="95"/>
        <v>1</v>
      </c>
      <c r="Y315" s="14">
        <f t="shared" si="96"/>
        <v>65.7</v>
      </c>
      <c r="AA315" t="str">
        <f t="shared" si="97"/>
        <v>&lt;Valeur name="no"&gt;290&lt;/Valeur&gt;</v>
      </c>
      <c r="AB315" t="str">
        <f t="shared" si="97"/>
        <v>&lt;Valeur name="banque"&gt;1&lt;/Valeur&gt;</v>
      </c>
      <c r="AC315" t="str">
        <f t="shared" si="99"/>
        <v>&lt;Valeur name="pointer"&gt;1&lt;/Valeur&gt;</v>
      </c>
      <c r="AD315" t="str">
        <f t="shared" si="100"/>
        <v>&lt;Valeur name="idbanque"&gt;300760283626261100200EUR201905071071661600&lt;/Valeur&gt;</v>
      </c>
      <c r="AE315" t="str">
        <f t="shared" si="101"/>
        <v>&lt;Valeur name="datevaleur"&gt;2019/05/07&lt;/Valeur&gt;</v>
      </c>
      <c r="AF315" t="str">
        <f t="shared" si="102"/>
        <v>&lt;Valeur name="intitule"&gt;CB 454106 BRICO DEPOT 59AULNOY L&lt;/Valeur&gt;</v>
      </c>
      <c r="AG315" t="str">
        <f t="shared" si="103"/>
        <v>&lt;Valeur name="description"&gt;&lt;/Valeur&gt;</v>
      </c>
      <c r="AH315" t="str">
        <f t="shared" si="104"/>
        <v>&lt;Valeur name="compte"&gt;38&lt;/Valeur&gt;</v>
      </c>
      <c r="AI315" t="str">
        <f t="shared" si="105"/>
        <v>&lt;Valeur name="solde"&gt;-10987.34&lt;/Valeur&gt;</v>
      </c>
      <c r="AJ315" t="str">
        <f t="shared" si="106"/>
        <v>&lt;Valeur name="ventiler"&gt;0&lt;/Valeur&gt;</v>
      </c>
      <c r="AK315" t="str">
        <f t="shared" si="107"/>
        <v>&lt;Valeur name="compta"&gt;1&lt;/Valeur&gt;</v>
      </c>
      <c r="AL315" t="str">
        <f t="shared" si="108"/>
        <v>&lt;Valeur name="valeur"&gt;65.7&lt;/Valeur&gt;</v>
      </c>
      <c r="AN315" t="str">
        <f t="shared" si="98"/>
        <v>&lt;Insert&gt;&lt;Valeur name="no"&gt;290&lt;/Valeur&gt;&lt;Valeur name="banque"&gt;1&lt;/Valeur&gt;&lt;Valeur name="pointer"&gt;1&lt;/Valeur&gt;&lt;Valeur name="idbanque"&gt;300760283626261100200EUR201905071071661600&lt;/Valeur&gt;&lt;Valeur name="datevaleur"&gt;2019/05/07&lt;/Valeur&gt;&lt;Valeur name="intitule"&gt;CB 454106 BRICO DEPOT 59AULNOY L&lt;/Valeur&gt;&lt;Valeur name="description"&gt;&lt;/Valeur&gt;&lt;Valeur name="compte"&gt;38&lt;/Valeur&gt;&lt;Valeur name="solde"&gt;-10987.34&lt;/Valeur&gt;&lt;Valeur name="ventiler"&gt;0&lt;/Valeur&gt;&lt;Valeur name="compta"&gt;1&lt;/Valeur&gt;&lt;Valeur name="valeur"&gt;65.7&lt;/Valeur&gt;&lt;/Insert&gt;</v>
      </c>
    </row>
    <row r="316" spans="1:40" x14ac:dyDescent="0.25">
      <c r="A316" t="s">
        <v>743</v>
      </c>
      <c r="B316">
        <v>291</v>
      </c>
      <c r="C316" s="1">
        <v>43592</v>
      </c>
      <c r="D316">
        <v>1</v>
      </c>
      <c r="E316" t="str">
        <f>IF(F316&lt;&gt;"",INDEX(Balance!A:A,MATCH(F316,Balance!B:B,0)),"")</f>
        <v>Depense</v>
      </c>
      <c r="F316" t="s">
        <v>254</v>
      </c>
      <c r="G316" t="s">
        <v>7</v>
      </c>
      <c r="I316" s="10">
        <v>44.1</v>
      </c>
      <c r="K316" s="11">
        <f t="shared" si="114"/>
        <v>7.3500000000000014</v>
      </c>
      <c r="L316" s="10">
        <f t="shared" si="115"/>
        <v>-11031.43999999999</v>
      </c>
      <c r="N316">
        <v>291</v>
      </c>
      <c r="O316">
        <v>1</v>
      </c>
      <c r="P316">
        <v>1</v>
      </c>
      <c r="Q316" t="str">
        <f t="shared" si="91"/>
        <v>300760283626261100200EUR201905071079334700</v>
      </c>
      <c r="R316" s="16" t="s">
        <v>912</v>
      </c>
      <c r="S316" t="str">
        <f t="shared" si="92"/>
        <v>CB 454106 SNACK THIER 59BAVAY</v>
      </c>
      <c r="U316">
        <f>IFERROR(VLOOKUP(F316,tab!A:B,2,FALSE),1)</f>
        <v>27</v>
      </c>
      <c r="V316" s="14">
        <f t="shared" si="93"/>
        <v>-11031.43999999999</v>
      </c>
      <c r="W316">
        <f t="shared" si="94"/>
        <v>0</v>
      </c>
      <c r="X316">
        <f t="shared" si="95"/>
        <v>1</v>
      </c>
      <c r="Y316" s="14">
        <f t="shared" si="96"/>
        <v>44.1</v>
      </c>
      <c r="AA316" t="str">
        <f t="shared" si="97"/>
        <v>&lt;Valeur name="no"&gt;291&lt;/Valeur&gt;</v>
      </c>
      <c r="AB316" t="str">
        <f t="shared" si="97"/>
        <v>&lt;Valeur name="banque"&gt;1&lt;/Valeur&gt;</v>
      </c>
      <c r="AC316" t="str">
        <f t="shared" si="99"/>
        <v>&lt;Valeur name="pointer"&gt;1&lt;/Valeur&gt;</v>
      </c>
      <c r="AD316" t="str">
        <f t="shared" si="100"/>
        <v>&lt;Valeur name="idbanque"&gt;300760283626261100200EUR201905071079334700&lt;/Valeur&gt;</v>
      </c>
      <c r="AE316" t="str">
        <f t="shared" si="101"/>
        <v>&lt;Valeur name="datevaleur"&gt;2019/05/07&lt;/Valeur&gt;</v>
      </c>
      <c r="AF316" t="str">
        <f t="shared" si="102"/>
        <v>&lt;Valeur name="intitule"&gt;CB 454106 SNACK THIER 59BAVAY&lt;/Valeur&gt;</v>
      </c>
      <c r="AG316" t="str">
        <f t="shared" si="103"/>
        <v>&lt;Valeur name="description"&gt;&lt;/Valeur&gt;</v>
      </c>
      <c r="AH316" t="str">
        <f t="shared" si="104"/>
        <v>&lt;Valeur name="compte"&gt;27&lt;/Valeur&gt;</v>
      </c>
      <c r="AI316" t="str">
        <f t="shared" si="105"/>
        <v>&lt;Valeur name="solde"&gt;-11031.44&lt;/Valeur&gt;</v>
      </c>
      <c r="AJ316" t="str">
        <f t="shared" si="106"/>
        <v>&lt;Valeur name="ventiler"&gt;0&lt;/Valeur&gt;</v>
      </c>
      <c r="AK316" t="str">
        <f t="shared" si="107"/>
        <v>&lt;Valeur name="compta"&gt;1&lt;/Valeur&gt;</v>
      </c>
      <c r="AL316" t="str">
        <f t="shared" si="108"/>
        <v>&lt;Valeur name="valeur"&gt;44.1&lt;/Valeur&gt;</v>
      </c>
      <c r="AN316" t="str">
        <f t="shared" si="98"/>
        <v>&lt;Insert&gt;&lt;Valeur name="no"&gt;291&lt;/Valeur&gt;&lt;Valeur name="banque"&gt;1&lt;/Valeur&gt;&lt;Valeur name="pointer"&gt;1&lt;/Valeur&gt;&lt;Valeur name="idbanque"&gt;300760283626261100200EUR201905071079334700&lt;/Valeur&gt;&lt;Valeur name="datevaleur"&gt;2019/05/07&lt;/Valeur&gt;&lt;Valeur name="intitule"&gt;CB 454106 SNACK THIER 59BAVAY&lt;/Valeur&gt;&lt;Valeur name="description"&gt;&lt;/Valeur&gt;&lt;Valeur name="compte"&gt;27&lt;/Valeur&gt;&lt;Valeur name="solde"&gt;-11031.44&lt;/Valeur&gt;&lt;Valeur name="ventiler"&gt;0&lt;/Valeur&gt;&lt;Valeur name="compta"&gt;1&lt;/Valeur&gt;&lt;Valeur name="valeur"&gt;44.1&lt;/Valeur&gt;&lt;/Insert&gt;</v>
      </c>
    </row>
    <row r="317" spans="1:40" x14ac:dyDescent="0.25">
      <c r="A317" t="s">
        <v>744</v>
      </c>
      <c r="B317">
        <v>292</v>
      </c>
      <c r="C317" s="1">
        <v>43593</v>
      </c>
      <c r="E317" t="str">
        <f>IF(F317&lt;&gt;"",INDEX(Balance!A:A,MATCH(F317,Balance!B:B,0)),"")</f>
        <v/>
      </c>
      <c r="G317" t="s">
        <v>487</v>
      </c>
      <c r="J317" s="10">
        <v>1560</v>
      </c>
      <c r="K317" s="11">
        <f t="shared" si="114"/>
        <v>-260</v>
      </c>
      <c r="L317" s="10">
        <f t="shared" si="115"/>
        <v>-9471.4399999999896</v>
      </c>
      <c r="N317">
        <v>292</v>
      </c>
      <c r="O317">
        <v>1</v>
      </c>
      <c r="P317">
        <v>1</v>
      </c>
      <c r="Q317" t="str">
        <f t="shared" si="91"/>
        <v>300760283626261100200EUR201905086318739800</v>
      </c>
      <c r="R317" s="16" t="s">
        <v>981</v>
      </c>
      <c r="S317" t="str">
        <f t="shared" si="92"/>
        <v>VIR MOUCHIE CONCEPT BOIS</v>
      </c>
      <c r="U317">
        <f>IFERROR(VLOOKUP(F317,tab!A:B,2,FALSE),1)</f>
        <v>1</v>
      </c>
      <c r="V317" s="14">
        <f t="shared" si="93"/>
        <v>-9471.4399999999896</v>
      </c>
      <c r="W317">
        <f t="shared" si="94"/>
        <v>0</v>
      </c>
      <c r="X317" t="str">
        <f t="shared" si="95"/>
        <v/>
      </c>
      <c r="Y317" s="14">
        <f t="shared" si="96"/>
        <v>1560</v>
      </c>
      <c r="AA317" t="str">
        <f t="shared" si="97"/>
        <v>&lt;Valeur name="no"&gt;292&lt;/Valeur&gt;</v>
      </c>
      <c r="AB317" t="str">
        <f t="shared" si="97"/>
        <v>&lt;Valeur name="banque"&gt;1&lt;/Valeur&gt;</v>
      </c>
      <c r="AC317" t="str">
        <f t="shared" si="99"/>
        <v>&lt;Valeur name="pointer"&gt;1&lt;/Valeur&gt;</v>
      </c>
      <c r="AD317" t="str">
        <f t="shared" si="100"/>
        <v>&lt;Valeur name="idbanque"&gt;300760283626261100200EUR201905086318739800&lt;/Valeur&gt;</v>
      </c>
      <c r="AE317" t="str">
        <f t="shared" si="101"/>
        <v>&lt;Valeur name="datevaleur"&gt;2019/05/08&lt;/Valeur&gt;</v>
      </c>
      <c r="AF317" t="str">
        <f t="shared" si="102"/>
        <v>&lt;Valeur name="intitule"&gt;VIR MOUCHIE CONCEPT BOIS&lt;/Valeur&gt;</v>
      </c>
      <c r="AG317" t="str">
        <f t="shared" si="103"/>
        <v>&lt;Valeur name="description"&gt;&lt;/Valeur&gt;</v>
      </c>
      <c r="AH317" t="str">
        <f t="shared" si="104"/>
        <v>&lt;Valeur name="compte"&gt;1&lt;/Valeur&gt;</v>
      </c>
      <c r="AI317" t="str">
        <f t="shared" si="105"/>
        <v>&lt;Valeur name="solde"&gt;-9471.43999999999&lt;/Valeur&gt;</v>
      </c>
      <c r="AJ317" t="str">
        <f t="shared" si="106"/>
        <v>&lt;Valeur name="ventiler"&gt;0&lt;/Valeur&gt;</v>
      </c>
      <c r="AK317" t="str">
        <f t="shared" si="107"/>
        <v>&lt;Valeur name="compta"&gt;&lt;/Valeur&gt;</v>
      </c>
      <c r="AL317" t="str">
        <f t="shared" si="108"/>
        <v>&lt;Valeur name="valeur"&gt;1560&lt;/Valeur&gt;</v>
      </c>
      <c r="AN317" t="str">
        <f t="shared" si="98"/>
        <v>&lt;Insert&gt;&lt;Valeur name="no"&gt;292&lt;/Valeur&gt;&lt;Valeur name="banque"&gt;1&lt;/Valeur&gt;&lt;Valeur name="pointer"&gt;1&lt;/Valeur&gt;&lt;Valeur name="idbanque"&gt;300760283626261100200EUR201905086318739800&lt;/Valeur&gt;&lt;Valeur name="datevaleur"&gt;2019/05/08&lt;/Valeur&gt;&lt;Valeur name="intitule"&gt;VIR MOUCHIE CONCEPT BOIS&lt;/Valeur&gt;&lt;Valeur name="description"&gt;&lt;/Valeur&gt;&lt;Valeur name="compte"&gt;1&lt;/Valeur&gt;&lt;Valeur name="solde"&gt;-9471.43999999999&lt;/Valeur&gt;&lt;Valeur name="ventiler"&gt;0&lt;/Valeur&gt;&lt;Valeur name="compta"&gt;&lt;/Valeur&gt;&lt;Valeur name="valeur"&gt;1560&lt;/Valeur&gt;&lt;/Insert&gt;</v>
      </c>
    </row>
    <row r="318" spans="1:40" x14ac:dyDescent="0.25">
      <c r="A318" t="s">
        <v>745</v>
      </c>
      <c r="B318">
        <v>293</v>
      </c>
      <c r="C318" s="1">
        <v>43595</v>
      </c>
      <c r="E318" t="str">
        <f>IF(F318&lt;&gt;"",INDEX(Balance!A:A,MATCH(F318,Balance!B:B,0)),"")</f>
        <v/>
      </c>
      <c r="G318" t="s">
        <v>746</v>
      </c>
      <c r="I318" s="10">
        <v>13.33</v>
      </c>
      <c r="K318" s="11">
        <f t="shared" si="114"/>
        <v>2.2216666666666658</v>
      </c>
      <c r="L318" s="10">
        <f t="shared" si="115"/>
        <v>-9484.7699999999895</v>
      </c>
      <c r="N318">
        <v>293</v>
      </c>
      <c r="O318">
        <v>1</v>
      </c>
      <c r="P318">
        <v>1</v>
      </c>
      <c r="Q318" t="str">
        <f t="shared" si="91"/>
        <v>300760283626261100200EUR201905100910868900</v>
      </c>
      <c r="R318" s="16" t="s">
        <v>910</v>
      </c>
      <c r="S318" t="str">
        <f t="shared" si="92"/>
        <v>RELEVE LCR DU  030519  CONFORME</v>
      </c>
      <c r="U318">
        <f>IFERROR(VLOOKUP(F318,tab!A:B,2,FALSE),1)</f>
        <v>1</v>
      </c>
      <c r="V318" s="14">
        <f t="shared" si="93"/>
        <v>-9484.7699999999895</v>
      </c>
      <c r="W318">
        <f t="shared" si="94"/>
        <v>0</v>
      </c>
      <c r="X318" t="str">
        <f t="shared" si="95"/>
        <v/>
      </c>
      <c r="Y318" s="14">
        <f t="shared" si="96"/>
        <v>13.33</v>
      </c>
      <c r="AA318" t="str">
        <f t="shared" si="97"/>
        <v>&lt;Valeur name="no"&gt;293&lt;/Valeur&gt;</v>
      </c>
      <c r="AB318" t="str">
        <f t="shared" si="97"/>
        <v>&lt;Valeur name="banque"&gt;1&lt;/Valeur&gt;</v>
      </c>
      <c r="AC318" t="str">
        <f t="shared" si="99"/>
        <v>&lt;Valeur name="pointer"&gt;1&lt;/Valeur&gt;</v>
      </c>
      <c r="AD318" t="str">
        <f t="shared" si="100"/>
        <v>&lt;Valeur name="idbanque"&gt;300760283626261100200EUR201905100910868900&lt;/Valeur&gt;</v>
      </c>
      <c r="AE318" t="str">
        <f t="shared" si="101"/>
        <v>&lt;Valeur name="datevaleur"&gt;2019/05/10&lt;/Valeur&gt;</v>
      </c>
      <c r="AF318" t="str">
        <f t="shared" si="102"/>
        <v>&lt;Valeur name="intitule"&gt;RELEVE LCR DU  030519  CONFORME&lt;/Valeur&gt;</v>
      </c>
      <c r="AG318" t="str">
        <f t="shared" si="103"/>
        <v>&lt;Valeur name="description"&gt;&lt;/Valeur&gt;</v>
      </c>
      <c r="AH318" t="str">
        <f t="shared" si="104"/>
        <v>&lt;Valeur name="compte"&gt;1&lt;/Valeur&gt;</v>
      </c>
      <c r="AI318" t="str">
        <f t="shared" si="105"/>
        <v>&lt;Valeur name="solde"&gt;-9484.76999999999&lt;/Valeur&gt;</v>
      </c>
      <c r="AJ318" t="str">
        <f t="shared" si="106"/>
        <v>&lt;Valeur name="ventiler"&gt;0&lt;/Valeur&gt;</v>
      </c>
      <c r="AK318" t="str">
        <f t="shared" si="107"/>
        <v>&lt;Valeur name="compta"&gt;&lt;/Valeur&gt;</v>
      </c>
      <c r="AL318" t="str">
        <f t="shared" si="108"/>
        <v>&lt;Valeur name="valeur"&gt;13.33&lt;/Valeur&gt;</v>
      </c>
      <c r="AN318" t="str">
        <f t="shared" si="98"/>
        <v>&lt;Insert&gt;&lt;Valeur name="no"&gt;293&lt;/Valeur&gt;&lt;Valeur name="banque"&gt;1&lt;/Valeur&gt;&lt;Valeur name="pointer"&gt;1&lt;/Valeur&gt;&lt;Valeur name="idbanque"&gt;300760283626261100200EUR201905100910868900&lt;/Valeur&gt;&lt;Valeur name="datevaleur"&gt;2019/05/10&lt;/Valeur&gt;&lt;Valeur name="intitule"&gt;RELEVE LCR DU  030519  CONFORME&lt;/Valeur&gt;&lt;Valeur name="description"&gt;&lt;/Valeur&gt;&lt;Valeur name="compte"&gt;1&lt;/Valeur&gt;&lt;Valeur name="solde"&gt;-9484.76999999999&lt;/Valeur&gt;&lt;Valeur name="ventiler"&gt;0&lt;/Valeur&gt;&lt;Valeur name="compta"&gt;&lt;/Valeur&gt;&lt;Valeur name="valeur"&gt;13.33&lt;/Valeur&gt;&lt;/Insert&gt;</v>
      </c>
    </row>
    <row r="319" spans="1:40" x14ac:dyDescent="0.25">
      <c r="A319" t="s">
        <v>747</v>
      </c>
      <c r="B319">
        <v>294</v>
      </c>
      <c r="C319" s="1">
        <v>43595</v>
      </c>
      <c r="D319">
        <v>1</v>
      </c>
      <c r="E319" t="str">
        <f>IF(F319&lt;&gt;"",INDEX(Balance!A:A,MATCH(F319,Balance!B:B,0)),"")</f>
        <v>Depense</v>
      </c>
      <c r="F319" t="s">
        <v>254</v>
      </c>
      <c r="G319" t="s">
        <v>647</v>
      </c>
      <c r="I319" s="10">
        <v>21.8</v>
      </c>
      <c r="K319" s="11">
        <f t="shared" si="114"/>
        <v>3.6333333333333329</v>
      </c>
      <c r="L319" s="10">
        <f t="shared" si="115"/>
        <v>-9506.5699999999888</v>
      </c>
      <c r="N319">
        <v>294</v>
      </c>
      <c r="O319">
        <v>1</v>
      </c>
      <c r="P319">
        <v>1</v>
      </c>
      <c r="Q319" t="str">
        <f t="shared" si="91"/>
        <v>300760283626261100200EUR201905101076362100</v>
      </c>
      <c r="R319" s="16" t="s">
        <v>910</v>
      </c>
      <c r="S319" t="str">
        <f t="shared" si="92"/>
        <v>CB 454106 BOUL PROUVY 59PROUVY</v>
      </c>
      <c r="U319">
        <f>IFERROR(VLOOKUP(F319,tab!A:B,2,FALSE),1)</f>
        <v>27</v>
      </c>
      <c r="V319" s="14">
        <f t="shared" si="93"/>
        <v>-9506.5699999999888</v>
      </c>
      <c r="W319">
        <f t="shared" si="94"/>
        <v>0</v>
      </c>
      <c r="X319">
        <f t="shared" si="95"/>
        <v>1</v>
      </c>
      <c r="Y319" s="14">
        <f t="shared" si="96"/>
        <v>21.8</v>
      </c>
      <c r="AA319" t="str">
        <f t="shared" si="97"/>
        <v>&lt;Valeur name="no"&gt;294&lt;/Valeur&gt;</v>
      </c>
      <c r="AB319" t="str">
        <f t="shared" si="97"/>
        <v>&lt;Valeur name="banque"&gt;1&lt;/Valeur&gt;</v>
      </c>
      <c r="AC319" t="str">
        <f t="shared" si="99"/>
        <v>&lt;Valeur name="pointer"&gt;1&lt;/Valeur&gt;</v>
      </c>
      <c r="AD319" t="str">
        <f t="shared" si="100"/>
        <v>&lt;Valeur name="idbanque"&gt;300760283626261100200EUR201905101076362100&lt;/Valeur&gt;</v>
      </c>
      <c r="AE319" t="str">
        <f t="shared" si="101"/>
        <v>&lt;Valeur name="datevaleur"&gt;2019/05/10&lt;/Valeur&gt;</v>
      </c>
      <c r="AF319" t="str">
        <f t="shared" si="102"/>
        <v>&lt;Valeur name="intitule"&gt;CB 454106 BOUL PROUVY 59PROUVY&lt;/Valeur&gt;</v>
      </c>
      <c r="AG319" t="str">
        <f t="shared" si="103"/>
        <v>&lt;Valeur name="description"&gt;&lt;/Valeur&gt;</v>
      </c>
      <c r="AH319" t="str">
        <f t="shared" si="104"/>
        <v>&lt;Valeur name="compte"&gt;27&lt;/Valeur&gt;</v>
      </c>
      <c r="AI319" t="str">
        <f t="shared" si="105"/>
        <v>&lt;Valeur name="solde"&gt;-9506.56999999999&lt;/Valeur&gt;</v>
      </c>
      <c r="AJ319" t="str">
        <f t="shared" si="106"/>
        <v>&lt;Valeur name="ventiler"&gt;0&lt;/Valeur&gt;</v>
      </c>
      <c r="AK319" t="str">
        <f t="shared" si="107"/>
        <v>&lt;Valeur name="compta"&gt;1&lt;/Valeur&gt;</v>
      </c>
      <c r="AL319" t="str">
        <f t="shared" si="108"/>
        <v>&lt;Valeur name="valeur"&gt;21.8&lt;/Valeur&gt;</v>
      </c>
      <c r="AN319" t="str">
        <f t="shared" si="98"/>
        <v>&lt;Insert&gt;&lt;Valeur name="no"&gt;294&lt;/Valeur&gt;&lt;Valeur name="banque"&gt;1&lt;/Valeur&gt;&lt;Valeur name="pointer"&gt;1&lt;/Valeur&gt;&lt;Valeur name="idbanque"&gt;300760283626261100200EUR201905101076362100&lt;/Valeur&gt;&lt;Valeur name="datevaleur"&gt;2019/05/10&lt;/Valeur&gt;&lt;Valeur name="intitule"&gt;CB 454106 BOUL PROUVY 59PROUVY&lt;/Valeur&gt;&lt;Valeur name="description"&gt;&lt;/Valeur&gt;&lt;Valeur name="compte"&gt;27&lt;/Valeur&gt;&lt;Valeur name="solde"&gt;-9506.56999999999&lt;/Valeur&gt;&lt;Valeur name="ventiler"&gt;0&lt;/Valeur&gt;&lt;Valeur name="compta"&gt;1&lt;/Valeur&gt;&lt;Valeur name="valeur"&gt;21.8&lt;/Valeur&gt;&lt;/Insert&gt;</v>
      </c>
    </row>
    <row r="320" spans="1:40" x14ac:dyDescent="0.25">
      <c r="A320" t="s">
        <v>748</v>
      </c>
      <c r="B320">
        <v>295</v>
      </c>
      <c r="C320" s="1">
        <v>43595</v>
      </c>
      <c r="D320">
        <v>1</v>
      </c>
      <c r="E320" t="str">
        <f>IF(F320&lt;&gt;"",INDEX(Balance!A:A,MATCH(F320,Balance!B:B,0)),"")</f>
        <v>Depense</v>
      </c>
      <c r="F320" t="s">
        <v>257</v>
      </c>
      <c r="G320" t="s">
        <v>101</v>
      </c>
      <c r="I320" s="10">
        <v>1.6</v>
      </c>
      <c r="K320" s="11">
        <f t="shared" si="114"/>
        <v>0.26666666666666661</v>
      </c>
      <c r="L320" s="10">
        <f t="shared" si="115"/>
        <v>-9508.1699999999892</v>
      </c>
      <c r="N320">
        <v>295</v>
      </c>
      <c r="O320">
        <v>1</v>
      </c>
      <c r="P320">
        <v>1</v>
      </c>
      <c r="Q320" t="str">
        <f t="shared" si="91"/>
        <v>300760283626261100200EUR201905102330644800</v>
      </c>
      <c r="R320" s="16" t="s">
        <v>910</v>
      </c>
      <c r="S320" t="str">
        <f t="shared" si="92"/>
        <v>FRAIS VIR SEPA PERMANENT</v>
      </c>
      <c r="U320">
        <f>IFERROR(VLOOKUP(F320,tab!A:B,2,FALSE),1)</f>
        <v>18</v>
      </c>
      <c r="V320" s="14">
        <f t="shared" si="93"/>
        <v>-9508.1699999999892</v>
      </c>
      <c r="W320">
        <f t="shared" si="94"/>
        <v>0</v>
      </c>
      <c r="X320">
        <f t="shared" si="95"/>
        <v>1</v>
      </c>
      <c r="Y320" s="14">
        <f t="shared" si="96"/>
        <v>1.6</v>
      </c>
      <c r="AA320" t="str">
        <f t="shared" si="97"/>
        <v>&lt;Valeur name="no"&gt;295&lt;/Valeur&gt;</v>
      </c>
      <c r="AB320" t="str">
        <f t="shared" si="97"/>
        <v>&lt;Valeur name="banque"&gt;1&lt;/Valeur&gt;</v>
      </c>
      <c r="AC320" t="str">
        <f t="shared" si="99"/>
        <v>&lt;Valeur name="pointer"&gt;1&lt;/Valeur&gt;</v>
      </c>
      <c r="AD320" t="str">
        <f t="shared" si="100"/>
        <v>&lt;Valeur name="idbanque"&gt;300760283626261100200EUR201905102330644800&lt;/Valeur&gt;</v>
      </c>
      <c r="AE320" t="str">
        <f t="shared" si="101"/>
        <v>&lt;Valeur name="datevaleur"&gt;2019/05/10&lt;/Valeur&gt;</v>
      </c>
      <c r="AF320" t="str">
        <f t="shared" si="102"/>
        <v>&lt;Valeur name="intitule"&gt;FRAIS VIR SEPA PERMANENT&lt;/Valeur&gt;</v>
      </c>
      <c r="AG320" t="str">
        <f t="shared" si="103"/>
        <v>&lt;Valeur name="description"&gt;&lt;/Valeur&gt;</v>
      </c>
      <c r="AH320" t="str">
        <f t="shared" si="104"/>
        <v>&lt;Valeur name="compte"&gt;18&lt;/Valeur&gt;</v>
      </c>
      <c r="AI320" t="str">
        <f t="shared" si="105"/>
        <v>&lt;Valeur name="solde"&gt;-9508.16999999999&lt;/Valeur&gt;</v>
      </c>
      <c r="AJ320" t="str">
        <f t="shared" si="106"/>
        <v>&lt;Valeur name="ventiler"&gt;0&lt;/Valeur&gt;</v>
      </c>
      <c r="AK320" t="str">
        <f t="shared" si="107"/>
        <v>&lt;Valeur name="compta"&gt;1&lt;/Valeur&gt;</v>
      </c>
      <c r="AL320" t="str">
        <f t="shared" si="108"/>
        <v>&lt;Valeur name="valeur"&gt;1.6&lt;/Valeur&gt;</v>
      </c>
      <c r="AN320" t="str">
        <f t="shared" si="98"/>
        <v>&lt;Insert&gt;&lt;Valeur name="no"&gt;295&lt;/Valeur&gt;&lt;Valeur name="banque"&gt;1&lt;/Valeur&gt;&lt;Valeur name="pointer"&gt;1&lt;/Valeur&gt;&lt;Valeur name="idbanque"&gt;300760283626261100200EUR201905102330644800&lt;/Valeur&gt;&lt;Valeur name="datevaleur"&gt;2019/05/10&lt;/Valeur&gt;&lt;Valeur name="intitule"&gt;FRAIS VIR SEPA PERMANENT&lt;/Valeur&gt;&lt;Valeur name="description"&gt;&lt;/Valeur&gt;&lt;Valeur name="compte"&gt;18&lt;/Valeur&gt;&lt;Valeur name="solde"&gt;-9508.16999999999&lt;/Valeur&gt;&lt;Valeur name="ventiler"&gt;0&lt;/Valeur&gt;&lt;Valeur name="compta"&gt;1&lt;/Valeur&gt;&lt;Valeur name="valeur"&gt;1.6&lt;/Valeur&gt;&lt;/Insert&gt;</v>
      </c>
    </row>
    <row r="321" spans="1:40" x14ac:dyDescent="0.25">
      <c r="A321" t="s">
        <v>749</v>
      </c>
      <c r="B321">
        <v>296</v>
      </c>
      <c r="C321" s="1">
        <v>43595</v>
      </c>
      <c r="D321">
        <v>1</v>
      </c>
      <c r="E321" t="str">
        <f>IF(F321&lt;&gt;"",INDEX(Balance!A:A,MATCH(F321,Balance!B:B,0)),"")</f>
        <v>Depense</v>
      </c>
      <c r="F321" t="s">
        <v>255</v>
      </c>
      <c r="G321" t="s">
        <v>113</v>
      </c>
      <c r="I321" s="10">
        <v>1300</v>
      </c>
      <c r="K321" s="11">
        <f t="shared" si="114"/>
        <v>216.66666666666652</v>
      </c>
      <c r="L321" s="10">
        <f t="shared" si="115"/>
        <v>-10808.169999999989</v>
      </c>
      <c r="N321">
        <v>296</v>
      </c>
      <c r="O321">
        <v>1</v>
      </c>
      <c r="P321">
        <v>1</v>
      </c>
      <c r="Q321" t="str">
        <f t="shared" si="91"/>
        <v>300760283626261100200EUR201905102334719400</v>
      </c>
      <c r="R321" s="16" t="s">
        <v>910</v>
      </c>
      <c r="S321" t="str">
        <f t="shared" si="92"/>
        <v>VIR SEPA SCI LT DECO</v>
      </c>
      <c r="U321">
        <f>IFERROR(VLOOKUP(F321,tab!A:B,2,FALSE),1)</f>
        <v>20</v>
      </c>
      <c r="V321" s="14">
        <f t="shared" si="93"/>
        <v>-10808.169999999989</v>
      </c>
      <c r="W321">
        <f t="shared" si="94"/>
        <v>0</v>
      </c>
      <c r="X321">
        <f t="shared" si="95"/>
        <v>1</v>
      </c>
      <c r="Y321" s="14">
        <f t="shared" si="96"/>
        <v>1300</v>
      </c>
      <c r="AA321" t="str">
        <f t="shared" si="97"/>
        <v>&lt;Valeur name="no"&gt;296&lt;/Valeur&gt;</v>
      </c>
      <c r="AB321" t="str">
        <f t="shared" si="97"/>
        <v>&lt;Valeur name="banque"&gt;1&lt;/Valeur&gt;</v>
      </c>
      <c r="AC321" t="str">
        <f t="shared" si="99"/>
        <v>&lt;Valeur name="pointer"&gt;1&lt;/Valeur&gt;</v>
      </c>
      <c r="AD321" t="str">
        <f t="shared" si="100"/>
        <v>&lt;Valeur name="idbanque"&gt;300760283626261100200EUR201905102334719400&lt;/Valeur&gt;</v>
      </c>
      <c r="AE321" t="str">
        <f t="shared" si="101"/>
        <v>&lt;Valeur name="datevaleur"&gt;2019/05/10&lt;/Valeur&gt;</v>
      </c>
      <c r="AF321" t="str">
        <f t="shared" si="102"/>
        <v>&lt;Valeur name="intitule"&gt;VIR SEPA SCI LT DECO&lt;/Valeur&gt;</v>
      </c>
      <c r="AG321" t="str">
        <f t="shared" si="103"/>
        <v>&lt;Valeur name="description"&gt;&lt;/Valeur&gt;</v>
      </c>
      <c r="AH321" t="str">
        <f t="shared" si="104"/>
        <v>&lt;Valeur name="compte"&gt;20&lt;/Valeur&gt;</v>
      </c>
      <c r="AI321" t="str">
        <f t="shared" si="105"/>
        <v>&lt;Valeur name="solde"&gt;-10808.17&lt;/Valeur&gt;</v>
      </c>
      <c r="AJ321" t="str">
        <f t="shared" si="106"/>
        <v>&lt;Valeur name="ventiler"&gt;0&lt;/Valeur&gt;</v>
      </c>
      <c r="AK321" t="str">
        <f t="shared" si="107"/>
        <v>&lt;Valeur name="compta"&gt;1&lt;/Valeur&gt;</v>
      </c>
      <c r="AL321" t="str">
        <f t="shared" si="108"/>
        <v>&lt;Valeur name="valeur"&gt;1300&lt;/Valeur&gt;</v>
      </c>
      <c r="AN321" t="str">
        <f t="shared" si="98"/>
        <v>&lt;Insert&gt;&lt;Valeur name="no"&gt;296&lt;/Valeur&gt;&lt;Valeur name="banque"&gt;1&lt;/Valeur&gt;&lt;Valeur name="pointer"&gt;1&lt;/Valeur&gt;&lt;Valeur name="idbanque"&gt;300760283626261100200EUR201905102334719400&lt;/Valeur&gt;&lt;Valeur name="datevaleur"&gt;2019/05/10&lt;/Valeur&gt;&lt;Valeur name="intitule"&gt;VIR SEPA SCI LT DECO&lt;/Valeur&gt;&lt;Valeur name="description"&gt;&lt;/Valeur&gt;&lt;Valeur name="compte"&gt;20&lt;/Valeur&gt;&lt;Valeur name="solde"&gt;-10808.17&lt;/Valeur&gt;&lt;Valeur name="ventiler"&gt;0&lt;/Valeur&gt;&lt;Valeur name="compta"&gt;1&lt;/Valeur&gt;&lt;Valeur name="valeur"&gt;1300&lt;/Valeur&gt;&lt;/Insert&gt;</v>
      </c>
    </row>
    <row r="322" spans="1:40" x14ac:dyDescent="0.25">
      <c r="A322" t="s">
        <v>750</v>
      </c>
      <c r="B322">
        <v>297</v>
      </c>
      <c r="C322" s="1">
        <v>43595</v>
      </c>
      <c r="D322">
        <v>1</v>
      </c>
      <c r="E322" t="str">
        <f>IF(F322&lt;&gt;"",INDEX(Balance!A:A,MATCH(F322,Balance!B:B,0)),"")</f>
        <v>Depense</v>
      </c>
      <c r="F322" t="s">
        <v>380</v>
      </c>
      <c r="G322" t="s">
        <v>107</v>
      </c>
      <c r="I322" s="10">
        <v>380</v>
      </c>
      <c r="K322" s="11">
        <f t="shared" si="114"/>
        <v>63.333333333333314</v>
      </c>
      <c r="L322" s="10">
        <f t="shared" si="115"/>
        <v>-11188.169999999989</v>
      </c>
      <c r="N322">
        <v>297</v>
      </c>
      <c r="O322">
        <v>1</v>
      </c>
      <c r="P322">
        <v>1</v>
      </c>
      <c r="Q322" t="str">
        <f t="shared" si="91"/>
        <v>300760283626261100200EUR201905105810418800</v>
      </c>
      <c r="R322" s="16" t="s">
        <v>910</v>
      </c>
      <c r="S322" t="str">
        <f t="shared" si="92"/>
        <v>02836 262611 0138 00FIN DE PRET:</v>
      </c>
      <c r="U322">
        <f>IFERROR(VLOOKUP(F322,tab!A:B,2,FALSE),1)</f>
        <v>24</v>
      </c>
      <c r="V322" s="14">
        <f t="shared" si="93"/>
        <v>-11188.169999999989</v>
      </c>
      <c r="W322">
        <f t="shared" si="94"/>
        <v>0</v>
      </c>
      <c r="X322">
        <f t="shared" si="95"/>
        <v>1</v>
      </c>
      <c r="Y322" s="14">
        <f t="shared" si="96"/>
        <v>380</v>
      </c>
      <c r="AA322" t="str">
        <f t="shared" si="97"/>
        <v>&lt;Valeur name="no"&gt;297&lt;/Valeur&gt;</v>
      </c>
      <c r="AB322" t="str">
        <f t="shared" si="97"/>
        <v>&lt;Valeur name="banque"&gt;1&lt;/Valeur&gt;</v>
      </c>
      <c r="AC322" t="str">
        <f t="shared" si="99"/>
        <v>&lt;Valeur name="pointer"&gt;1&lt;/Valeur&gt;</v>
      </c>
      <c r="AD322" t="str">
        <f t="shared" si="100"/>
        <v>&lt;Valeur name="idbanque"&gt;300760283626261100200EUR201905105810418800&lt;/Valeur&gt;</v>
      </c>
      <c r="AE322" t="str">
        <f t="shared" si="101"/>
        <v>&lt;Valeur name="datevaleur"&gt;2019/05/10&lt;/Valeur&gt;</v>
      </c>
      <c r="AF322" t="str">
        <f t="shared" si="102"/>
        <v>&lt;Valeur name="intitule"&gt;02836 262611 0138 00FIN DE PRET:&lt;/Valeur&gt;</v>
      </c>
      <c r="AG322" t="str">
        <f t="shared" si="103"/>
        <v>&lt;Valeur name="description"&gt;&lt;/Valeur&gt;</v>
      </c>
      <c r="AH322" t="str">
        <f t="shared" si="104"/>
        <v>&lt;Valeur name="compte"&gt;24&lt;/Valeur&gt;</v>
      </c>
      <c r="AI322" t="str">
        <f t="shared" si="105"/>
        <v>&lt;Valeur name="solde"&gt;-11188.17&lt;/Valeur&gt;</v>
      </c>
      <c r="AJ322" t="str">
        <f t="shared" si="106"/>
        <v>&lt;Valeur name="ventiler"&gt;0&lt;/Valeur&gt;</v>
      </c>
      <c r="AK322" t="str">
        <f t="shared" si="107"/>
        <v>&lt;Valeur name="compta"&gt;1&lt;/Valeur&gt;</v>
      </c>
      <c r="AL322" t="str">
        <f t="shared" si="108"/>
        <v>&lt;Valeur name="valeur"&gt;380&lt;/Valeur&gt;</v>
      </c>
      <c r="AN322" t="str">
        <f t="shared" si="98"/>
        <v>&lt;Insert&gt;&lt;Valeur name="no"&gt;297&lt;/Valeur&gt;&lt;Valeur name="banque"&gt;1&lt;/Valeur&gt;&lt;Valeur name="pointer"&gt;1&lt;/Valeur&gt;&lt;Valeur name="idbanque"&gt;300760283626261100200EUR201905105810418800&lt;/Valeur&gt;&lt;Valeur name="datevaleur"&gt;2019/05/10&lt;/Valeur&gt;&lt;Valeur name="intitule"&gt;02836 262611 0138 00FIN DE PRET:&lt;/Valeur&gt;&lt;Valeur name="description"&gt;&lt;/Valeur&gt;&lt;Valeur name="compte"&gt;24&lt;/Valeur&gt;&lt;Valeur name="solde"&gt;-11188.17&lt;/Valeur&gt;&lt;Valeur name="ventiler"&gt;0&lt;/Valeur&gt;&lt;Valeur name="compta"&gt;1&lt;/Valeur&gt;&lt;Valeur name="valeur"&gt;380&lt;/Valeur&gt;&lt;/Insert&gt;</v>
      </c>
    </row>
    <row r="323" spans="1:40" x14ac:dyDescent="0.25">
      <c r="A323" t="s">
        <v>751</v>
      </c>
      <c r="B323">
        <v>298</v>
      </c>
      <c r="C323" s="1">
        <v>43595</v>
      </c>
      <c r="D323">
        <v>1</v>
      </c>
      <c r="E323" t="str">
        <f>IF(F323&lt;&gt;"",INDEX(Balance!A:A,MATCH(F323,Balance!B:B,0)),"")</f>
        <v>Depense</v>
      </c>
      <c r="F323" t="s">
        <v>381</v>
      </c>
      <c r="G323" t="s">
        <v>103</v>
      </c>
      <c r="I323" s="10">
        <v>237.15</v>
      </c>
      <c r="K323" s="11">
        <f t="shared" si="114"/>
        <v>39.525000000000006</v>
      </c>
      <c r="L323" s="10">
        <f t="shared" si="115"/>
        <v>-11425.319999999989</v>
      </c>
      <c r="N323">
        <v>298</v>
      </c>
      <c r="O323">
        <v>1</v>
      </c>
      <c r="P323">
        <v>1</v>
      </c>
      <c r="Q323" t="str">
        <f t="shared" ref="Q323:Q359" si="116">A323</f>
        <v>300760283626261100200EUR201905105810419000</v>
      </c>
      <c r="R323" s="16" t="s">
        <v>910</v>
      </c>
      <c r="S323" t="str">
        <f t="shared" ref="S323:S359" si="117">G323&amp;IF(ISBLANK(H323),""," / "&amp;H323)</f>
        <v>02836 262611 0138 01FIN DE PRET:</v>
      </c>
      <c r="U323">
        <f>IFERROR(VLOOKUP(F323,tab!A:B,2,FALSE),1)</f>
        <v>22</v>
      </c>
      <c r="V323" s="14">
        <f t="shared" ref="V323:V359" si="118">L323</f>
        <v>-11425.319999999989</v>
      </c>
      <c r="W323">
        <f t="shared" ref="W323:W358" si="119">IF(ISBLANK(A324),1,0)</f>
        <v>0</v>
      </c>
      <c r="X323">
        <f t="shared" ref="X323:X359" si="120">IF(D323=1,1,"")</f>
        <v>1</v>
      </c>
      <c r="Y323" s="14">
        <f t="shared" ref="Y323:Y359" si="121">SUM(I323:J323)</f>
        <v>237.15</v>
      </c>
      <c r="AA323" t="str">
        <f t="shared" ref="AA323:AB359" si="122">IF(ISBLANK($N323),"",N$1&amp;N323&amp;"&lt;/Valeur&gt;")</f>
        <v>&lt;Valeur name="no"&gt;298&lt;/Valeur&gt;</v>
      </c>
      <c r="AB323" t="str">
        <f t="shared" si="122"/>
        <v>&lt;Valeur name="banque"&gt;1&lt;/Valeur&gt;</v>
      </c>
      <c r="AC323" t="str">
        <f t="shared" si="99"/>
        <v>&lt;Valeur name="pointer"&gt;1&lt;/Valeur&gt;</v>
      </c>
      <c r="AD323" t="str">
        <f t="shared" si="100"/>
        <v>&lt;Valeur name="idbanque"&gt;300760283626261100200EUR201905105810419000&lt;/Valeur&gt;</v>
      </c>
      <c r="AE323" t="str">
        <f t="shared" si="101"/>
        <v>&lt;Valeur name="datevaleur"&gt;2019/05/10&lt;/Valeur&gt;</v>
      </c>
      <c r="AF323" t="str">
        <f t="shared" si="102"/>
        <v>&lt;Valeur name="intitule"&gt;02836 262611 0138 01FIN DE PRET:&lt;/Valeur&gt;</v>
      </c>
      <c r="AG323" t="str">
        <f t="shared" si="103"/>
        <v>&lt;Valeur name="description"&gt;&lt;/Valeur&gt;</v>
      </c>
      <c r="AH323" t="str">
        <f t="shared" si="104"/>
        <v>&lt;Valeur name="compte"&gt;22&lt;/Valeur&gt;</v>
      </c>
      <c r="AI323" t="str">
        <f t="shared" si="105"/>
        <v>&lt;Valeur name="solde"&gt;-11425.32&lt;/Valeur&gt;</v>
      </c>
      <c r="AJ323" t="str">
        <f t="shared" si="106"/>
        <v>&lt;Valeur name="ventiler"&gt;0&lt;/Valeur&gt;</v>
      </c>
      <c r="AK323" t="str">
        <f t="shared" si="107"/>
        <v>&lt;Valeur name="compta"&gt;1&lt;/Valeur&gt;</v>
      </c>
      <c r="AL323" t="str">
        <f t="shared" si="108"/>
        <v>&lt;Valeur name="valeur"&gt;237.15&lt;/Valeur&gt;</v>
      </c>
      <c r="AN323" t="str">
        <f t="shared" ref="AN323:AN359" si="123">IF(ISBLANK(N323),"",CONCATENATE("&lt;Insert&gt;",AA323,AB323,AC323,AD323,AE323,AF323,AG323,AH323,AI323,AJ323,AK323,AL323,"&lt;/Insert&gt;"))</f>
        <v>&lt;Insert&gt;&lt;Valeur name="no"&gt;298&lt;/Valeur&gt;&lt;Valeur name="banque"&gt;1&lt;/Valeur&gt;&lt;Valeur name="pointer"&gt;1&lt;/Valeur&gt;&lt;Valeur name="idbanque"&gt;300760283626261100200EUR201905105810419000&lt;/Valeur&gt;&lt;Valeur name="datevaleur"&gt;2019/05/10&lt;/Valeur&gt;&lt;Valeur name="intitule"&gt;02836 262611 0138 01FIN DE PRET:&lt;/Valeur&gt;&lt;Valeur name="description"&gt;&lt;/Valeur&gt;&lt;Valeur name="compte"&gt;22&lt;/Valeur&gt;&lt;Valeur name="solde"&gt;-11425.32&lt;/Valeur&gt;&lt;Valeur name="ventiler"&gt;0&lt;/Valeur&gt;&lt;Valeur name="compta"&gt;1&lt;/Valeur&gt;&lt;Valeur name="valeur"&gt;237.15&lt;/Valeur&gt;&lt;/Insert&gt;</v>
      </c>
    </row>
    <row r="324" spans="1:40" x14ac:dyDescent="0.25">
      <c r="A324" t="s">
        <v>752</v>
      </c>
      <c r="B324">
        <v>299</v>
      </c>
      <c r="C324" s="1">
        <v>43595</v>
      </c>
      <c r="D324">
        <v>1</v>
      </c>
      <c r="E324" t="str">
        <f>IF(F324&lt;&gt;"",INDEX(Balance!A:A,MATCH(F324,Balance!B:B,0)),"")</f>
        <v>Depense</v>
      </c>
      <c r="F324" t="s">
        <v>382</v>
      </c>
      <c r="G324" t="s">
        <v>753</v>
      </c>
      <c r="I324" s="10">
        <v>260</v>
      </c>
      <c r="K324" s="11">
        <f t="shared" si="114"/>
        <v>43.333333333333314</v>
      </c>
      <c r="L324" s="10">
        <f t="shared" si="115"/>
        <v>-11685.319999999989</v>
      </c>
      <c r="N324">
        <v>299</v>
      </c>
      <c r="O324">
        <v>1</v>
      </c>
      <c r="P324">
        <v>1</v>
      </c>
      <c r="Q324" t="str">
        <f t="shared" si="116"/>
        <v>300760283626261100200EUR201905105813200100</v>
      </c>
      <c r="R324" s="16" t="s">
        <v>910</v>
      </c>
      <c r="S324" t="str">
        <f t="shared" si="117"/>
        <v>02836 262611 0104 00  6 542,70 E</v>
      </c>
      <c r="U324">
        <f>IFERROR(VLOOKUP(F324,tab!A:B,2,FALSE),1)</f>
        <v>23</v>
      </c>
      <c r="V324" s="14">
        <f t="shared" si="118"/>
        <v>-11685.319999999989</v>
      </c>
      <c r="W324">
        <f t="shared" si="119"/>
        <v>0</v>
      </c>
      <c r="X324">
        <f t="shared" si="120"/>
        <v>1</v>
      </c>
      <c r="Y324" s="14">
        <f t="shared" si="121"/>
        <v>260</v>
      </c>
      <c r="AA324" t="str">
        <f t="shared" si="122"/>
        <v>&lt;Valeur name="no"&gt;299&lt;/Valeur&gt;</v>
      </c>
      <c r="AB324" t="str">
        <f t="shared" si="122"/>
        <v>&lt;Valeur name="banque"&gt;1&lt;/Valeur&gt;</v>
      </c>
      <c r="AC324" t="str">
        <f t="shared" si="99"/>
        <v>&lt;Valeur name="pointer"&gt;1&lt;/Valeur&gt;</v>
      </c>
      <c r="AD324" t="str">
        <f t="shared" si="100"/>
        <v>&lt;Valeur name="idbanque"&gt;300760283626261100200EUR201905105813200100&lt;/Valeur&gt;</v>
      </c>
      <c r="AE324" t="str">
        <f t="shared" si="101"/>
        <v>&lt;Valeur name="datevaleur"&gt;2019/05/10&lt;/Valeur&gt;</v>
      </c>
      <c r="AF324" t="str">
        <f t="shared" si="102"/>
        <v>&lt;Valeur name="intitule"&gt;02836 262611 0104 00  6 542,70 E&lt;/Valeur&gt;</v>
      </c>
      <c r="AG324" t="str">
        <f t="shared" si="103"/>
        <v>&lt;Valeur name="description"&gt;&lt;/Valeur&gt;</v>
      </c>
      <c r="AH324" t="str">
        <f t="shared" si="104"/>
        <v>&lt;Valeur name="compte"&gt;23&lt;/Valeur&gt;</v>
      </c>
      <c r="AI324" t="str">
        <f t="shared" si="105"/>
        <v>&lt;Valeur name="solde"&gt;-11685.32&lt;/Valeur&gt;</v>
      </c>
      <c r="AJ324" t="str">
        <f t="shared" si="106"/>
        <v>&lt;Valeur name="ventiler"&gt;0&lt;/Valeur&gt;</v>
      </c>
      <c r="AK324" t="str">
        <f t="shared" si="107"/>
        <v>&lt;Valeur name="compta"&gt;1&lt;/Valeur&gt;</v>
      </c>
      <c r="AL324" t="str">
        <f t="shared" si="108"/>
        <v>&lt;Valeur name="valeur"&gt;260&lt;/Valeur&gt;</v>
      </c>
      <c r="AN324" t="str">
        <f t="shared" si="123"/>
        <v>&lt;Insert&gt;&lt;Valeur name="no"&gt;299&lt;/Valeur&gt;&lt;Valeur name="banque"&gt;1&lt;/Valeur&gt;&lt;Valeur name="pointer"&gt;1&lt;/Valeur&gt;&lt;Valeur name="idbanque"&gt;300760283626261100200EUR201905105813200100&lt;/Valeur&gt;&lt;Valeur name="datevaleur"&gt;2019/05/10&lt;/Valeur&gt;&lt;Valeur name="intitule"&gt;02836 262611 0104 00  6 542,70 E&lt;/Valeur&gt;&lt;Valeur name="description"&gt;&lt;/Valeur&gt;&lt;Valeur name="compte"&gt;23&lt;/Valeur&gt;&lt;Valeur name="solde"&gt;-11685.32&lt;/Valeur&gt;&lt;Valeur name="ventiler"&gt;0&lt;/Valeur&gt;&lt;Valeur name="compta"&gt;1&lt;/Valeur&gt;&lt;Valeur name="valeur"&gt;260&lt;/Valeur&gt;&lt;/Insert&gt;</v>
      </c>
    </row>
    <row r="325" spans="1:40" x14ac:dyDescent="0.25">
      <c r="A325" t="s">
        <v>754</v>
      </c>
      <c r="B325">
        <v>300</v>
      </c>
      <c r="C325" s="1">
        <v>43598</v>
      </c>
      <c r="E325" t="str">
        <f>IF(F325&lt;&gt;"",INDEX(Balance!A:A,MATCH(F325,Balance!B:B,0)),"")</f>
        <v/>
      </c>
      <c r="G325" t="s">
        <v>755</v>
      </c>
      <c r="I325" s="10">
        <v>1235.3</v>
      </c>
      <c r="K325" s="11">
        <f t="shared" si="114"/>
        <v>205.88333333333321</v>
      </c>
      <c r="L325" s="10">
        <f t="shared" si="115"/>
        <v>-12920.619999999988</v>
      </c>
      <c r="N325">
        <v>300</v>
      </c>
      <c r="O325">
        <v>1</v>
      </c>
      <c r="P325">
        <v>1</v>
      </c>
      <c r="Q325" t="str">
        <f t="shared" si="116"/>
        <v>300760283626261100200EUR201905130910436400</v>
      </c>
      <c r="R325" s="16" t="s">
        <v>913</v>
      </c>
      <c r="S325" t="str">
        <f t="shared" si="117"/>
        <v>RELEVE LCR DU  060519  CONFORME</v>
      </c>
      <c r="U325">
        <f>IFERROR(VLOOKUP(F325,tab!A:B,2,FALSE),1)</f>
        <v>1</v>
      </c>
      <c r="V325" s="14">
        <f t="shared" si="118"/>
        <v>-12920.619999999988</v>
      </c>
      <c r="W325">
        <f t="shared" si="119"/>
        <v>0</v>
      </c>
      <c r="X325" t="str">
        <f t="shared" si="120"/>
        <v/>
      </c>
      <c r="Y325" s="14">
        <f t="shared" si="121"/>
        <v>1235.3</v>
      </c>
      <c r="AA325" t="str">
        <f t="shared" si="122"/>
        <v>&lt;Valeur name="no"&gt;300&lt;/Valeur&gt;</v>
      </c>
      <c r="AB325" t="str">
        <f t="shared" si="122"/>
        <v>&lt;Valeur name="banque"&gt;1&lt;/Valeur&gt;</v>
      </c>
      <c r="AC325" t="str">
        <f t="shared" si="99"/>
        <v>&lt;Valeur name="pointer"&gt;1&lt;/Valeur&gt;</v>
      </c>
      <c r="AD325" t="str">
        <f t="shared" si="100"/>
        <v>&lt;Valeur name="idbanque"&gt;300760283626261100200EUR201905130910436400&lt;/Valeur&gt;</v>
      </c>
      <c r="AE325" t="str">
        <f t="shared" si="101"/>
        <v>&lt;Valeur name="datevaleur"&gt;2019/05/13&lt;/Valeur&gt;</v>
      </c>
      <c r="AF325" t="str">
        <f t="shared" si="102"/>
        <v>&lt;Valeur name="intitule"&gt;RELEVE LCR DU  060519  CONFORME&lt;/Valeur&gt;</v>
      </c>
      <c r="AG325" t="str">
        <f t="shared" si="103"/>
        <v>&lt;Valeur name="description"&gt;&lt;/Valeur&gt;</v>
      </c>
      <c r="AH325" t="str">
        <f t="shared" si="104"/>
        <v>&lt;Valeur name="compte"&gt;1&lt;/Valeur&gt;</v>
      </c>
      <c r="AI325" t="str">
        <f t="shared" si="105"/>
        <v>&lt;Valeur name="solde"&gt;-12920.62&lt;/Valeur&gt;</v>
      </c>
      <c r="AJ325" t="str">
        <f t="shared" si="106"/>
        <v>&lt;Valeur name="ventiler"&gt;0&lt;/Valeur&gt;</v>
      </c>
      <c r="AK325" t="str">
        <f t="shared" si="107"/>
        <v>&lt;Valeur name="compta"&gt;&lt;/Valeur&gt;</v>
      </c>
      <c r="AL325" t="str">
        <f t="shared" si="108"/>
        <v>&lt;Valeur name="valeur"&gt;1235.3&lt;/Valeur&gt;</v>
      </c>
      <c r="AN325" t="str">
        <f t="shared" si="123"/>
        <v>&lt;Insert&gt;&lt;Valeur name="no"&gt;300&lt;/Valeur&gt;&lt;Valeur name="banque"&gt;1&lt;/Valeur&gt;&lt;Valeur name="pointer"&gt;1&lt;/Valeur&gt;&lt;Valeur name="idbanque"&gt;300760283626261100200EUR201905130910436400&lt;/Valeur&gt;&lt;Valeur name="datevaleur"&gt;2019/05/13&lt;/Valeur&gt;&lt;Valeur name="intitule"&gt;RELEVE LCR DU  060519  CONFORME&lt;/Valeur&gt;&lt;Valeur name="description"&gt;&lt;/Valeur&gt;&lt;Valeur name="compte"&gt;1&lt;/Valeur&gt;&lt;Valeur name="solde"&gt;-12920.62&lt;/Valeur&gt;&lt;Valeur name="ventiler"&gt;0&lt;/Valeur&gt;&lt;Valeur name="compta"&gt;&lt;/Valeur&gt;&lt;Valeur name="valeur"&gt;1235.3&lt;/Valeur&gt;&lt;/Insert&gt;</v>
      </c>
    </row>
    <row r="326" spans="1:40" x14ac:dyDescent="0.25">
      <c r="A326" t="s">
        <v>756</v>
      </c>
      <c r="B326">
        <v>301</v>
      </c>
      <c r="C326" s="1">
        <v>43598</v>
      </c>
      <c r="D326">
        <v>1</v>
      </c>
      <c r="E326" t="str">
        <f>IF(F326&lt;&gt;"",INDEX(Balance!A:A,MATCH(F326,Balance!B:B,0)),"")</f>
        <v>Depense</v>
      </c>
      <c r="F326" t="s">
        <v>253</v>
      </c>
      <c r="G326" t="s">
        <v>142</v>
      </c>
      <c r="I326" s="10">
        <v>70.2</v>
      </c>
      <c r="K326" s="11">
        <f t="shared" si="114"/>
        <v>11.699999999999996</v>
      </c>
      <c r="L326" s="10">
        <f t="shared" si="115"/>
        <v>-12990.819999999989</v>
      </c>
      <c r="N326">
        <v>301</v>
      </c>
      <c r="O326">
        <v>1</v>
      </c>
      <c r="P326">
        <v>1</v>
      </c>
      <c r="Q326" t="str">
        <f t="shared" si="116"/>
        <v>300760283626261100200EUR201905131078301500</v>
      </c>
      <c r="R326" s="16" t="s">
        <v>913</v>
      </c>
      <c r="S326" t="str">
        <f t="shared" si="117"/>
        <v>CB 454106 DAC SM MATC 59BAVAY</v>
      </c>
      <c r="U326">
        <f>IFERROR(VLOOKUP(F326,tab!A:B,2,FALSE),1)</f>
        <v>13</v>
      </c>
      <c r="V326" s="14">
        <f t="shared" si="118"/>
        <v>-12990.819999999989</v>
      </c>
      <c r="W326">
        <f t="shared" si="119"/>
        <v>0</v>
      </c>
      <c r="X326">
        <f t="shared" si="120"/>
        <v>1</v>
      </c>
      <c r="Y326" s="14">
        <f t="shared" si="121"/>
        <v>70.2</v>
      </c>
      <c r="AA326" t="str">
        <f t="shared" si="122"/>
        <v>&lt;Valeur name="no"&gt;301&lt;/Valeur&gt;</v>
      </c>
      <c r="AB326" t="str">
        <f t="shared" si="122"/>
        <v>&lt;Valeur name="banque"&gt;1&lt;/Valeur&gt;</v>
      </c>
      <c r="AC326" t="str">
        <f t="shared" si="99"/>
        <v>&lt;Valeur name="pointer"&gt;1&lt;/Valeur&gt;</v>
      </c>
      <c r="AD326" t="str">
        <f t="shared" si="100"/>
        <v>&lt;Valeur name="idbanque"&gt;300760283626261100200EUR201905131078301500&lt;/Valeur&gt;</v>
      </c>
      <c r="AE326" t="str">
        <f t="shared" si="101"/>
        <v>&lt;Valeur name="datevaleur"&gt;2019/05/13&lt;/Valeur&gt;</v>
      </c>
      <c r="AF326" t="str">
        <f t="shared" si="102"/>
        <v>&lt;Valeur name="intitule"&gt;CB 454106 DAC SM MATC 59BAVAY&lt;/Valeur&gt;</v>
      </c>
      <c r="AG326" t="str">
        <f t="shared" si="103"/>
        <v>&lt;Valeur name="description"&gt;&lt;/Valeur&gt;</v>
      </c>
      <c r="AH326" t="str">
        <f t="shared" si="104"/>
        <v>&lt;Valeur name="compte"&gt;13&lt;/Valeur&gt;</v>
      </c>
      <c r="AI326" t="str">
        <f t="shared" si="105"/>
        <v>&lt;Valeur name="solde"&gt;-12990.82&lt;/Valeur&gt;</v>
      </c>
      <c r="AJ326" t="str">
        <f t="shared" si="106"/>
        <v>&lt;Valeur name="ventiler"&gt;0&lt;/Valeur&gt;</v>
      </c>
      <c r="AK326" t="str">
        <f t="shared" si="107"/>
        <v>&lt;Valeur name="compta"&gt;1&lt;/Valeur&gt;</v>
      </c>
      <c r="AL326" t="str">
        <f t="shared" si="108"/>
        <v>&lt;Valeur name="valeur"&gt;70.2&lt;/Valeur&gt;</v>
      </c>
      <c r="AN326" t="str">
        <f t="shared" si="123"/>
        <v>&lt;Insert&gt;&lt;Valeur name="no"&gt;301&lt;/Valeur&gt;&lt;Valeur name="banque"&gt;1&lt;/Valeur&gt;&lt;Valeur name="pointer"&gt;1&lt;/Valeur&gt;&lt;Valeur name="idbanque"&gt;300760283626261100200EUR201905131078301500&lt;/Valeur&gt;&lt;Valeur name="datevaleur"&gt;2019/05/13&lt;/Valeur&gt;&lt;Valeur name="intitule"&gt;CB 454106 DAC SM MATC 59BAVAY&lt;/Valeur&gt;&lt;Valeur name="description"&gt;&lt;/Valeur&gt;&lt;Valeur name="compte"&gt;13&lt;/Valeur&gt;&lt;Valeur name="solde"&gt;-12990.82&lt;/Valeur&gt;&lt;Valeur name="ventiler"&gt;0&lt;/Valeur&gt;&lt;Valeur name="compta"&gt;1&lt;/Valeur&gt;&lt;Valeur name="valeur"&gt;70.2&lt;/Valeur&gt;&lt;/Insert&gt;</v>
      </c>
    </row>
    <row r="327" spans="1:40" x14ac:dyDescent="0.25">
      <c r="A327" t="s">
        <v>757</v>
      </c>
      <c r="B327">
        <v>302</v>
      </c>
      <c r="C327" s="1">
        <v>43598</v>
      </c>
      <c r="D327">
        <v>1</v>
      </c>
      <c r="E327" t="str">
        <f>IF(F327&lt;&gt;"",INDEX(Balance!A:A,MATCH(F327,Balance!B:B,0)),"")</f>
        <v>Depense</v>
      </c>
      <c r="F327" t="s">
        <v>253</v>
      </c>
      <c r="G327" t="s">
        <v>758</v>
      </c>
      <c r="I327" s="10">
        <v>86.29</v>
      </c>
      <c r="K327" s="11">
        <f t="shared" si="114"/>
        <v>14.381666666666661</v>
      </c>
      <c r="L327" s="10">
        <f t="shared" si="115"/>
        <v>-13077.10999999999</v>
      </c>
      <c r="N327">
        <v>302</v>
      </c>
      <c r="O327">
        <v>1</v>
      </c>
      <c r="P327">
        <v>1</v>
      </c>
      <c r="Q327" t="str">
        <f t="shared" si="116"/>
        <v>300760283626261100200EUR201905131078301600</v>
      </c>
      <c r="R327" s="16" t="s">
        <v>913</v>
      </c>
      <c r="S327" t="str">
        <f t="shared" si="117"/>
        <v>CB 548222 ESSO QUERCI 59LE QUESN</v>
      </c>
      <c r="U327">
        <f>IFERROR(VLOOKUP(F327,tab!A:B,2,FALSE),1)</f>
        <v>13</v>
      </c>
      <c r="V327" s="14">
        <f t="shared" si="118"/>
        <v>-13077.10999999999</v>
      </c>
      <c r="W327">
        <f t="shared" si="119"/>
        <v>0</v>
      </c>
      <c r="X327">
        <f t="shared" si="120"/>
        <v>1</v>
      </c>
      <c r="Y327" s="14">
        <f t="shared" si="121"/>
        <v>86.29</v>
      </c>
      <c r="AA327" t="str">
        <f t="shared" si="122"/>
        <v>&lt;Valeur name="no"&gt;302&lt;/Valeur&gt;</v>
      </c>
      <c r="AB327" t="str">
        <f t="shared" si="122"/>
        <v>&lt;Valeur name="banque"&gt;1&lt;/Valeur&gt;</v>
      </c>
      <c r="AC327" t="str">
        <f t="shared" si="99"/>
        <v>&lt;Valeur name="pointer"&gt;1&lt;/Valeur&gt;</v>
      </c>
      <c r="AD327" t="str">
        <f t="shared" si="100"/>
        <v>&lt;Valeur name="idbanque"&gt;300760283626261100200EUR201905131078301600&lt;/Valeur&gt;</v>
      </c>
      <c r="AE327" t="str">
        <f t="shared" si="101"/>
        <v>&lt;Valeur name="datevaleur"&gt;2019/05/13&lt;/Valeur&gt;</v>
      </c>
      <c r="AF327" t="str">
        <f t="shared" si="102"/>
        <v>&lt;Valeur name="intitule"&gt;CB 548222 ESSO QUERCI 59LE QUESN&lt;/Valeur&gt;</v>
      </c>
      <c r="AG327" t="str">
        <f t="shared" si="103"/>
        <v>&lt;Valeur name="description"&gt;&lt;/Valeur&gt;</v>
      </c>
      <c r="AH327" t="str">
        <f t="shared" si="104"/>
        <v>&lt;Valeur name="compte"&gt;13&lt;/Valeur&gt;</v>
      </c>
      <c r="AI327" t="str">
        <f t="shared" si="105"/>
        <v>&lt;Valeur name="solde"&gt;-13077.11&lt;/Valeur&gt;</v>
      </c>
      <c r="AJ327" t="str">
        <f t="shared" si="106"/>
        <v>&lt;Valeur name="ventiler"&gt;0&lt;/Valeur&gt;</v>
      </c>
      <c r="AK327" t="str">
        <f t="shared" si="107"/>
        <v>&lt;Valeur name="compta"&gt;1&lt;/Valeur&gt;</v>
      </c>
      <c r="AL327" t="str">
        <f t="shared" si="108"/>
        <v>&lt;Valeur name="valeur"&gt;86.29&lt;/Valeur&gt;</v>
      </c>
      <c r="AN327" t="str">
        <f t="shared" si="123"/>
        <v>&lt;Insert&gt;&lt;Valeur name="no"&gt;302&lt;/Valeur&gt;&lt;Valeur name="banque"&gt;1&lt;/Valeur&gt;&lt;Valeur name="pointer"&gt;1&lt;/Valeur&gt;&lt;Valeur name="idbanque"&gt;300760283626261100200EUR201905131078301600&lt;/Valeur&gt;&lt;Valeur name="datevaleur"&gt;2019/05/13&lt;/Valeur&gt;&lt;Valeur name="intitule"&gt;CB 548222 ESSO QUERCI 59LE QUESN&lt;/Valeur&gt;&lt;Valeur name="description"&gt;&lt;/Valeur&gt;&lt;Valeur name="compte"&gt;13&lt;/Valeur&gt;&lt;Valeur name="solde"&gt;-13077.11&lt;/Valeur&gt;&lt;Valeur name="ventiler"&gt;0&lt;/Valeur&gt;&lt;Valeur name="compta"&gt;1&lt;/Valeur&gt;&lt;Valeur name="valeur"&gt;86.29&lt;/Valeur&gt;&lt;/Insert&gt;</v>
      </c>
    </row>
    <row r="328" spans="1:40" x14ac:dyDescent="0.25">
      <c r="A328" t="s">
        <v>759</v>
      </c>
      <c r="B328">
        <v>303</v>
      </c>
      <c r="C328" s="1">
        <v>43598</v>
      </c>
      <c r="D328">
        <v>1</v>
      </c>
      <c r="E328" t="str">
        <f>IF(F328&lt;&gt;"",INDEX(Balance!A:A,MATCH(F328,Balance!B:B,0)),"")</f>
        <v>Depense</v>
      </c>
      <c r="F328" t="s">
        <v>254</v>
      </c>
      <c r="G328" t="s">
        <v>760</v>
      </c>
      <c r="I328" s="10">
        <v>49.3</v>
      </c>
      <c r="K328" s="11">
        <f t="shared" si="114"/>
        <v>8.2166666666666615</v>
      </c>
      <c r="L328" s="10">
        <f t="shared" si="115"/>
        <v>-13126.409999999989</v>
      </c>
      <c r="N328">
        <v>303</v>
      </c>
      <c r="O328">
        <v>1</v>
      </c>
      <c r="P328">
        <v>1</v>
      </c>
      <c r="Q328" t="str">
        <f t="shared" si="116"/>
        <v>300760283626261100200EUR201905131078301700</v>
      </c>
      <c r="R328" s="16" t="s">
        <v>913</v>
      </c>
      <c r="S328" t="str">
        <f t="shared" si="117"/>
        <v>CB 454106 CHEZ AHMED  59LE QUESN</v>
      </c>
      <c r="U328">
        <f>IFERROR(VLOOKUP(F328,tab!A:B,2,FALSE),1)</f>
        <v>27</v>
      </c>
      <c r="V328" s="14">
        <f t="shared" si="118"/>
        <v>-13126.409999999989</v>
      </c>
      <c r="W328">
        <f t="shared" si="119"/>
        <v>0</v>
      </c>
      <c r="X328">
        <f t="shared" si="120"/>
        <v>1</v>
      </c>
      <c r="Y328" s="14">
        <f t="shared" si="121"/>
        <v>49.3</v>
      </c>
      <c r="AA328" t="str">
        <f t="shared" si="122"/>
        <v>&lt;Valeur name="no"&gt;303&lt;/Valeur&gt;</v>
      </c>
      <c r="AB328" t="str">
        <f t="shared" si="122"/>
        <v>&lt;Valeur name="banque"&gt;1&lt;/Valeur&gt;</v>
      </c>
      <c r="AC328" t="str">
        <f t="shared" si="99"/>
        <v>&lt;Valeur name="pointer"&gt;1&lt;/Valeur&gt;</v>
      </c>
      <c r="AD328" t="str">
        <f t="shared" si="100"/>
        <v>&lt;Valeur name="idbanque"&gt;300760283626261100200EUR201905131078301700&lt;/Valeur&gt;</v>
      </c>
      <c r="AE328" t="str">
        <f t="shared" si="101"/>
        <v>&lt;Valeur name="datevaleur"&gt;2019/05/13&lt;/Valeur&gt;</v>
      </c>
      <c r="AF328" t="str">
        <f t="shared" si="102"/>
        <v>&lt;Valeur name="intitule"&gt;CB 454106 CHEZ AHMED  59LE QUESN&lt;/Valeur&gt;</v>
      </c>
      <c r="AG328" t="str">
        <f t="shared" si="103"/>
        <v>&lt;Valeur name="description"&gt;&lt;/Valeur&gt;</v>
      </c>
      <c r="AH328" t="str">
        <f t="shared" si="104"/>
        <v>&lt;Valeur name="compte"&gt;27&lt;/Valeur&gt;</v>
      </c>
      <c r="AI328" t="str">
        <f t="shared" si="105"/>
        <v>&lt;Valeur name="solde"&gt;-13126.41&lt;/Valeur&gt;</v>
      </c>
      <c r="AJ328" t="str">
        <f t="shared" si="106"/>
        <v>&lt;Valeur name="ventiler"&gt;0&lt;/Valeur&gt;</v>
      </c>
      <c r="AK328" t="str">
        <f t="shared" si="107"/>
        <v>&lt;Valeur name="compta"&gt;1&lt;/Valeur&gt;</v>
      </c>
      <c r="AL328" t="str">
        <f t="shared" si="108"/>
        <v>&lt;Valeur name="valeur"&gt;49.3&lt;/Valeur&gt;</v>
      </c>
      <c r="AN328" t="str">
        <f t="shared" si="123"/>
        <v>&lt;Insert&gt;&lt;Valeur name="no"&gt;303&lt;/Valeur&gt;&lt;Valeur name="banque"&gt;1&lt;/Valeur&gt;&lt;Valeur name="pointer"&gt;1&lt;/Valeur&gt;&lt;Valeur name="idbanque"&gt;300760283626261100200EUR201905131078301700&lt;/Valeur&gt;&lt;Valeur name="datevaleur"&gt;2019/05/13&lt;/Valeur&gt;&lt;Valeur name="intitule"&gt;CB 454106 CHEZ AHMED  59LE QUESN&lt;/Valeur&gt;&lt;Valeur name="description"&gt;&lt;/Valeur&gt;&lt;Valeur name="compte"&gt;27&lt;/Valeur&gt;&lt;Valeur name="solde"&gt;-13126.41&lt;/Valeur&gt;&lt;Valeur name="ventiler"&gt;0&lt;/Valeur&gt;&lt;Valeur name="compta"&gt;1&lt;/Valeur&gt;&lt;Valeur name="valeur"&gt;49.3&lt;/Valeur&gt;&lt;/Insert&gt;</v>
      </c>
    </row>
    <row r="329" spans="1:40" x14ac:dyDescent="0.25">
      <c r="A329" t="s">
        <v>761</v>
      </c>
      <c r="B329">
        <v>304</v>
      </c>
      <c r="C329" s="1">
        <v>43599</v>
      </c>
      <c r="D329">
        <v>1</v>
      </c>
      <c r="E329" t="str">
        <f>IF(F329&lt;&gt;"",INDEX(Balance!A:A,MATCH(F329,Balance!B:B,0)),"")</f>
        <v>Depense</v>
      </c>
      <c r="F329" t="s">
        <v>256</v>
      </c>
      <c r="G329" t="s">
        <v>762</v>
      </c>
      <c r="I329" s="10">
        <v>1676.08</v>
      </c>
      <c r="K329" s="11">
        <f t="shared" si="114"/>
        <v>279.34666666666658</v>
      </c>
      <c r="L329" s="10">
        <f t="shared" si="115"/>
        <v>-14802.489999999989</v>
      </c>
      <c r="N329">
        <v>304</v>
      </c>
      <c r="O329">
        <v>1</v>
      </c>
      <c r="P329">
        <v>1</v>
      </c>
      <c r="Q329" t="str">
        <f t="shared" si="116"/>
        <v>300760283626261100200EUR201905140292621300</v>
      </c>
      <c r="R329" s="16" t="s">
        <v>982</v>
      </c>
      <c r="S329" t="str">
        <f t="shared" si="117"/>
        <v>E-VIR SEPA Salaire Alex 04/2019</v>
      </c>
      <c r="U329">
        <f>IFERROR(VLOOKUP(F329,tab!A:B,2,FALSE),1)</f>
        <v>28</v>
      </c>
      <c r="V329" s="14">
        <f t="shared" si="118"/>
        <v>-14802.489999999989</v>
      </c>
      <c r="W329">
        <f t="shared" si="119"/>
        <v>0</v>
      </c>
      <c r="X329">
        <f t="shared" si="120"/>
        <v>1</v>
      </c>
      <c r="Y329" s="14">
        <f t="shared" si="121"/>
        <v>1676.08</v>
      </c>
      <c r="AA329" t="str">
        <f t="shared" si="122"/>
        <v>&lt;Valeur name="no"&gt;304&lt;/Valeur&gt;</v>
      </c>
      <c r="AB329" t="str">
        <f t="shared" si="122"/>
        <v>&lt;Valeur name="banque"&gt;1&lt;/Valeur&gt;</v>
      </c>
      <c r="AC329" t="str">
        <f t="shared" si="99"/>
        <v>&lt;Valeur name="pointer"&gt;1&lt;/Valeur&gt;</v>
      </c>
      <c r="AD329" t="str">
        <f t="shared" si="100"/>
        <v>&lt;Valeur name="idbanque"&gt;300760283626261100200EUR201905140292621300&lt;/Valeur&gt;</v>
      </c>
      <c r="AE329" t="str">
        <f t="shared" si="101"/>
        <v>&lt;Valeur name="datevaleur"&gt;2019/05/14&lt;/Valeur&gt;</v>
      </c>
      <c r="AF329" t="str">
        <f t="shared" si="102"/>
        <v>&lt;Valeur name="intitule"&gt;E-VIR SEPA Salaire Alex 04/2019&lt;/Valeur&gt;</v>
      </c>
      <c r="AG329" t="str">
        <f t="shared" si="103"/>
        <v>&lt;Valeur name="description"&gt;&lt;/Valeur&gt;</v>
      </c>
      <c r="AH329" t="str">
        <f t="shared" si="104"/>
        <v>&lt;Valeur name="compte"&gt;28&lt;/Valeur&gt;</v>
      </c>
      <c r="AI329" t="str">
        <f t="shared" si="105"/>
        <v>&lt;Valeur name="solde"&gt;-14802.49&lt;/Valeur&gt;</v>
      </c>
      <c r="AJ329" t="str">
        <f t="shared" si="106"/>
        <v>&lt;Valeur name="ventiler"&gt;0&lt;/Valeur&gt;</v>
      </c>
      <c r="AK329" t="str">
        <f t="shared" si="107"/>
        <v>&lt;Valeur name="compta"&gt;1&lt;/Valeur&gt;</v>
      </c>
      <c r="AL329" t="str">
        <f t="shared" si="108"/>
        <v>&lt;Valeur name="valeur"&gt;1676.08&lt;/Valeur&gt;</v>
      </c>
      <c r="AN329" t="str">
        <f t="shared" si="123"/>
        <v>&lt;Insert&gt;&lt;Valeur name="no"&gt;304&lt;/Valeur&gt;&lt;Valeur name="banque"&gt;1&lt;/Valeur&gt;&lt;Valeur name="pointer"&gt;1&lt;/Valeur&gt;&lt;Valeur name="idbanque"&gt;300760283626261100200EUR201905140292621300&lt;/Valeur&gt;&lt;Valeur name="datevaleur"&gt;2019/05/14&lt;/Valeur&gt;&lt;Valeur name="intitule"&gt;E-VIR SEPA Salaire Alex 04/2019&lt;/Valeur&gt;&lt;Valeur name="description"&gt;&lt;/Valeur&gt;&lt;Valeur name="compte"&gt;28&lt;/Valeur&gt;&lt;Valeur name="solde"&gt;-14802.49&lt;/Valeur&gt;&lt;Valeur name="ventiler"&gt;0&lt;/Valeur&gt;&lt;Valeur name="compta"&gt;1&lt;/Valeur&gt;&lt;Valeur name="valeur"&gt;1676.08&lt;/Valeur&gt;&lt;/Insert&gt;</v>
      </c>
    </row>
    <row r="330" spans="1:40" x14ac:dyDescent="0.25">
      <c r="A330" t="s">
        <v>763</v>
      </c>
      <c r="B330">
        <v>305</v>
      </c>
      <c r="C330" s="1">
        <v>43599</v>
      </c>
      <c r="D330">
        <v>1</v>
      </c>
      <c r="E330" t="str">
        <f>IF(F330&lt;&gt;"",INDEX(Balance!A:A,MATCH(F330,Balance!B:B,0)),"")</f>
        <v>Depense</v>
      </c>
      <c r="F330" t="s">
        <v>256</v>
      </c>
      <c r="G330" t="s">
        <v>764</v>
      </c>
      <c r="I330" s="10">
        <v>1081.58</v>
      </c>
      <c r="K330" s="11">
        <f t="shared" si="114"/>
        <v>180.26333333333332</v>
      </c>
      <c r="L330" s="10">
        <f t="shared" si="115"/>
        <v>-15884.069999999989</v>
      </c>
      <c r="N330">
        <v>305</v>
      </c>
      <c r="O330">
        <v>1</v>
      </c>
      <c r="P330">
        <v>1</v>
      </c>
      <c r="Q330" t="str">
        <f t="shared" si="116"/>
        <v>300760283626261100200EUR201905140292621400</v>
      </c>
      <c r="R330" s="16" t="s">
        <v>982</v>
      </c>
      <c r="S330" t="str">
        <f t="shared" si="117"/>
        <v>E-VIR SEPA Salaire Etienne 04/20</v>
      </c>
      <c r="U330">
        <f>IFERROR(VLOOKUP(F330,tab!A:B,2,FALSE),1)</f>
        <v>28</v>
      </c>
      <c r="V330" s="14">
        <f t="shared" si="118"/>
        <v>-15884.069999999989</v>
      </c>
      <c r="W330">
        <f t="shared" si="119"/>
        <v>0</v>
      </c>
      <c r="X330">
        <f t="shared" si="120"/>
        <v>1</v>
      </c>
      <c r="Y330" s="14">
        <f t="shared" si="121"/>
        <v>1081.58</v>
      </c>
      <c r="AA330" t="str">
        <f t="shared" si="122"/>
        <v>&lt;Valeur name="no"&gt;305&lt;/Valeur&gt;</v>
      </c>
      <c r="AB330" t="str">
        <f t="shared" si="122"/>
        <v>&lt;Valeur name="banque"&gt;1&lt;/Valeur&gt;</v>
      </c>
      <c r="AC330" t="str">
        <f t="shared" si="99"/>
        <v>&lt;Valeur name="pointer"&gt;1&lt;/Valeur&gt;</v>
      </c>
      <c r="AD330" t="str">
        <f t="shared" si="100"/>
        <v>&lt;Valeur name="idbanque"&gt;300760283626261100200EUR201905140292621400&lt;/Valeur&gt;</v>
      </c>
      <c r="AE330" t="str">
        <f t="shared" si="101"/>
        <v>&lt;Valeur name="datevaleur"&gt;2019/05/14&lt;/Valeur&gt;</v>
      </c>
      <c r="AF330" t="str">
        <f t="shared" si="102"/>
        <v>&lt;Valeur name="intitule"&gt;E-VIR SEPA Salaire Etienne 04/20&lt;/Valeur&gt;</v>
      </c>
      <c r="AG330" t="str">
        <f t="shared" si="103"/>
        <v>&lt;Valeur name="description"&gt;&lt;/Valeur&gt;</v>
      </c>
      <c r="AH330" t="str">
        <f t="shared" si="104"/>
        <v>&lt;Valeur name="compte"&gt;28&lt;/Valeur&gt;</v>
      </c>
      <c r="AI330" t="str">
        <f t="shared" si="105"/>
        <v>&lt;Valeur name="solde"&gt;-15884.07&lt;/Valeur&gt;</v>
      </c>
      <c r="AJ330" t="str">
        <f t="shared" si="106"/>
        <v>&lt;Valeur name="ventiler"&gt;0&lt;/Valeur&gt;</v>
      </c>
      <c r="AK330" t="str">
        <f t="shared" si="107"/>
        <v>&lt;Valeur name="compta"&gt;1&lt;/Valeur&gt;</v>
      </c>
      <c r="AL330" t="str">
        <f t="shared" si="108"/>
        <v>&lt;Valeur name="valeur"&gt;1081.58&lt;/Valeur&gt;</v>
      </c>
      <c r="AN330" t="str">
        <f t="shared" si="123"/>
        <v>&lt;Insert&gt;&lt;Valeur name="no"&gt;305&lt;/Valeur&gt;&lt;Valeur name="banque"&gt;1&lt;/Valeur&gt;&lt;Valeur name="pointer"&gt;1&lt;/Valeur&gt;&lt;Valeur name="idbanque"&gt;300760283626261100200EUR201905140292621400&lt;/Valeur&gt;&lt;Valeur name="datevaleur"&gt;2019/05/14&lt;/Valeur&gt;&lt;Valeur name="intitule"&gt;E-VIR SEPA Salaire Etienne 04/20&lt;/Valeur&gt;&lt;Valeur name="description"&gt;&lt;/Valeur&gt;&lt;Valeur name="compte"&gt;28&lt;/Valeur&gt;&lt;Valeur name="solde"&gt;-15884.07&lt;/Valeur&gt;&lt;Valeur name="ventiler"&gt;0&lt;/Valeur&gt;&lt;Valeur name="compta"&gt;1&lt;/Valeur&gt;&lt;Valeur name="valeur"&gt;1081.58&lt;/Valeur&gt;&lt;/Insert&gt;</v>
      </c>
    </row>
    <row r="331" spans="1:40" x14ac:dyDescent="0.25">
      <c r="A331" t="s">
        <v>765</v>
      </c>
      <c r="B331">
        <v>306</v>
      </c>
      <c r="C331" s="1">
        <v>43599</v>
      </c>
      <c r="D331">
        <v>1</v>
      </c>
      <c r="E331" t="str">
        <f>IF(F331&lt;&gt;"",INDEX(Balance!A:A,MATCH(F331,Balance!B:B,0)),"")</f>
        <v>Fournisseurs</v>
      </c>
      <c r="F331" t="s">
        <v>373</v>
      </c>
      <c r="G331" t="s">
        <v>766</v>
      </c>
      <c r="I331" s="10">
        <v>48.4</v>
      </c>
      <c r="K331" s="11">
        <f t="shared" si="114"/>
        <v>8.0666666666666629</v>
      </c>
      <c r="L331" s="10">
        <f t="shared" si="115"/>
        <v>-15932.469999999988</v>
      </c>
      <c r="N331">
        <v>306</v>
      </c>
      <c r="O331">
        <v>1</v>
      </c>
      <c r="P331">
        <v>1</v>
      </c>
      <c r="Q331" t="str">
        <f t="shared" si="116"/>
        <v>300760283626261100200EUR201905141078422800</v>
      </c>
      <c r="R331" s="16" t="s">
        <v>982</v>
      </c>
      <c r="S331" t="str">
        <f t="shared" si="117"/>
        <v>CB 548222 BRICO DEPOT 62BEAURAIN</v>
      </c>
      <c r="U331">
        <f>IFERROR(VLOOKUP(F331,tab!A:B,2,FALSE),1)</f>
        <v>38</v>
      </c>
      <c r="V331" s="14">
        <f t="shared" si="118"/>
        <v>-15932.469999999988</v>
      </c>
      <c r="W331">
        <f t="shared" si="119"/>
        <v>0</v>
      </c>
      <c r="X331">
        <f t="shared" si="120"/>
        <v>1</v>
      </c>
      <c r="Y331" s="14">
        <f t="shared" si="121"/>
        <v>48.4</v>
      </c>
      <c r="AA331" t="str">
        <f t="shared" si="122"/>
        <v>&lt;Valeur name="no"&gt;306&lt;/Valeur&gt;</v>
      </c>
      <c r="AB331" t="str">
        <f t="shared" si="122"/>
        <v>&lt;Valeur name="banque"&gt;1&lt;/Valeur&gt;</v>
      </c>
      <c r="AC331" t="str">
        <f t="shared" si="99"/>
        <v>&lt;Valeur name="pointer"&gt;1&lt;/Valeur&gt;</v>
      </c>
      <c r="AD331" t="str">
        <f t="shared" si="100"/>
        <v>&lt;Valeur name="idbanque"&gt;300760283626261100200EUR201905141078422800&lt;/Valeur&gt;</v>
      </c>
      <c r="AE331" t="str">
        <f t="shared" si="101"/>
        <v>&lt;Valeur name="datevaleur"&gt;2019/05/14&lt;/Valeur&gt;</v>
      </c>
      <c r="AF331" t="str">
        <f t="shared" si="102"/>
        <v>&lt;Valeur name="intitule"&gt;CB 548222 BRICO DEPOT 62BEAURAIN&lt;/Valeur&gt;</v>
      </c>
      <c r="AG331" t="str">
        <f t="shared" si="103"/>
        <v>&lt;Valeur name="description"&gt;&lt;/Valeur&gt;</v>
      </c>
      <c r="AH331" t="str">
        <f t="shared" si="104"/>
        <v>&lt;Valeur name="compte"&gt;38&lt;/Valeur&gt;</v>
      </c>
      <c r="AI331" t="str">
        <f t="shared" si="105"/>
        <v>&lt;Valeur name="solde"&gt;-15932.47&lt;/Valeur&gt;</v>
      </c>
      <c r="AJ331" t="str">
        <f t="shared" si="106"/>
        <v>&lt;Valeur name="ventiler"&gt;0&lt;/Valeur&gt;</v>
      </c>
      <c r="AK331" t="str">
        <f t="shared" si="107"/>
        <v>&lt;Valeur name="compta"&gt;1&lt;/Valeur&gt;</v>
      </c>
      <c r="AL331" t="str">
        <f t="shared" si="108"/>
        <v>&lt;Valeur name="valeur"&gt;48.4&lt;/Valeur&gt;</v>
      </c>
      <c r="AN331" t="str">
        <f t="shared" si="123"/>
        <v>&lt;Insert&gt;&lt;Valeur name="no"&gt;306&lt;/Valeur&gt;&lt;Valeur name="banque"&gt;1&lt;/Valeur&gt;&lt;Valeur name="pointer"&gt;1&lt;/Valeur&gt;&lt;Valeur name="idbanque"&gt;300760283626261100200EUR201905141078422800&lt;/Valeur&gt;&lt;Valeur name="datevaleur"&gt;2019/05/14&lt;/Valeur&gt;&lt;Valeur name="intitule"&gt;CB 548222 BRICO DEPOT 62BEAURAIN&lt;/Valeur&gt;&lt;Valeur name="description"&gt;&lt;/Valeur&gt;&lt;Valeur name="compte"&gt;38&lt;/Valeur&gt;&lt;Valeur name="solde"&gt;-15932.47&lt;/Valeur&gt;&lt;Valeur name="ventiler"&gt;0&lt;/Valeur&gt;&lt;Valeur name="compta"&gt;1&lt;/Valeur&gt;&lt;Valeur name="valeur"&gt;48.4&lt;/Valeur&gt;&lt;/Insert&gt;</v>
      </c>
    </row>
    <row r="332" spans="1:40" x14ac:dyDescent="0.25">
      <c r="A332" t="s">
        <v>767</v>
      </c>
      <c r="B332">
        <v>307</v>
      </c>
      <c r="C332" s="1">
        <v>43599</v>
      </c>
      <c r="D332">
        <v>1</v>
      </c>
      <c r="E332" t="str">
        <f>IF(F332&lt;&gt;"",INDEX(Balance!A:A,MATCH(F332,Balance!B:B,0)),"")</f>
        <v>Depense</v>
      </c>
      <c r="F332" t="s">
        <v>254</v>
      </c>
      <c r="G332" t="s">
        <v>768</v>
      </c>
      <c r="I332" s="10">
        <v>6.9</v>
      </c>
      <c r="K332" s="11">
        <f t="shared" si="114"/>
        <v>1.1499999999999995</v>
      </c>
      <c r="L332" s="10">
        <f t="shared" si="115"/>
        <v>-15939.369999999988</v>
      </c>
      <c r="N332">
        <v>307</v>
      </c>
      <c r="O332">
        <v>1</v>
      </c>
      <c r="P332">
        <v>1</v>
      </c>
      <c r="Q332" t="str">
        <f t="shared" si="116"/>
        <v>300760283626261100200EUR201905141078422900</v>
      </c>
      <c r="R332" s="16" t="s">
        <v>982</v>
      </c>
      <c r="S332" t="str">
        <f t="shared" si="117"/>
        <v>CB 548222 BOULANGERIE 62ST LAURE</v>
      </c>
      <c r="U332">
        <f>IFERROR(VLOOKUP(F332,tab!A:B,2,FALSE),1)</f>
        <v>27</v>
      </c>
      <c r="V332" s="14">
        <f t="shared" si="118"/>
        <v>-15939.369999999988</v>
      </c>
      <c r="W332">
        <f t="shared" si="119"/>
        <v>0</v>
      </c>
      <c r="X332">
        <f t="shared" si="120"/>
        <v>1</v>
      </c>
      <c r="Y332" s="14">
        <f t="shared" si="121"/>
        <v>6.9</v>
      </c>
      <c r="AA332" t="str">
        <f t="shared" si="122"/>
        <v>&lt;Valeur name="no"&gt;307&lt;/Valeur&gt;</v>
      </c>
      <c r="AB332" t="str">
        <f t="shared" si="122"/>
        <v>&lt;Valeur name="banque"&gt;1&lt;/Valeur&gt;</v>
      </c>
      <c r="AC332" t="str">
        <f t="shared" si="99"/>
        <v>&lt;Valeur name="pointer"&gt;1&lt;/Valeur&gt;</v>
      </c>
      <c r="AD332" t="str">
        <f t="shared" si="100"/>
        <v>&lt;Valeur name="idbanque"&gt;300760283626261100200EUR201905141078422900&lt;/Valeur&gt;</v>
      </c>
      <c r="AE332" t="str">
        <f t="shared" si="101"/>
        <v>&lt;Valeur name="datevaleur"&gt;2019/05/14&lt;/Valeur&gt;</v>
      </c>
      <c r="AF332" t="str">
        <f t="shared" si="102"/>
        <v>&lt;Valeur name="intitule"&gt;CB 548222 BOULANGERIE 62ST LAURE&lt;/Valeur&gt;</v>
      </c>
      <c r="AG332" t="str">
        <f t="shared" si="103"/>
        <v>&lt;Valeur name="description"&gt;&lt;/Valeur&gt;</v>
      </c>
      <c r="AH332" t="str">
        <f t="shared" si="104"/>
        <v>&lt;Valeur name="compte"&gt;27&lt;/Valeur&gt;</v>
      </c>
      <c r="AI332" t="str">
        <f t="shared" si="105"/>
        <v>&lt;Valeur name="solde"&gt;-15939.37&lt;/Valeur&gt;</v>
      </c>
      <c r="AJ332" t="str">
        <f t="shared" si="106"/>
        <v>&lt;Valeur name="ventiler"&gt;0&lt;/Valeur&gt;</v>
      </c>
      <c r="AK332" t="str">
        <f t="shared" si="107"/>
        <v>&lt;Valeur name="compta"&gt;1&lt;/Valeur&gt;</v>
      </c>
      <c r="AL332" t="str">
        <f t="shared" si="108"/>
        <v>&lt;Valeur name="valeur"&gt;6.9&lt;/Valeur&gt;</v>
      </c>
      <c r="AN332" t="str">
        <f t="shared" si="123"/>
        <v>&lt;Insert&gt;&lt;Valeur name="no"&gt;307&lt;/Valeur&gt;&lt;Valeur name="banque"&gt;1&lt;/Valeur&gt;&lt;Valeur name="pointer"&gt;1&lt;/Valeur&gt;&lt;Valeur name="idbanque"&gt;300760283626261100200EUR201905141078422900&lt;/Valeur&gt;&lt;Valeur name="datevaleur"&gt;2019/05/14&lt;/Valeur&gt;&lt;Valeur name="intitule"&gt;CB 548222 BOULANGERIE 62ST LAURE&lt;/Valeur&gt;&lt;Valeur name="description"&gt;&lt;/Valeur&gt;&lt;Valeur name="compte"&gt;27&lt;/Valeur&gt;&lt;Valeur name="solde"&gt;-15939.37&lt;/Valeur&gt;&lt;Valeur name="ventiler"&gt;0&lt;/Valeur&gt;&lt;Valeur name="compta"&gt;1&lt;/Valeur&gt;&lt;Valeur name="valeur"&gt;6.9&lt;/Valeur&gt;&lt;/Insert&gt;</v>
      </c>
    </row>
    <row r="333" spans="1:40" x14ac:dyDescent="0.25">
      <c r="A333" t="s">
        <v>769</v>
      </c>
      <c r="B333">
        <v>308</v>
      </c>
      <c r="C333" s="1">
        <v>43599</v>
      </c>
      <c r="E333" t="str">
        <f>IF(F333&lt;&gt;"",INDEX(Balance!A:A,MATCH(F333,Balance!B:B,0)),"")</f>
        <v>Client</v>
      </c>
      <c r="F333" t="s">
        <v>534</v>
      </c>
      <c r="G333" t="s">
        <v>770</v>
      </c>
      <c r="H333" t="s">
        <v>771</v>
      </c>
      <c r="J333" s="10">
        <v>8568.24</v>
      </c>
      <c r="K333" s="11">
        <f t="shared" si="114"/>
        <v>-1428.04</v>
      </c>
      <c r="L333" s="10">
        <f t="shared" si="115"/>
        <v>-7371.1299999999883</v>
      </c>
      <c r="N333">
        <v>308</v>
      </c>
      <c r="O333">
        <v>1</v>
      </c>
      <c r="P333">
        <v>1</v>
      </c>
      <c r="Q333" t="str">
        <f t="shared" si="116"/>
        <v>300760283626261100200EUR201905146311836000</v>
      </c>
      <c r="R333" s="16" t="s">
        <v>982</v>
      </c>
      <c r="S333" t="str">
        <f t="shared" si="117"/>
        <v>VIR TRESORERIE FOURMIES / FACTURE AF231-4 DECISION  DEC 10</v>
      </c>
      <c r="U333">
        <f>IFERROR(VLOOKUP(F333,tab!A:B,2,FALSE),1)</f>
        <v>3</v>
      </c>
      <c r="V333" s="14">
        <f t="shared" si="118"/>
        <v>-7371.1299999999883</v>
      </c>
      <c r="W333">
        <f t="shared" si="119"/>
        <v>0</v>
      </c>
      <c r="X333" t="str">
        <f t="shared" si="120"/>
        <v/>
      </c>
      <c r="Y333" s="14">
        <f t="shared" si="121"/>
        <v>8568.24</v>
      </c>
      <c r="AA333" t="str">
        <f t="shared" si="122"/>
        <v>&lt;Valeur name="no"&gt;308&lt;/Valeur&gt;</v>
      </c>
      <c r="AB333" t="str">
        <f t="shared" si="122"/>
        <v>&lt;Valeur name="banque"&gt;1&lt;/Valeur&gt;</v>
      </c>
      <c r="AC333" t="str">
        <f t="shared" si="99"/>
        <v>&lt;Valeur name="pointer"&gt;1&lt;/Valeur&gt;</v>
      </c>
      <c r="AD333" t="str">
        <f t="shared" si="100"/>
        <v>&lt;Valeur name="idbanque"&gt;300760283626261100200EUR201905146311836000&lt;/Valeur&gt;</v>
      </c>
      <c r="AE333" t="str">
        <f t="shared" si="101"/>
        <v>&lt;Valeur name="datevaleur"&gt;2019/05/14&lt;/Valeur&gt;</v>
      </c>
      <c r="AF333" t="str">
        <f t="shared" si="102"/>
        <v>&lt;Valeur name="intitule"&gt;VIR TRESORERIE FOURMIES / FACTURE AF231-4 DECISION  DEC 10&lt;/Valeur&gt;</v>
      </c>
      <c r="AG333" t="str">
        <f t="shared" si="103"/>
        <v>&lt;Valeur name="description"&gt;&lt;/Valeur&gt;</v>
      </c>
      <c r="AH333" t="str">
        <f t="shared" si="104"/>
        <v>&lt;Valeur name="compte"&gt;3&lt;/Valeur&gt;</v>
      </c>
      <c r="AI333" t="str">
        <f t="shared" si="105"/>
        <v>&lt;Valeur name="solde"&gt;-7371.12999999999&lt;/Valeur&gt;</v>
      </c>
      <c r="AJ333" t="str">
        <f t="shared" si="106"/>
        <v>&lt;Valeur name="ventiler"&gt;0&lt;/Valeur&gt;</v>
      </c>
      <c r="AK333" t="str">
        <f t="shared" si="107"/>
        <v>&lt;Valeur name="compta"&gt;&lt;/Valeur&gt;</v>
      </c>
      <c r="AL333" t="str">
        <f t="shared" si="108"/>
        <v>&lt;Valeur name="valeur"&gt;8568.24&lt;/Valeur&gt;</v>
      </c>
      <c r="AN333" t="str">
        <f t="shared" si="123"/>
        <v>&lt;Insert&gt;&lt;Valeur name="no"&gt;308&lt;/Valeur&gt;&lt;Valeur name="banque"&gt;1&lt;/Valeur&gt;&lt;Valeur name="pointer"&gt;1&lt;/Valeur&gt;&lt;Valeur name="idbanque"&gt;300760283626261100200EUR201905146311836000&lt;/Valeur&gt;&lt;Valeur name="datevaleur"&gt;2019/05/14&lt;/Valeur&gt;&lt;Valeur name="intitule"&gt;VIR TRESORERIE FOURMIES / FACTURE AF231-4 DECISION  DEC 10&lt;/Valeur&gt;&lt;Valeur name="description"&gt;&lt;/Valeur&gt;&lt;Valeur name="compte"&gt;3&lt;/Valeur&gt;&lt;Valeur name="solde"&gt;-7371.12999999999&lt;/Valeur&gt;&lt;Valeur name="ventiler"&gt;0&lt;/Valeur&gt;&lt;Valeur name="compta"&gt;&lt;/Valeur&gt;&lt;Valeur name="valeur"&gt;8568.24&lt;/Valeur&gt;&lt;/Insert&gt;</v>
      </c>
    </row>
    <row r="334" spans="1:40" x14ac:dyDescent="0.25">
      <c r="A334" t="s">
        <v>772</v>
      </c>
      <c r="B334">
        <v>309</v>
      </c>
      <c r="C334" s="1">
        <v>43599</v>
      </c>
      <c r="D334">
        <v>1</v>
      </c>
      <c r="E334" t="str">
        <f>IF(F334&lt;&gt;"",INDEX(Balance!A:A,MATCH(F334,Balance!B:B,0)),"")</f>
        <v/>
      </c>
      <c r="G334" t="s">
        <v>144</v>
      </c>
      <c r="J334" s="10">
        <v>2112</v>
      </c>
      <c r="K334" s="11">
        <f t="shared" si="114"/>
        <v>-352</v>
      </c>
      <c r="L334" s="10">
        <f t="shared" si="115"/>
        <v>-5259.1299999999883</v>
      </c>
      <c r="N334">
        <v>309</v>
      </c>
      <c r="O334">
        <v>1</v>
      </c>
      <c r="P334">
        <v>1</v>
      </c>
      <c r="Q334" t="str">
        <f t="shared" si="116"/>
        <v>300760283626261100200EUR201905148302100100</v>
      </c>
      <c r="R334" s="16" t="s">
        <v>982</v>
      </c>
      <c r="S334" t="str">
        <f t="shared" si="117"/>
        <v>REMISE CHEQUES</v>
      </c>
      <c r="U334">
        <f>IFERROR(VLOOKUP(F334,tab!A:B,2,FALSE),1)</f>
        <v>1</v>
      </c>
      <c r="V334" s="14">
        <f t="shared" si="118"/>
        <v>-5259.1299999999883</v>
      </c>
      <c r="W334">
        <f t="shared" si="119"/>
        <v>0</v>
      </c>
      <c r="X334">
        <f t="shared" si="120"/>
        <v>1</v>
      </c>
      <c r="Y334" s="14">
        <f t="shared" si="121"/>
        <v>2112</v>
      </c>
      <c r="AA334" t="str">
        <f t="shared" si="122"/>
        <v>&lt;Valeur name="no"&gt;309&lt;/Valeur&gt;</v>
      </c>
      <c r="AB334" t="str">
        <f t="shared" si="122"/>
        <v>&lt;Valeur name="banque"&gt;1&lt;/Valeur&gt;</v>
      </c>
      <c r="AC334" t="str">
        <f t="shared" si="99"/>
        <v>&lt;Valeur name="pointer"&gt;1&lt;/Valeur&gt;</v>
      </c>
      <c r="AD334" t="str">
        <f t="shared" si="100"/>
        <v>&lt;Valeur name="idbanque"&gt;300760283626261100200EUR201905148302100100&lt;/Valeur&gt;</v>
      </c>
      <c r="AE334" t="str">
        <f t="shared" si="101"/>
        <v>&lt;Valeur name="datevaleur"&gt;2019/05/14&lt;/Valeur&gt;</v>
      </c>
      <c r="AF334" t="str">
        <f t="shared" si="102"/>
        <v>&lt;Valeur name="intitule"&gt;REMISE CHEQUES&lt;/Valeur&gt;</v>
      </c>
      <c r="AG334" t="str">
        <f t="shared" si="103"/>
        <v>&lt;Valeur name="description"&gt;&lt;/Valeur&gt;</v>
      </c>
      <c r="AH334" t="str">
        <f t="shared" si="104"/>
        <v>&lt;Valeur name="compte"&gt;1&lt;/Valeur&gt;</v>
      </c>
      <c r="AI334" t="str">
        <f t="shared" si="105"/>
        <v>&lt;Valeur name="solde"&gt;-5259.12999999999&lt;/Valeur&gt;</v>
      </c>
      <c r="AJ334" t="str">
        <f t="shared" si="106"/>
        <v>&lt;Valeur name="ventiler"&gt;0&lt;/Valeur&gt;</v>
      </c>
      <c r="AK334" t="str">
        <f t="shared" si="107"/>
        <v>&lt;Valeur name="compta"&gt;1&lt;/Valeur&gt;</v>
      </c>
      <c r="AL334" t="str">
        <f t="shared" si="108"/>
        <v>&lt;Valeur name="valeur"&gt;2112&lt;/Valeur&gt;</v>
      </c>
      <c r="AN334" t="str">
        <f t="shared" si="123"/>
        <v>&lt;Insert&gt;&lt;Valeur name="no"&gt;309&lt;/Valeur&gt;&lt;Valeur name="banque"&gt;1&lt;/Valeur&gt;&lt;Valeur name="pointer"&gt;1&lt;/Valeur&gt;&lt;Valeur name="idbanque"&gt;300760283626261100200EUR201905148302100100&lt;/Valeur&gt;&lt;Valeur name="datevaleur"&gt;2019/05/14&lt;/Valeur&gt;&lt;Valeur name="intitule"&gt;REMISE CHEQUES&lt;/Valeur&gt;&lt;Valeur name="description"&gt;&lt;/Valeur&gt;&lt;Valeur name="compte"&gt;1&lt;/Valeur&gt;&lt;Valeur name="solde"&gt;-5259.12999999999&lt;/Valeur&gt;&lt;Valeur name="ventiler"&gt;0&lt;/Valeur&gt;&lt;Valeur name="compta"&gt;1&lt;/Valeur&gt;&lt;Valeur name="valeur"&gt;2112&lt;/Valeur&gt;&lt;/Insert&gt;</v>
      </c>
    </row>
    <row r="335" spans="1:40" x14ac:dyDescent="0.25">
      <c r="A335" t="s">
        <v>773</v>
      </c>
      <c r="B335">
        <v>310</v>
      </c>
      <c r="C335" s="1">
        <v>43600</v>
      </c>
      <c r="E335" t="str">
        <f>IF(F335&lt;&gt;"",INDEX(Balance!A:A,MATCH(F335,Balance!B:B,0)),"")</f>
        <v/>
      </c>
      <c r="G335" t="s">
        <v>774</v>
      </c>
      <c r="I335" s="10">
        <v>1734.08</v>
      </c>
      <c r="K335" s="11">
        <f t="shared" si="114"/>
        <v>289.01333333333332</v>
      </c>
      <c r="L335" s="10">
        <f t="shared" si="115"/>
        <v>-6993.2099999999882</v>
      </c>
      <c r="N335">
        <v>310</v>
      </c>
      <c r="O335">
        <v>1</v>
      </c>
      <c r="P335">
        <v>1</v>
      </c>
      <c r="Q335" t="str">
        <f t="shared" si="116"/>
        <v>300760283626261100200EUR201905150910929600</v>
      </c>
      <c r="R335" s="16" t="s">
        <v>881</v>
      </c>
      <c r="S335" t="str">
        <f t="shared" si="117"/>
        <v>RELEVE LCR DU  080519  CONFORME</v>
      </c>
      <c r="U335">
        <f>IFERROR(VLOOKUP(F335,tab!A:B,2,FALSE),1)</f>
        <v>1</v>
      </c>
      <c r="V335" s="14">
        <f t="shared" si="118"/>
        <v>-6993.2099999999882</v>
      </c>
      <c r="W335">
        <f t="shared" si="119"/>
        <v>0</v>
      </c>
      <c r="X335" t="str">
        <f t="shared" si="120"/>
        <v/>
      </c>
      <c r="Y335" s="14">
        <f t="shared" si="121"/>
        <v>1734.08</v>
      </c>
      <c r="AA335" t="str">
        <f t="shared" si="122"/>
        <v>&lt;Valeur name="no"&gt;310&lt;/Valeur&gt;</v>
      </c>
      <c r="AB335" t="str">
        <f t="shared" si="122"/>
        <v>&lt;Valeur name="banque"&gt;1&lt;/Valeur&gt;</v>
      </c>
      <c r="AC335" t="str">
        <f t="shared" si="99"/>
        <v>&lt;Valeur name="pointer"&gt;1&lt;/Valeur&gt;</v>
      </c>
      <c r="AD335" t="str">
        <f t="shared" si="100"/>
        <v>&lt;Valeur name="idbanque"&gt;300760283626261100200EUR201905150910929600&lt;/Valeur&gt;</v>
      </c>
      <c r="AE335" t="str">
        <f t="shared" si="101"/>
        <v>&lt;Valeur name="datevaleur"&gt;2019/05/15&lt;/Valeur&gt;</v>
      </c>
      <c r="AF335" t="str">
        <f t="shared" si="102"/>
        <v>&lt;Valeur name="intitule"&gt;RELEVE LCR DU  080519  CONFORME&lt;/Valeur&gt;</v>
      </c>
      <c r="AG335" t="str">
        <f t="shared" si="103"/>
        <v>&lt;Valeur name="description"&gt;&lt;/Valeur&gt;</v>
      </c>
      <c r="AH335" t="str">
        <f t="shared" si="104"/>
        <v>&lt;Valeur name="compte"&gt;1&lt;/Valeur&gt;</v>
      </c>
      <c r="AI335" t="str">
        <f t="shared" si="105"/>
        <v>&lt;Valeur name="solde"&gt;-6993.20999999999&lt;/Valeur&gt;</v>
      </c>
      <c r="AJ335" t="str">
        <f t="shared" si="106"/>
        <v>&lt;Valeur name="ventiler"&gt;0&lt;/Valeur&gt;</v>
      </c>
      <c r="AK335" t="str">
        <f t="shared" si="107"/>
        <v>&lt;Valeur name="compta"&gt;&lt;/Valeur&gt;</v>
      </c>
      <c r="AL335" t="str">
        <f t="shared" si="108"/>
        <v>&lt;Valeur name="valeur"&gt;1734.08&lt;/Valeur&gt;</v>
      </c>
      <c r="AN335" t="str">
        <f t="shared" si="123"/>
        <v>&lt;Insert&gt;&lt;Valeur name="no"&gt;310&lt;/Valeur&gt;&lt;Valeur name="banque"&gt;1&lt;/Valeur&gt;&lt;Valeur name="pointer"&gt;1&lt;/Valeur&gt;&lt;Valeur name="idbanque"&gt;300760283626261100200EUR201905150910929600&lt;/Valeur&gt;&lt;Valeur name="datevaleur"&gt;2019/05/15&lt;/Valeur&gt;&lt;Valeur name="intitule"&gt;RELEVE LCR DU  080519  CONFORME&lt;/Valeur&gt;&lt;Valeur name="description"&gt;&lt;/Valeur&gt;&lt;Valeur name="compte"&gt;1&lt;/Valeur&gt;&lt;Valeur name="solde"&gt;-6993.20999999999&lt;/Valeur&gt;&lt;Valeur name="ventiler"&gt;0&lt;/Valeur&gt;&lt;Valeur name="compta"&gt;&lt;/Valeur&gt;&lt;Valeur name="valeur"&gt;1734.08&lt;/Valeur&gt;&lt;/Insert&gt;</v>
      </c>
    </row>
    <row r="336" spans="1:40" x14ac:dyDescent="0.25">
      <c r="A336" t="s">
        <v>775</v>
      </c>
      <c r="B336">
        <v>311</v>
      </c>
      <c r="C336" s="1">
        <v>43600</v>
      </c>
      <c r="D336">
        <v>1</v>
      </c>
      <c r="E336" t="str">
        <f>IF(F336&lt;&gt;"",INDEX(Balance!A:A,MATCH(F336,Balance!B:B,0)),"")</f>
        <v>Depense</v>
      </c>
      <c r="F336" t="s">
        <v>271</v>
      </c>
      <c r="G336" t="s">
        <v>776</v>
      </c>
      <c r="I336" s="10">
        <v>3.9</v>
      </c>
      <c r="K336" s="11">
        <f t="shared" si="114"/>
        <v>0.64999999999999991</v>
      </c>
      <c r="L336" s="10">
        <f t="shared" si="115"/>
        <v>-6997.1099999999878</v>
      </c>
      <c r="N336">
        <v>311</v>
      </c>
      <c r="O336">
        <v>1</v>
      </c>
      <c r="P336">
        <v>1</v>
      </c>
      <c r="Q336" t="str">
        <f t="shared" si="116"/>
        <v>300760283626261100200EUR201905151078689100</v>
      </c>
      <c r="R336" s="16" t="s">
        <v>881</v>
      </c>
      <c r="S336" t="str">
        <f t="shared" si="117"/>
        <v>CB 548222 SANEF 0705- 60SENLIS C</v>
      </c>
      <c r="U336">
        <f>IFERROR(VLOOKUP(F336,tab!A:B,2,FALSE),1)</f>
        <v>15</v>
      </c>
      <c r="V336" s="14">
        <f t="shared" si="118"/>
        <v>-6997.1099999999878</v>
      </c>
      <c r="W336">
        <f t="shared" si="119"/>
        <v>0</v>
      </c>
      <c r="X336">
        <f t="shared" si="120"/>
        <v>1</v>
      </c>
      <c r="Y336" s="14">
        <f t="shared" si="121"/>
        <v>3.9</v>
      </c>
      <c r="AA336" t="str">
        <f t="shared" si="122"/>
        <v>&lt;Valeur name="no"&gt;311&lt;/Valeur&gt;</v>
      </c>
      <c r="AB336" t="str">
        <f t="shared" si="122"/>
        <v>&lt;Valeur name="banque"&gt;1&lt;/Valeur&gt;</v>
      </c>
      <c r="AC336" t="str">
        <f t="shared" si="99"/>
        <v>&lt;Valeur name="pointer"&gt;1&lt;/Valeur&gt;</v>
      </c>
      <c r="AD336" t="str">
        <f t="shared" si="100"/>
        <v>&lt;Valeur name="idbanque"&gt;300760283626261100200EUR201905151078689100&lt;/Valeur&gt;</v>
      </c>
      <c r="AE336" t="str">
        <f t="shared" si="101"/>
        <v>&lt;Valeur name="datevaleur"&gt;2019/05/15&lt;/Valeur&gt;</v>
      </c>
      <c r="AF336" t="str">
        <f t="shared" si="102"/>
        <v>&lt;Valeur name="intitule"&gt;CB 548222 SANEF 0705- 60SENLIS C&lt;/Valeur&gt;</v>
      </c>
      <c r="AG336" t="str">
        <f t="shared" si="103"/>
        <v>&lt;Valeur name="description"&gt;&lt;/Valeur&gt;</v>
      </c>
      <c r="AH336" t="str">
        <f t="shared" si="104"/>
        <v>&lt;Valeur name="compte"&gt;15&lt;/Valeur&gt;</v>
      </c>
      <c r="AI336" t="str">
        <f t="shared" si="105"/>
        <v>&lt;Valeur name="solde"&gt;-6997.10999999999&lt;/Valeur&gt;</v>
      </c>
      <c r="AJ336" t="str">
        <f t="shared" si="106"/>
        <v>&lt;Valeur name="ventiler"&gt;0&lt;/Valeur&gt;</v>
      </c>
      <c r="AK336" t="str">
        <f t="shared" si="107"/>
        <v>&lt;Valeur name="compta"&gt;1&lt;/Valeur&gt;</v>
      </c>
      <c r="AL336" t="str">
        <f t="shared" si="108"/>
        <v>&lt;Valeur name="valeur"&gt;3.9&lt;/Valeur&gt;</v>
      </c>
      <c r="AN336" t="str">
        <f t="shared" si="123"/>
        <v>&lt;Insert&gt;&lt;Valeur name="no"&gt;311&lt;/Valeur&gt;&lt;Valeur name="banque"&gt;1&lt;/Valeur&gt;&lt;Valeur name="pointer"&gt;1&lt;/Valeur&gt;&lt;Valeur name="idbanque"&gt;300760283626261100200EUR201905151078689100&lt;/Valeur&gt;&lt;Valeur name="datevaleur"&gt;2019/05/15&lt;/Valeur&gt;&lt;Valeur name="intitule"&gt;CB 548222 SANEF 0705- 60SENLIS C&lt;/Valeur&gt;&lt;Valeur name="description"&gt;&lt;/Valeur&gt;&lt;Valeur name="compte"&gt;15&lt;/Valeur&gt;&lt;Valeur name="solde"&gt;-6997.10999999999&lt;/Valeur&gt;&lt;Valeur name="ventiler"&gt;0&lt;/Valeur&gt;&lt;Valeur name="compta"&gt;1&lt;/Valeur&gt;&lt;Valeur name="valeur"&gt;3.9&lt;/Valeur&gt;&lt;/Insert&gt;</v>
      </c>
    </row>
    <row r="337" spans="1:40" x14ac:dyDescent="0.25">
      <c r="A337" t="s">
        <v>777</v>
      </c>
      <c r="B337">
        <v>312</v>
      </c>
      <c r="C337" s="1">
        <v>43600</v>
      </c>
      <c r="D337">
        <v>1</v>
      </c>
      <c r="E337" t="str">
        <f>IF(F337&lt;&gt;"",INDEX(Balance!A:A,MATCH(F337,Balance!B:B,0)),"")</f>
        <v>Fournisseurs</v>
      </c>
      <c r="F337" t="s">
        <v>383</v>
      </c>
      <c r="G337" t="s">
        <v>29</v>
      </c>
      <c r="I337" s="10">
        <v>109</v>
      </c>
      <c r="K337" s="11">
        <f t="shared" si="114"/>
        <v>18.166666666666657</v>
      </c>
      <c r="L337" s="10">
        <f t="shared" si="115"/>
        <v>-7106.1099999999878</v>
      </c>
      <c r="N337">
        <v>312</v>
      </c>
      <c r="O337">
        <v>1</v>
      </c>
      <c r="P337">
        <v>1</v>
      </c>
      <c r="Q337" t="str">
        <f t="shared" si="116"/>
        <v>300760283626261100200EUR201905151078689200</v>
      </c>
      <c r="R337" s="16" t="s">
        <v>881</v>
      </c>
      <c r="S337" t="str">
        <f t="shared" si="117"/>
        <v>CB 548222 SNCF INTERN 75PARIS 12</v>
      </c>
      <c r="U337">
        <f>IFERROR(VLOOKUP(F337,tab!A:B,2,FALSE),1)</f>
        <v>108</v>
      </c>
      <c r="V337" s="14">
        <f t="shared" si="118"/>
        <v>-7106.1099999999878</v>
      </c>
      <c r="W337">
        <f t="shared" si="119"/>
        <v>0</v>
      </c>
      <c r="X337">
        <f t="shared" si="120"/>
        <v>1</v>
      </c>
      <c r="Y337" s="14">
        <f t="shared" si="121"/>
        <v>109</v>
      </c>
      <c r="AA337" t="str">
        <f t="shared" si="122"/>
        <v>&lt;Valeur name="no"&gt;312&lt;/Valeur&gt;</v>
      </c>
      <c r="AB337" t="str">
        <f t="shared" si="122"/>
        <v>&lt;Valeur name="banque"&gt;1&lt;/Valeur&gt;</v>
      </c>
      <c r="AC337" t="str">
        <f t="shared" si="99"/>
        <v>&lt;Valeur name="pointer"&gt;1&lt;/Valeur&gt;</v>
      </c>
      <c r="AD337" t="str">
        <f t="shared" si="100"/>
        <v>&lt;Valeur name="idbanque"&gt;300760283626261100200EUR201905151078689200&lt;/Valeur&gt;</v>
      </c>
      <c r="AE337" t="str">
        <f t="shared" si="101"/>
        <v>&lt;Valeur name="datevaleur"&gt;2019/05/15&lt;/Valeur&gt;</v>
      </c>
      <c r="AF337" t="str">
        <f t="shared" si="102"/>
        <v>&lt;Valeur name="intitule"&gt;CB 548222 SNCF INTERN 75PARIS 12&lt;/Valeur&gt;</v>
      </c>
      <c r="AG337" t="str">
        <f t="shared" si="103"/>
        <v>&lt;Valeur name="description"&gt;&lt;/Valeur&gt;</v>
      </c>
      <c r="AH337" t="str">
        <f t="shared" si="104"/>
        <v>&lt;Valeur name="compte"&gt;108&lt;/Valeur&gt;</v>
      </c>
      <c r="AI337" t="str">
        <f t="shared" si="105"/>
        <v>&lt;Valeur name="solde"&gt;-7106.10999999999&lt;/Valeur&gt;</v>
      </c>
      <c r="AJ337" t="str">
        <f t="shared" si="106"/>
        <v>&lt;Valeur name="ventiler"&gt;0&lt;/Valeur&gt;</v>
      </c>
      <c r="AK337" t="str">
        <f t="shared" si="107"/>
        <v>&lt;Valeur name="compta"&gt;1&lt;/Valeur&gt;</v>
      </c>
      <c r="AL337" t="str">
        <f t="shared" si="108"/>
        <v>&lt;Valeur name="valeur"&gt;109&lt;/Valeur&gt;</v>
      </c>
      <c r="AN337" t="str">
        <f t="shared" si="123"/>
        <v>&lt;Insert&gt;&lt;Valeur name="no"&gt;312&lt;/Valeur&gt;&lt;Valeur name="banque"&gt;1&lt;/Valeur&gt;&lt;Valeur name="pointer"&gt;1&lt;/Valeur&gt;&lt;Valeur name="idbanque"&gt;300760283626261100200EUR201905151078689200&lt;/Valeur&gt;&lt;Valeur name="datevaleur"&gt;2019/05/15&lt;/Valeur&gt;&lt;Valeur name="intitule"&gt;CB 548222 SNCF INTERN 75PARIS 12&lt;/Valeur&gt;&lt;Valeur name="description"&gt;&lt;/Valeur&gt;&lt;Valeur name="compte"&gt;108&lt;/Valeur&gt;&lt;Valeur name="solde"&gt;-7106.10999999999&lt;/Valeur&gt;&lt;Valeur name="ventiler"&gt;0&lt;/Valeur&gt;&lt;Valeur name="compta"&gt;1&lt;/Valeur&gt;&lt;Valeur name="valeur"&gt;109&lt;/Valeur&gt;&lt;/Insert&gt;</v>
      </c>
    </row>
    <row r="338" spans="1:40" x14ac:dyDescent="0.25">
      <c r="A338" t="s">
        <v>778</v>
      </c>
      <c r="B338">
        <v>313</v>
      </c>
      <c r="C338" s="1">
        <v>43600</v>
      </c>
      <c r="D338">
        <v>1</v>
      </c>
      <c r="E338" t="str">
        <f>IF(F338&lt;&gt;"",INDEX(Balance!A:A,MATCH(F338,Balance!B:B,0)),"")</f>
        <v>Depense</v>
      </c>
      <c r="F338" t="s">
        <v>266</v>
      </c>
      <c r="G338" t="s">
        <v>779</v>
      </c>
      <c r="H338" t="s">
        <v>780</v>
      </c>
      <c r="J338" s="10">
        <v>283.12</v>
      </c>
      <c r="K338" s="11">
        <f t="shared" si="114"/>
        <v>-47.186666666666667</v>
      </c>
      <c r="L338" s="10">
        <f t="shared" si="115"/>
        <v>-6822.989999999988</v>
      </c>
      <c r="N338">
        <v>313</v>
      </c>
      <c r="O338">
        <v>1</v>
      </c>
      <c r="P338">
        <v>1</v>
      </c>
      <c r="Q338" t="str">
        <f t="shared" si="116"/>
        <v>300760283626261100200EUR201905156318384900</v>
      </c>
      <c r="R338" s="16" t="s">
        <v>881</v>
      </c>
      <c r="S338" t="str">
        <f t="shared" si="117"/>
        <v>VIR SOGESSUR / SI000000000994539</v>
      </c>
      <c r="U338">
        <f>IFERROR(VLOOKUP(F338,tab!A:B,2,FALSE),1)</f>
        <v>16</v>
      </c>
      <c r="V338" s="14">
        <f t="shared" si="118"/>
        <v>-6822.989999999988</v>
      </c>
      <c r="W338">
        <f t="shared" si="119"/>
        <v>0</v>
      </c>
      <c r="X338">
        <f t="shared" si="120"/>
        <v>1</v>
      </c>
      <c r="Y338" s="14">
        <f t="shared" si="121"/>
        <v>283.12</v>
      </c>
      <c r="AA338" t="str">
        <f t="shared" si="122"/>
        <v>&lt;Valeur name="no"&gt;313&lt;/Valeur&gt;</v>
      </c>
      <c r="AB338" t="str">
        <f t="shared" si="122"/>
        <v>&lt;Valeur name="banque"&gt;1&lt;/Valeur&gt;</v>
      </c>
      <c r="AC338" t="str">
        <f t="shared" ref="AC338:AC359" si="124">IF(ISBLANK($N338),"",P$1&amp;P338&amp;"&lt;/Valeur&gt;")</f>
        <v>&lt;Valeur name="pointer"&gt;1&lt;/Valeur&gt;</v>
      </c>
      <c r="AD338" t="str">
        <f t="shared" ref="AD338:AD359" si="125">IF(ISBLANK($N338),"",Q$1&amp;Q338&amp;"&lt;/Valeur&gt;")</f>
        <v>&lt;Valeur name="idbanque"&gt;300760283626261100200EUR201905156318384900&lt;/Valeur&gt;</v>
      </c>
      <c r="AE338" t="str">
        <f t="shared" ref="AE338:AE359" si="126">IF(ISBLANK($N338),"",R$1&amp;R338&amp;"&lt;/Valeur&gt;")</f>
        <v>&lt;Valeur name="datevaleur"&gt;2019/05/15&lt;/Valeur&gt;</v>
      </c>
      <c r="AF338" t="str">
        <f t="shared" ref="AF338:AF359" si="127">IF(ISBLANK($N338),"",S$1&amp;S338&amp;"&lt;/Valeur&gt;")</f>
        <v>&lt;Valeur name="intitule"&gt;VIR SOGESSUR / SI000000000994539&lt;/Valeur&gt;</v>
      </c>
      <c r="AG338" t="str">
        <f t="shared" ref="AG338:AG359" si="128">IF(ISBLANK($N338),"",T$1&amp;T338&amp;"&lt;/Valeur&gt;")</f>
        <v>&lt;Valeur name="description"&gt;&lt;/Valeur&gt;</v>
      </c>
      <c r="AH338" t="str">
        <f t="shared" ref="AH338:AH359" si="129">IF(ISBLANK($N338),"",U$1&amp;U338&amp;"&lt;/Valeur&gt;")</f>
        <v>&lt;Valeur name="compte"&gt;16&lt;/Valeur&gt;</v>
      </c>
      <c r="AI338" t="str">
        <f t="shared" ref="AI338:AI359" si="130">IF(ISBLANK($N338),"",V$1&amp;V338&amp;"&lt;/Valeur&gt;")</f>
        <v>&lt;Valeur name="solde"&gt;-6822.98999999999&lt;/Valeur&gt;</v>
      </c>
      <c r="AJ338" t="str">
        <f t="shared" ref="AJ338:AJ359" si="131">IF(ISBLANK($N338),"",W$1&amp;W338&amp;"&lt;/Valeur&gt;")</f>
        <v>&lt;Valeur name="ventiler"&gt;0&lt;/Valeur&gt;</v>
      </c>
      <c r="AK338" t="str">
        <f t="shared" ref="AK338:AK359" si="132">IF(ISBLANK($N338),"",X$1&amp;X338&amp;"&lt;/Valeur&gt;")</f>
        <v>&lt;Valeur name="compta"&gt;1&lt;/Valeur&gt;</v>
      </c>
      <c r="AL338" t="str">
        <f t="shared" ref="AL338:AL359" si="133">IF(ISBLANK($N338),"",Y$1&amp;Y338&amp;"&lt;/Valeur&gt;")</f>
        <v>&lt;Valeur name="valeur"&gt;283.12&lt;/Valeur&gt;</v>
      </c>
      <c r="AN338" t="str">
        <f t="shared" si="123"/>
        <v>&lt;Insert&gt;&lt;Valeur name="no"&gt;313&lt;/Valeur&gt;&lt;Valeur name="banque"&gt;1&lt;/Valeur&gt;&lt;Valeur name="pointer"&gt;1&lt;/Valeur&gt;&lt;Valeur name="idbanque"&gt;300760283626261100200EUR201905156318384900&lt;/Valeur&gt;&lt;Valeur name="datevaleur"&gt;2019/05/15&lt;/Valeur&gt;&lt;Valeur name="intitule"&gt;VIR SOGESSUR / SI000000000994539&lt;/Valeur&gt;&lt;Valeur name="description"&gt;&lt;/Valeur&gt;&lt;Valeur name="compte"&gt;16&lt;/Valeur&gt;&lt;Valeur name="solde"&gt;-6822.98999999999&lt;/Valeur&gt;&lt;Valeur name="ventiler"&gt;0&lt;/Valeur&gt;&lt;Valeur name="compta"&gt;1&lt;/Valeur&gt;&lt;Valeur name="valeur"&gt;283.12&lt;/Valeur&gt;&lt;/Insert&gt;</v>
      </c>
    </row>
    <row r="339" spans="1:40" x14ac:dyDescent="0.25">
      <c r="A339" t="s">
        <v>781</v>
      </c>
      <c r="B339">
        <v>314</v>
      </c>
      <c r="C339" s="1">
        <v>43600</v>
      </c>
      <c r="D339">
        <v>1</v>
      </c>
      <c r="E339" t="str">
        <f>IF(F339&lt;&gt;"",INDEX(Balance!A:A,MATCH(F339,Balance!B:B,0)),"")</f>
        <v>Depense</v>
      </c>
      <c r="F339" t="s">
        <v>269</v>
      </c>
      <c r="G339" t="s">
        <v>230</v>
      </c>
      <c r="I339" s="10">
        <v>3255</v>
      </c>
      <c r="K339" s="11">
        <f t="shared" si="114"/>
        <v>542.5</v>
      </c>
      <c r="L339" s="10">
        <f t="shared" si="115"/>
        <v>-10077.989999999987</v>
      </c>
      <c r="N339">
        <v>314</v>
      </c>
      <c r="O339">
        <v>1</v>
      </c>
      <c r="P339">
        <v>1</v>
      </c>
      <c r="Q339" t="str">
        <f t="shared" si="116"/>
        <v>300760283626261100200EUR201905156336600200</v>
      </c>
      <c r="R339" s="16" t="s">
        <v>881</v>
      </c>
      <c r="S339" t="str">
        <f t="shared" si="117"/>
        <v>PRLV B2B CONGES INTEMPERIES BTP</v>
      </c>
      <c r="U339">
        <f>IFERROR(VLOOKUP(F339,tab!A:B,2,FALSE),1)</f>
        <v>14</v>
      </c>
      <c r="V339" s="14">
        <f t="shared" si="118"/>
        <v>-10077.989999999987</v>
      </c>
      <c r="W339">
        <f t="shared" si="119"/>
        <v>0</v>
      </c>
      <c r="X339">
        <f t="shared" si="120"/>
        <v>1</v>
      </c>
      <c r="Y339" s="14">
        <f t="shared" si="121"/>
        <v>3255</v>
      </c>
      <c r="AA339" t="str">
        <f t="shared" si="122"/>
        <v>&lt;Valeur name="no"&gt;314&lt;/Valeur&gt;</v>
      </c>
      <c r="AB339" t="str">
        <f t="shared" si="122"/>
        <v>&lt;Valeur name="banque"&gt;1&lt;/Valeur&gt;</v>
      </c>
      <c r="AC339" t="str">
        <f t="shared" si="124"/>
        <v>&lt;Valeur name="pointer"&gt;1&lt;/Valeur&gt;</v>
      </c>
      <c r="AD339" t="str">
        <f t="shared" si="125"/>
        <v>&lt;Valeur name="idbanque"&gt;300760283626261100200EUR201905156336600200&lt;/Valeur&gt;</v>
      </c>
      <c r="AE339" t="str">
        <f t="shared" si="126"/>
        <v>&lt;Valeur name="datevaleur"&gt;2019/05/15&lt;/Valeur&gt;</v>
      </c>
      <c r="AF339" t="str">
        <f t="shared" si="127"/>
        <v>&lt;Valeur name="intitule"&gt;PRLV B2B CONGES INTEMPERIES BTP&lt;/Valeur&gt;</v>
      </c>
      <c r="AG339" t="str">
        <f t="shared" si="128"/>
        <v>&lt;Valeur name="description"&gt;&lt;/Valeur&gt;</v>
      </c>
      <c r="AH339" t="str">
        <f t="shared" si="129"/>
        <v>&lt;Valeur name="compte"&gt;14&lt;/Valeur&gt;</v>
      </c>
      <c r="AI339" t="str">
        <f t="shared" si="130"/>
        <v>&lt;Valeur name="solde"&gt;-10077.99&lt;/Valeur&gt;</v>
      </c>
      <c r="AJ339" t="str">
        <f t="shared" si="131"/>
        <v>&lt;Valeur name="ventiler"&gt;0&lt;/Valeur&gt;</v>
      </c>
      <c r="AK339" t="str">
        <f t="shared" si="132"/>
        <v>&lt;Valeur name="compta"&gt;1&lt;/Valeur&gt;</v>
      </c>
      <c r="AL339" t="str">
        <f t="shared" si="133"/>
        <v>&lt;Valeur name="valeur"&gt;3255&lt;/Valeur&gt;</v>
      </c>
      <c r="AN339" t="str">
        <f t="shared" si="123"/>
        <v>&lt;Insert&gt;&lt;Valeur name="no"&gt;314&lt;/Valeur&gt;&lt;Valeur name="banque"&gt;1&lt;/Valeur&gt;&lt;Valeur name="pointer"&gt;1&lt;/Valeur&gt;&lt;Valeur name="idbanque"&gt;300760283626261100200EUR201905156336600200&lt;/Valeur&gt;&lt;Valeur name="datevaleur"&gt;2019/05/15&lt;/Valeur&gt;&lt;Valeur name="intitule"&gt;PRLV B2B CONGES INTEMPERIES BTP&lt;/Valeur&gt;&lt;Valeur name="description"&gt;&lt;/Valeur&gt;&lt;Valeur name="compte"&gt;14&lt;/Valeur&gt;&lt;Valeur name="solde"&gt;-10077.99&lt;/Valeur&gt;&lt;Valeur name="ventiler"&gt;0&lt;/Valeur&gt;&lt;Valeur name="compta"&gt;1&lt;/Valeur&gt;&lt;Valeur name="valeur"&gt;3255&lt;/Valeur&gt;&lt;/Insert&gt;</v>
      </c>
    </row>
    <row r="340" spans="1:40" x14ac:dyDescent="0.25">
      <c r="A340" t="s">
        <v>782</v>
      </c>
      <c r="B340">
        <v>315</v>
      </c>
      <c r="C340" s="1">
        <v>43600</v>
      </c>
      <c r="D340">
        <v>1</v>
      </c>
      <c r="E340" t="str">
        <f>IF(F340&lt;&gt;"",INDEX(Balance!A:A,MATCH(F340,Balance!B:B,0)),"")</f>
        <v>Depense</v>
      </c>
      <c r="F340" t="s">
        <v>267</v>
      </c>
      <c r="G340" t="s">
        <v>52</v>
      </c>
      <c r="I340" s="10">
        <v>162</v>
      </c>
      <c r="K340" s="11">
        <f t="shared" si="114"/>
        <v>27</v>
      </c>
      <c r="L340" s="10">
        <f t="shared" si="115"/>
        <v>-10239.989999999987</v>
      </c>
      <c r="N340">
        <v>315</v>
      </c>
      <c r="O340">
        <v>1</v>
      </c>
      <c r="P340">
        <v>1</v>
      </c>
      <c r="Q340" t="str">
        <f t="shared" si="116"/>
        <v>300760283626261100200EUR201905156336758100</v>
      </c>
      <c r="R340" s="16" t="s">
        <v>881</v>
      </c>
      <c r="S340" t="str">
        <f t="shared" si="117"/>
        <v>PRLV SEPA MMA IARD SA-MMA IARD</v>
      </c>
      <c r="U340">
        <f>IFERROR(VLOOKUP(F340,tab!A:B,2,FALSE),1)</f>
        <v>12</v>
      </c>
      <c r="V340" s="14">
        <f t="shared" si="118"/>
        <v>-10239.989999999987</v>
      </c>
      <c r="W340">
        <f t="shared" si="119"/>
        <v>0</v>
      </c>
      <c r="X340">
        <f t="shared" si="120"/>
        <v>1</v>
      </c>
      <c r="Y340" s="14">
        <f t="shared" si="121"/>
        <v>162</v>
      </c>
      <c r="AA340" t="str">
        <f t="shared" si="122"/>
        <v>&lt;Valeur name="no"&gt;315&lt;/Valeur&gt;</v>
      </c>
      <c r="AB340" t="str">
        <f t="shared" si="122"/>
        <v>&lt;Valeur name="banque"&gt;1&lt;/Valeur&gt;</v>
      </c>
      <c r="AC340" t="str">
        <f t="shared" si="124"/>
        <v>&lt;Valeur name="pointer"&gt;1&lt;/Valeur&gt;</v>
      </c>
      <c r="AD340" t="str">
        <f t="shared" si="125"/>
        <v>&lt;Valeur name="idbanque"&gt;300760283626261100200EUR201905156336758100&lt;/Valeur&gt;</v>
      </c>
      <c r="AE340" t="str">
        <f t="shared" si="126"/>
        <v>&lt;Valeur name="datevaleur"&gt;2019/05/15&lt;/Valeur&gt;</v>
      </c>
      <c r="AF340" t="str">
        <f t="shared" si="127"/>
        <v>&lt;Valeur name="intitule"&gt;PRLV SEPA MMA IARD SA-MMA IARD&lt;/Valeur&gt;</v>
      </c>
      <c r="AG340" t="str">
        <f t="shared" si="128"/>
        <v>&lt;Valeur name="description"&gt;&lt;/Valeur&gt;</v>
      </c>
      <c r="AH340" t="str">
        <f t="shared" si="129"/>
        <v>&lt;Valeur name="compte"&gt;12&lt;/Valeur&gt;</v>
      </c>
      <c r="AI340" t="str">
        <f t="shared" si="130"/>
        <v>&lt;Valeur name="solde"&gt;-10239.99&lt;/Valeur&gt;</v>
      </c>
      <c r="AJ340" t="str">
        <f t="shared" si="131"/>
        <v>&lt;Valeur name="ventiler"&gt;0&lt;/Valeur&gt;</v>
      </c>
      <c r="AK340" t="str">
        <f t="shared" si="132"/>
        <v>&lt;Valeur name="compta"&gt;1&lt;/Valeur&gt;</v>
      </c>
      <c r="AL340" t="str">
        <f t="shared" si="133"/>
        <v>&lt;Valeur name="valeur"&gt;162&lt;/Valeur&gt;</v>
      </c>
      <c r="AN340" t="str">
        <f t="shared" si="123"/>
        <v>&lt;Insert&gt;&lt;Valeur name="no"&gt;315&lt;/Valeur&gt;&lt;Valeur name="banque"&gt;1&lt;/Valeur&gt;&lt;Valeur name="pointer"&gt;1&lt;/Valeur&gt;&lt;Valeur name="idbanque"&gt;300760283626261100200EUR201905156336758100&lt;/Valeur&gt;&lt;Valeur name="datevaleur"&gt;2019/05/15&lt;/Valeur&gt;&lt;Valeur name="intitule"&gt;PRLV SEPA MMA IARD SA-MMA IARD&lt;/Valeur&gt;&lt;Valeur name="description"&gt;&lt;/Valeur&gt;&lt;Valeur name="compte"&gt;12&lt;/Valeur&gt;&lt;Valeur name="solde"&gt;-10239.99&lt;/Valeur&gt;&lt;Valeur name="ventiler"&gt;0&lt;/Valeur&gt;&lt;Valeur name="compta"&gt;1&lt;/Valeur&gt;&lt;Valeur name="valeur"&gt;162&lt;/Valeur&gt;&lt;/Insert&gt;</v>
      </c>
    </row>
    <row r="341" spans="1:40" x14ac:dyDescent="0.25">
      <c r="A341" t="s">
        <v>783</v>
      </c>
      <c r="B341">
        <v>316</v>
      </c>
      <c r="C341" s="1">
        <v>43600</v>
      </c>
      <c r="D341">
        <v>1</v>
      </c>
      <c r="E341" t="str">
        <f>IF(F341&lt;&gt;"",INDEX(Balance!A:A,MATCH(F341,Balance!B:B,0)),"")</f>
        <v>Depense</v>
      </c>
      <c r="F341" t="s">
        <v>257</v>
      </c>
      <c r="G341" t="s">
        <v>31</v>
      </c>
      <c r="I341" s="10">
        <v>0.21</v>
      </c>
      <c r="K341" s="11">
        <f t="shared" si="114"/>
        <v>3.5000000000000003E-2</v>
      </c>
      <c r="L341" s="10">
        <f t="shared" si="115"/>
        <v>-10240.199999999986</v>
      </c>
      <c r="N341">
        <v>316</v>
      </c>
      <c r="O341">
        <v>1</v>
      </c>
      <c r="P341">
        <v>1</v>
      </c>
      <c r="Q341" t="str">
        <f t="shared" si="116"/>
        <v>300760283626261100200EUR201905159223020200</v>
      </c>
      <c r="R341" s="16" t="s">
        <v>881</v>
      </c>
      <c r="S341" t="str">
        <f t="shared" si="117"/>
        <v>FRAIS E-VIR SEPA VERS EEE</v>
      </c>
      <c r="U341">
        <f>IFERROR(VLOOKUP(F341,tab!A:B,2,FALSE),1)</f>
        <v>18</v>
      </c>
      <c r="V341" s="14">
        <f t="shared" si="118"/>
        <v>-10240.199999999986</v>
      </c>
      <c r="W341">
        <f t="shared" si="119"/>
        <v>0</v>
      </c>
      <c r="X341">
        <f t="shared" si="120"/>
        <v>1</v>
      </c>
      <c r="Y341" s="14">
        <f t="shared" si="121"/>
        <v>0.21</v>
      </c>
      <c r="AA341" t="str">
        <f t="shared" si="122"/>
        <v>&lt;Valeur name="no"&gt;316&lt;/Valeur&gt;</v>
      </c>
      <c r="AB341" t="str">
        <f t="shared" si="122"/>
        <v>&lt;Valeur name="banque"&gt;1&lt;/Valeur&gt;</v>
      </c>
      <c r="AC341" t="str">
        <f t="shared" si="124"/>
        <v>&lt;Valeur name="pointer"&gt;1&lt;/Valeur&gt;</v>
      </c>
      <c r="AD341" t="str">
        <f t="shared" si="125"/>
        <v>&lt;Valeur name="idbanque"&gt;300760283626261100200EUR201905159223020200&lt;/Valeur&gt;</v>
      </c>
      <c r="AE341" t="str">
        <f t="shared" si="126"/>
        <v>&lt;Valeur name="datevaleur"&gt;2019/05/15&lt;/Valeur&gt;</v>
      </c>
      <c r="AF341" t="str">
        <f t="shared" si="127"/>
        <v>&lt;Valeur name="intitule"&gt;FRAIS E-VIR SEPA VERS EEE&lt;/Valeur&gt;</v>
      </c>
      <c r="AG341" t="str">
        <f t="shared" si="128"/>
        <v>&lt;Valeur name="description"&gt;&lt;/Valeur&gt;</v>
      </c>
      <c r="AH341" t="str">
        <f t="shared" si="129"/>
        <v>&lt;Valeur name="compte"&gt;18&lt;/Valeur&gt;</v>
      </c>
      <c r="AI341" t="str">
        <f t="shared" si="130"/>
        <v>&lt;Valeur name="solde"&gt;-10240.2&lt;/Valeur&gt;</v>
      </c>
      <c r="AJ341" t="str">
        <f t="shared" si="131"/>
        <v>&lt;Valeur name="ventiler"&gt;0&lt;/Valeur&gt;</v>
      </c>
      <c r="AK341" t="str">
        <f t="shared" si="132"/>
        <v>&lt;Valeur name="compta"&gt;1&lt;/Valeur&gt;</v>
      </c>
      <c r="AL341" t="str">
        <f t="shared" si="133"/>
        <v>&lt;Valeur name="valeur"&gt;0.21&lt;/Valeur&gt;</v>
      </c>
      <c r="AN341" t="str">
        <f t="shared" si="123"/>
        <v>&lt;Insert&gt;&lt;Valeur name="no"&gt;316&lt;/Valeur&gt;&lt;Valeur name="banque"&gt;1&lt;/Valeur&gt;&lt;Valeur name="pointer"&gt;1&lt;/Valeur&gt;&lt;Valeur name="idbanque"&gt;300760283626261100200EUR201905159223020200&lt;/Valeur&gt;&lt;Valeur name="datevaleur"&gt;2019/05/15&lt;/Valeur&gt;&lt;Valeur name="intitule"&gt;FRAIS E-VIR SEPA VERS EEE&lt;/Valeur&gt;&lt;Valeur name="description"&gt;&lt;/Valeur&gt;&lt;Valeur name="compte"&gt;18&lt;/Valeur&gt;&lt;Valeur name="solde"&gt;-10240.2&lt;/Valeur&gt;&lt;Valeur name="ventiler"&gt;0&lt;/Valeur&gt;&lt;Valeur name="compta"&gt;1&lt;/Valeur&gt;&lt;Valeur name="valeur"&gt;0.21&lt;/Valeur&gt;&lt;/Insert&gt;</v>
      </c>
    </row>
    <row r="342" spans="1:40" x14ac:dyDescent="0.25">
      <c r="A342" t="s">
        <v>784</v>
      </c>
      <c r="B342">
        <v>317</v>
      </c>
      <c r="C342" s="1">
        <v>43600</v>
      </c>
      <c r="D342">
        <v>1</v>
      </c>
      <c r="E342" t="str">
        <f>IF(F342&lt;&gt;"",INDEX(Balance!A:A,MATCH(F342,Balance!B:B,0)),"")</f>
        <v>Depense</v>
      </c>
      <c r="F342" t="s">
        <v>257</v>
      </c>
      <c r="G342" t="s">
        <v>31</v>
      </c>
      <c r="I342" s="10">
        <v>0.21</v>
      </c>
      <c r="K342" s="11">
        <f t="shared" si="114"/>
        <v>3.5000000000000003E-2</v>
      </c>
      <c r="L342" s="10">
        <f t="shared" si="115"/>
        <v>-10240.409999999985</v>
      </c>
      <c r="N342">
        <v>317</v>
      </c>
      <c r="O342">
        <v>1</v>
      </c>
      <c r="P342">
        <v>1</v>
      </c>
      <c r="Q342" t="str">
        <f t="shared" si="116"/>
        <v>300760283626261100200EUR201905159223020300</v>
      </c>
      <c r="R342" s="16" t="s">
        <v>881</v>
      </c>
      <c r="S342" t="str">
        <f t="shared" si="117"/>
        <v>FRAIS E-VIR SEPA VERS EEE</v>
      </c>
      <c r="U342">
        <f>IFERROR(VLOOKUP(F342,tab!A:B,2,FALSE),1)</f>
        <v>18</v>
      </c>
      <c r="V342" s="14">
        <f t="shared" si="118"/>
        <v>-10240.409999999985</v>
      </c>
      <c r="W342">
        <f t="shared" si="119"/>
        <v>0</v>
      </c>
      <c r="X342">
        <f t="shared" si="120"/>
        <v>1</v>
      </c>
      <c r="Y342" s="14">
        <f t="shared" si="121"/>
        <v>0.21</v>
      </c>
      <c r="AA342" t="str">
        <f t="shared" si="122"/>
        <v>&lt;Valeur name="no"&gt;317&lt;/Valeur&gt;</v>
      </c>
      <c r="AB342" t="str">
        <f t="shared" si="122"/>
        <v>&lt;Valeur name="banque"&gt;1&lt;/Valeur&gt;</v>
      </c>
      <c r="AC342" t="str">
        <f t="shared" si="124"/>
        <v>&lt;Valeur name="pointer"&gt;1&lt;/Valeur&gt;</v>
      </c>
      <c r="AD342" t="str">
        <f t="shared" si="125"/>
        <v>&lt;Valeur name="idbanque"&gt;300760283626261100200EUR201905159223020300&lt;/Valeur&gt;</v>
      </c>
      <c r="AE342" t="str">
        <f t="shared" si="126"/>
        <v>&lt;Valeur name="datevaleur"&gt;2019/05/15&lt;/Valeur&gt;</v>
      </c>
      <c r="AF342" t="str">
        <f t="shared" si="127"/>
        <v>&lt;Valeur name="intitule"&gt;FRAIS E-VIR SEPA VERS EEE&lt;/Valeur&gt;</v>
      </c>
      <c r="AG342" t="str">
        <f t="shared" si="128"/>
        <v>&lt;Valeur name="description"&gt;&lt;/Valeur&gt;</v>
      </c>
      <c r="AH342" t="str">
        <f t="shared" si="129"/>
        <v>&lt;Valeur name="compte"&gt;18&lt;/Valeur&gt;</v>
      </c>
      <c r="AI342" t="str">
        <f t="shared" si="130"/>
        <v>&lt;Valeur name="solde"&gt;-10240.41&lt;/Valeur&gt;</v>
      </c>
      <c r="AJ342" t="str">
        <f t="shared" si="131"/>
        <v>&lt;Valeur name="ventiler"&gt;0&lt;/Valeur&gt;</v>
      </c>
      <c r="AK342" t="str">
        <f t="shared" si="132"/>
        <v>&lt;Valeur name="compta"&gt;1&lt;/Valeur&gt;</v>
      </c>
      <c r="AL342" t="str">
        <f t="shared" si="133"/>
        <v>&lt;Valeur name="valeur"&gt;0.21&lt;/Valeur&gt;</v>
      </c>
      <c r="AN342" t="str">
        <f t="shared" si="123"/>
        <v>&lt;Insert&gt;&lt;Valeur name="no"&gt;317&lt;/Valeur&gt;&lt;Valeur name="banque"&gt;1&lt;/Valeur&gt;&lt;Valeur name="pointer"&gt;1&lt;/Valeur&gt;&lt;Valeur name="idbanque"&gt;300760283626261100200EUR201905159223020300&lt;/Valeur&gt;&lt;Valeur name="datevaleur"&gt;2019/05/15&lt;/Valeur&gt;&lt;Valeur name="intitule"&gt;FRAIS E-VIR SEPA VERS EEE&lt;/Valeur&gt;&lt;Valeur name="description"&gt;&lt;/Valeur&gt;&lt;Valeur name="compte"&gt;18&lt;/Valeur&gt;&lt;Valeur name="solde"&gt;-10240.41&lt;/Valeur&gt;&lt;Valeur name="ventiler"&gt;0&lt;/Valeur&gt;&lt;Valeur name="compta"&gt;1&lt;/Valeur&gt;&lt;Valeur name="valeur"&gt;0.21&lt;/Valeur&gt;&lt;/Insert&gt;</v>
      </c>
    </row>
    <row r="343" spans="1:40" x14ac:dyDescent="0.25">
      <c r="A343" t="s">
        <v>785</v>
      </c>
      <c r="B343">
        <v>318</v>
      </c>
      <c r="C343" s="1">
        <v>43601</v>
      </c>
      <c r="D343">
        <v>1</v>
      </c>
      <c r="E343" t="str">
        <f>IF(F343&lt;&gt;"",INDEX(Balance!A:A,MATCH(F343,Balance!B:B,0)),"")</f>
        <v>Depense</v>
      </c>
      <c r="F343" t="s">
        <v>271</v>
      </c>
      <c r="G343" t="s">
        <v>786</v>
      </c>
      <c r="I343" s="10">
        <v>12</v>
      </c>
      <c r="K343" s="11">
        <f t="shared" si="114"/>
        <v>2</v>
      </c>
      <c r="L343" s="10">
        <f t="shared" si="115"/>
        <v>-10252.409999999985</v>
      </c>
      <c r="N343">
        <v>318</v>
      </c>
      <c r="O343">
        <v>1</v>
      </c>
      <c r="P343">
        <v>1</v>
      </c>
      <c r="Q343" t="str">
        <f t="shared" si="116"/>
        <v>300760283626261100200EUR201905161073307500</v>
      </c>
      <c r="R343" s="16" t="s">
        <v>929</v>
      </c>
      <c r="S343" t="str">
        <f t="shared" si="117"/>
        <v>CB 548222 EFFIA       59VALENCIE</v>
      </c>
      <c r="U343">
        <f>IFERROR(VLOOKUP(F343,tab!A:B,2,FALSE),1)</f>
        <v>15</v>
      </c>
      <c r="V343" s="14">
        <f t="shared" si="118"/>
        <v>-10252.409999999985</v>
      </c>
      <c r="W343">
        <f t="shared" si="119"/>
        <v>0</v>
      </c>
      <c r="X343">
        <f t="shared" si="120"/>
        <v>1</v>
      </c>
      <c r="Y343" s="14">
        <f t="shared" si="121"/>
        <v>12</v>
      </c>
      <c r="AA343" t="str">
        <f t="shared" si="122"/>
        <v>&lt;Valeur name="no"&gt;318&lt;/Valeur&gt;</v>
      </c>
      <c r="AB343" t="str">
        <f t="shared" si="122"/>
        <v>&lt;Valeur name="banque"&gt;1&lt;/Valeur&gt;</v>
      </c>
      <c r="AC343" t="str">
        <f t="shared" si="124"/>
        <v>&lt;Valeur name="pointer"&gt;1&lt;/Valeur&gt;</v>
      </c>
      <c r="AD343" t="str">
        <f t="shared" si="125"/>
        <v>&lt;Valeur name="idbanque"&gt;300760283626261100200EUR201905161073307500&lt;/Valeur&gt;</v>
      </c>
      <c r="AE343" t="str">
        <f t="shared" si="126"/>
        <v>&lt;Valeur name="datevaleur"&gt;2019/05/16&lt;/Valeur&gt;</v>
      </c>
      <c r="AF343" t="str">
        <f t="shared" si="127"/>
        <v>&lt;Valeur name="intitule"&gt;CB 548222 EFFIA       59VALENCIE&lt;/Valeur&gt;</v>
      </c>
      <c r="AG343" t="str">
        <f t="shared" si="128"/>
        <v>&lt;Valeur name="description"&gt;&lt;/Valeur&gt;</v>
      </c>
      <c r="AH343" t="str">
        <f t="shared" si="129"/>
        <v>&lt;Valeur name="compte"&gt;15&lt;/Valeur&gt;</v>
      </c>
      <c r="AI343" t="str">
        <f t="shared" si="130"/>
        <v>&lt;Valeur name="solde"&gt;-10252.41&lt;/Valeur&gt;</v>
      </c>
      <c r="AJ343" t="str">
        <f t="shared" si="131"/>
        <v>&lt;Valeur name="ventiler"&gt;0&lt;/Valeur&gt;</v>
      </c>
      <c r="AK343" t="str">
        <f t="shared" si="132"/>
        <v>&lt;Valeur name="compta"&gt;1&lt;/Valeur&gt;</v>
      </c>
      <c r="AL343" t="str">
        <f t="shared" si="133"/>
        <v>&lt;Valeur name="valeur"&gt;12&lt;/Valeur&gt;</v>
      </c>
      <c r="AN343" t="str">
        <f t="shared" si="123"/>
        <v>&lt;Insert&gt;&lt;Valeur name="no"&gt;318&lt;/Valeur&gt;&lt;Valeur name="banque"&gt;1&lt;/Valeur&gt;&lt;Valeur name="pointer"&gt;1&lt;/Valeur&gt;&lt;Valeur name="idbanque"&gt;300760283626261100200EUR201905161073307500&lt;/Valeur&gt;&lt;Valeur name="datevaleur"&gt;2019/05/16&lt;/Valeur&gt;&lt;Valeur name="intitule"&gt;CB 548222 EFFIA       59VALENCIE&lt;/Valeur&gt;&lt;Valeur name="description"&gt;&lt;/Valeur&gt;&lt;Valeur name="compte"&gt;15&lt;/Valeur&gt;&lt;Valeur name="solde"&gt;-10252.41&lt;/Valeur&gt;&lt;Valeur name="ventiler"&gt;0&lt;/Valeur&gt;&lt;Valeur name="compta"&gt;1&lt;/Valeur&gt;&lt;Valeur name="valeur"&gt;12&lt;/Valeur&gt;&lt;/Insert&gt;</v>
      </c>
    </row>
    <row r="344" spans="1:40" x14ac:dyDescent="0.25">
      <c r="A344" t="s">
        <v>787</v>
      </c>
      <c r="B344">
        <v>319</v>
      </c>
      <c r="C344" s="1">
        <v>43601</v>
      </c>
      <c r="D344">
        <v>1</v>
      </c>
      <c r="E344" t="str">
        <f>IF(F344&lt;&gt;"",INDEX(Balance!A:A,MATCH(F344,Balance!B:B,0)),"")</f>
        <v>Depense</v>
      </c>
      <c r="F344" t="s">
        <v>266</v>
      </c>
      <c r="G344" t="s">
        <v>788</v>
      </c>
      <c r="I344" s="10">
        <v>3.53</v>
      </c>
      <c r="K344" s="11">
        <f t="shared" si="114"/>
        <v>0.58833333333333337</v>
      </c>
      <c r="L344" s="10">
        <f t="shared" si="115"/>
        <v>-10255.939999999986</v>
      </c>
      <c r="N344">
        <v>319</v>
      </c>
      <c r="O344">
        <v>1</v>
      </c>
      <c r="P344">
        <v>1</v>
      </c>
      <c r="Q344" t="str">
        <f t="shared" si="116"/>
        <v>300760283626261100200EUR201905161078956100</v>
      </c>
      <c r="R344" s="16" t="s">
        <v>929</v>
      </c>
      <c r="S344" t="str">
        <f t="shared" si="117"/>
        <v>CB 454106 INFOGREFFE  94VINCENNE</v>
      </c>
      <c r="U344">
        <f>IFERROR(VLOOKUP(F344,tab!A:B,2,FALSE),1)</f>
        <v>16</v>
      </c>
      <c r="V344" s="14">
        <f t="shared" si="118"/>
        <v>-10255.939999999986</v>
      </c>
      <c r="W344">
        <f t="shared" si="119"/>
        <v>0</v>
      </c>
      <c r="X344">
        <f t="shared" si="120"/>
        <v>1</v>
      </c>
      <c r="Y344" s="14">
        <f t="shared" si="121"/>
        <v>3.53</v>
      </c>
      <c r="AA344" t="str">
        <f t="shared" si="122"/>
        <v>&lt;Valeur name="no"&gt;319&lt;/Valeur&gt;</v>
      </c>
      <c r="AB344" t="str">
        <f t="shared" si="122"/>
        <v>&lt;Valeur name="banque"&gt;1&lt;/Valeur&gt;</v>
      </c>
      <c r="AC344" t="str">
        <f t="shared" si="124"/>
        <v>&lt;Valeur name="pointer"&gt;1&lt;/Valeur&gt;</v>
      </c>
      <c r="AD344" t="str">
        <f t="shared" si="125"/>
        <v>&lt;Valeur name="idbanque"&gt;300760283626261100200EUR201905161078956100&lt;/Valeur&gt;</v>
      </c>
      <c r="AE344" t="str">
        <f t="shared" si="126"/>
        <v>&lt;Valeur name="datevaleur"&gt;2019/05/16&lt;/Valeur&gt;</v>
      </c>
      <c r="AF344" t="str">
        <f t="shared" si="127"/>
        <v>&lt;Valeur name="intitule"&gt;CB 454106 INFOGREFFE  94VINCENNE&lt;/Valeur&gt;</v>
      </c>
      <c r="AG344" t="str">
        <f t="shared" si="128"/>
        <v>&lt;Valeur name="description"&gt;&lt;/Valeur&gt;</v>
      </c>
      <c r="AH344" t="str">
        <f t="shared" si="129"/>
        <v>&lt;Valeur name="compte"&gt;16&lt;/Valeur&gt;</v>
      </c>
      <c r="AI344" t="str">
        <f t="shared" si="130"/>
        <v>&lt;Valeur name="solde"&gt;-10255.94&lt;/Valeur&gt;</v>
      </c>
      <c r="AJ344" t="str">
        <f t="shared" si="131"/>
        <v>&lt;Valeur name="ventiler"&gt;0&lt;/Valeur&gt;</v>
      </c>
      <c r="AK344" t="str">
        <f t="shared" si="132"/>
        <v>&lt;Valeur name="compta"&gt;1&lt;/Valeur&gt;</v>
      </c>
      <c r="AL344" t="str">
        <f t="shared" si="133"/>
        <v>&lt;Valeur name="valeur"&gt;3.53&lt;/Valeur&gt;</v>
      </c>
      <c r="AN344" t="str">
        <f t="shared" si="123"/>
        <v>&lt;Insert&gt;&lt;Valeur name="no"&gt;319&lt;/Valeur&gt;&lt;Valeur name="banque"&gt;1&lt;/Valeur&gt;&lt;Valeur name="pointer"&gt;1&lt;/Valeur&gt;&lt;Valeur name="idbanque"&gt;300760283626261100200EUR201905161078956100&lt;/Valeur&gt;&lt;Valeur name="datevaleur"&gt;2019/05/16&lt;/Valeur&gt;&lt;Valeur name="intitule"&gt;CB 454106 INFOGREFFE  94VINCENNE&lt;/Valeur&gt;&lt;Valeur name="description"&gt;&lt;/Valeur&gt;&lt;Valeur name="compte"&gt;16&lt;/Valeur&gt;&lt;Valeur name="solde"&gt;-10255.94&lt;/Valeur&gt;&lt;Valeur name="ventiler"&gt;0&lt;/Valeur&gt;&lt;Valeur name="compta"&gt;1&lt;/Valeur&gt;&lt;Valeur name="valeur"&gt;3.53&lt;/Valeur&gt;&lt;/Insert&gt;</v>
      </c>
    </row>
    <row r="345" spans="1:40" x14ac:dyDescent="0.25">
      <c r="A345" t="s">
        <v>789</v>
      </c>
      <c r="B345">
        <v>320</v>
      </c>
      <c r="C345" s="1">
        <v>43601</v>
      </c>
      <c r="E345" t="str">
        <f>IF(F345&lt;&gt;"",INDEX(Balance!A:A,MATCH(F345,Balance!B:B,0)),"")</f>
        <v>Client</v>
      </c>
      <c r="F345" t="s">
        <v>370</v>
      </c>
      <c r="G345" t="s">
        <v>37</v>
      </c>
      <c r="H345" t="s">
        <v>790</v>
      </c>
      <c r="J345" s="10">
        <v>13324</v>
      </c>
      <c r="K345" s="11">
        <f t="shared" si="114"/>
        <v>-2220.6666666666661</v>
      </c>
      <c r="L345" s="10">
        <f t="shared" si="115"/>
        <v>3068.060000000014</v>
      </c>
      <c r="N345">
        <v>320</v>
      </c>
      <c r="O345">
        <v>1</v>
      </c>
      <c r="P345">
        <v>1</v>
      </c>
      <c r="Q345" t="str">
        <f t="shared" si="116"/>
        <v>300760283626261100200EUR201905166316003300</v>
      </c>
      <c r="R345" s="16" t="s">
        <v>929</v>
      </c>
      <c r="S345" t="str">
        <f t="shared" si="117"/>
        <v>VIR TRESORERIE VILLENEUVE D / FAC NoAF241-5 DU 30/03/2019VILLE</v>
      </c>
      <c r="U345">
        <f>IFERROR(VLOOKUP(F345,tab!A:B,2,FALSE),1)</f>
        <v>9</v>
      </c>
      <c r="V345" s="14">
        <f t="shared" si="118"/>
        <v>3068.060000000014</v>
      </c>
      <c r="W345">
        <f t="shared" si="119"/>
        <v>0</v>
      </c>
      <c r="X345" t="str">
        <f t="shared" si="120"/>
        <v/>
      </c>
      <c r="Y345" s="14">
        <f t="shared" si="121"/>
        <v>13324</v>
      </c>
      <c r="AA345" t="str">
        <f t="shared" si="122"/>
        <v>&lt;Valeur name="no"&gt;320&lt;/Valeur&gt;</v>
      </c>
      <c r="AB345" t="str">
        <f t="shared" si="122"/>
        <v>&lt;Valeur name="banque"&gt;1&lt;/Valeur&gt;</v>
      </c>
      <c r="AC345" t="str">
        <f t="shared" si="124"/>
        <v>&lt;Valeur name="pointer"&gt;1&lt;/Valeur&gt;</v>
      </c>
      <c r="AD345" t="str">
        <f t="shared" si="125"/>
        <v>&lt;Valeur name="idbanque"&gt;300760283626261100200EUR201905166316003300&lt;/Valeur&gt;</v>
      </c>
      <c r="AE345" t="str">
        <f t="shared" si="126"/>
        <v>&lt;Valeur name="datevaleur"&gt;2019/05/16&lt;/Valeur&gt;</v>
      </c>
      <c r="AF345" t="str">
        <f t="shared" si="127"/>
        <v>&lt;Valeur name="intitule"&gt;VIR TRESORERIE VILLENEUVE D / FAC NoAF241-5 DU 30/03/2019VILLE&lt;/Valeur&gt;</v>
      </c>
      <c r="AG345" t="str">
        <f t="shared" si="128"/>
        <v>&lt;Valeur name="description"&gt;&lt;/Valeur&gt;</v>
      </c>
      <c r="AH345" t="str">
        <f t="shared" si="129"/>
        <v>&lt;Valeur name="compte"&gt;9&lt;/Valeur&gt;</v>
      </c>
      <c r="AI345" t="str">
        <f t="shared" si="130"/>
        <v>&lt;Valeur name="solde"&gt;3068.06000000001&lt;/Valeur&gt;</v>
      </c>
      <c r="AJ345" t="str">
        <f t="shared" si="131"/>
        <v>&lt;Valeur name="ventiler"&gt;0&lt;/Valeur&gt;</v>
      </c>
      <c r="AK345" t="str">
        <f t="shared" si="132"/>
        <v>&lt;Valeur name="compta"&gt;&lt;/Valeur&gt;</v>
      </c>
      <c r="AL345" t="str">
        <f t="shared" si="133"/>
        <v>&lt;Valeur name="valeur"&gt;13324&lt;/Valeur&gt;</v>
      </c>
      <c r="AN345" t="str">
        <f t="shared" si="123"/>
        <v>&lt;Insert&gt;&lt;Valeur name="no"&gt;320&lt;/Valeur&gt;&lt;Valeur name="banque"&gt;1&lt;/Valeur&gt;&lt;Valeur name="pointer"&gt;1&lt;/Valeur&gt;&lt;Valeur name="idbanque"&gt;300760283626261100200EUR201905166316003300&lt;/Valeur&gt;&lt;Valeur name="datevaleur"&gt;2019/05/16&lt;/Valeur&gt;&lt;Valeur name="intitule"&gt;VIR TRESORERIE VILLENEUVE D / FAC NoAF241-5 DU 30/03/2019VILLE&lt;/Valeur&gt;&lt;Valeur name="description"&gt;&lt;/Valeur&gt;&lt;Valeur name="compte"&gt;9&lt;/Valeur&gt;&lt;Valeur name="solde"&gt;3068.06000000001&lt;/Valeur&gt;&lt;Valeur name="ventiler"&gt;0&lt;/Valeur&gt;&lt;Valeur name="compta"&gt;&lt;/Valeur&gt;&lt;Valeur name="valeur"&gt;13324&lt;/Valeur&gt;&lt;/Insert&gt;</v>
      </c>
    </row>
    <row r="346" spans="1:40" x14ac:dyDescent="0.25">
      <c r="A346" t="s">
        <v>791</v>
      </c>
      <c r="B346">
        <v>321</v>
      </c>
      <c r="C346" s="1">
        <v>43601</v>
      </c>
      <c r="D346">
        <v>1</v>
      </c>
      <c r="E346" t="str">
        <f>IF(F346&lt;&gt;"",INDEX(Balance!A:A,MATCH(F346,Balance!B:B,0)),"")</f>
        <v>Depense</v>
      </c>
      <c r="F346" t="s">
        <v>269</v>
      </c>
      <c r="G346" t="s">
        <v>47</v>
      </c>
      <c r="H346" t="s">
        <v>792</v>
      </c>
      <c r="I346" s="10">
        <v>2307</v>
      </c>
      <c r="K346" s="11">
        <f t="shared" si="114"/>
        <v>384.5</v>
      </c>
      <c r="L346" s="10">
        <f t="shared" si="115"/>
        <v>761.06000000001404</v>
      </c>
      <c r="N346">
        <v>321</v>
      </c>
      <c r="O346">
        <v>1</v>
      </c>
      <c r="P346">
        <v>1</v>
      </c>
      <c r="Q346" t="str">
        <f t="shared" si="116"/>
        <v>300760283626261100200EUR201905166336600700</v>
      </c>
      <c r="R346" s="16" t="s">
        <v>929</v>
      </c>
      <c r="S346" t="str">
        <f t="shared" si="117"/>
        <v>PRLV SEPA URSSAF Nord-Pas-de-Cal / UR 317000001020473292    AVR 197</v>
      </c>
      <c r="U346">
        <f>IFERROR(VLOOKUP(F346,tab!A:B,2,FALSE),1)</f>
        <v>14</v>
      </c>
      <c r="V346" s="14">
        <f t="shared" si="118"/>
        <v>761.06000000001404</v>
      </c>
      <c r="W346">
        <f t="shared" si="119"/>
        <v>0</v>
      </c>
      <c r="X346">
        <f t="shared" si="120"/>
        <v>1</v>
      </c>
      <c r="Y346" s="14">
        <f t="shared" si="121"/>
        <v>2307</v>
      </c>
      <c r="AA346" t="str">
        <f t="shared" si="122"/>
        <v>&lt;Valeur name="no"&gt;321&lt;/Valeur&gt;</v>
      </c>
      <c r="AB346" t="str">
        <f t="shared" si="122"/>
        <v>&lt;Valeur name="banque"&gt;1&lt;/Valeur&gt;</v>
      </c>
      <c r="AC346" t="str">
        <f t="shared" si="124"/>
        <v>&lt;Valeur name="pointer"&gt;1&lt;/Valeur&gt;</v>
      </c>
      <c r="AD346" t="str">
        <f t="shared" si="125"/>
        <v>&lt;Valeur name="idbanque"&gt;300760283626261100200EUR201905166336600700&lt;/Valeur&gt;</v>
      </c>
      <c r="AE346" t="str">
        <f t="shared" si="126"/>
        <v>&lt;Valeur name="datevaleur"&gt;2019/05/16&lt;/Valeur&gt;</v>
      </c>
      <c r="AF346" t="str">
        <f t="shared" si="127"/>
        <v>&lt;Valeur name="intitule"&gt;PRLV SEPA URSSAF Nord-Pas-de-Cal / UR 317000001020473292    AVR 197&lt;/Valeur&gt;</v>
      </c>
      <c r="AG346" t="str">
        <f t="shared" si="128"/>
        <v>&lt;Valeur name="description"&gt;&lt;/Valeur&gt;</v>
      </c>
      <c r="AH346" t="str">
        <f>IF(ISBLANK($N346),"",U$1&amp;U346&amp;"&lt;/Valeur&gt;")</f>
        <v>&lt;Valeur name="compte"&gt;14&lt;/Valeur&gt;</v>
      </c>
      <c r="AI346" t="str">
        <f t="shared" si="130"/>
        <v>&lt;Valeur name="solde"&gt;761.060000000014&lt;/Valeur&gt;</v>
      </c>
      <c r="AJ346" t="str">
        <f t="shared" si="131"/>
        <v>&lt;Valeur name="ventiler"&gt;0&lt;/Valeur&gt;</v>
      </c>
      <c r="AK346" t="str">
        <f t="shared" si="132"/>
        <v>&lt;Valeur name="compta"&gt;1&lt;/Valeur&gt;</v>
      </c>
      <c r="AL346" t="str">
        <f t="shared" si="133"/>
        <v>&lt;Valeur name="valeur"&gt;2307&lt;/Valeur&gt;</v>
      </c>
      <c r="AN346" t="str">
        <f t="shared" si="123"/>
        <v>&lt;Insert&gt;&lt;Valeur name="no"&gt;321&lt;/Valeur&gt;&lt;Valeur name="banque"&gt;1&lt;/Valeur&gt;&lt;Valeur name="pointer"&gt;1&lt;/Valeur&gt;&lt;Valeur name="idbanque"&gt;300760283626261100200EUR201905166336600700&lt;/Valeur&gt;&lt;Valeur name="datevaleur"&gt;2019/05/16&lt;/Valeur&gt;&lt;Valeur name="intitule"&gt;PRLV SEPA URSSAF Nord-Pas-de-Cal / UR 317000001020473292    AVR 197&lt;/Valeur&gt;&lt;Valeur name="description"&gt;&lt;/Valeur&gt;&lt;Valeur name="compte"&gt;14&lt;/Valeur&gt;&lt;Valeur name="solde"&gt;761.060000000014&lt;/Valeur&gt;&lt;Valeur name="ventiler"&gt;0&lt;/Valeur&gt;&lt;Valeur name="compta"&gt;1&lt;/Valeur&gt;&lt;Valeur name="valeur"&gt;2307&lt;/Valeur&gt;&lt;/Insert&gt;</v>
      </c>
    </row>
    <row r="347" spans="1:40" x14ac:dyDescent="0.25">
      <c r="A347" t="s">
        <v>793</v>
      </c>
      <c r="B347">
        <v>322</v>
      </c>
      <c r="C347" s="1">
        <v>43602</v>
      </c>
      <c r="E347" t="str">
        <f>IF(F347&lt;&gt;"",INDEX(Balance!A:A,MATCH(F347,Balance!B:B,0)),"")</f>
        <v/>
      </c>
      <c r="G347" t="s">
        <v>794</v>
      </c>
      <c r="I347" s="10">
        <v>106.86</v>
      </c>
      <c r="K347" s="11">
        <f t="shared" si="114"/>
        <v>17.810000000000002</v>
      </c>
      <c r="L347" s="10">
        <f t="shared" si="115"/>
        <v>654.20000000001403</v>
      </c>
      <c r="N347">
        <v>322</v>
      </c>
      <c r="O347">
        <v>1</v>
      </c>
      <c r="P347">
        <v>1</v>
      </c>
      <c r="Q347" t="str">
        <f t="shared" si="116"/>
        <v>300760283626261100200EUR201905170910263600</v>
      </c>
      <c r="R347" s="16" t="s">
        <v>914</v>
      </c>
      <c r="S347" t="str">
        <f t="shared" si="117"/>
        <v>RELEVE LCR DU  100519  CONFORME</v>
      </c>
      <c r="U347">
        <f>IFERROR(VLOOKUP(F347,tab!A:B,2,FALSE),1)</f>
        <v>1</v>
      </c>
      <c r="V347" s="14">
        <f t="shared" si="118"/>
        <v>654.20000000001403</v>
      </c>
      <c r="W347">
        <f t="shared" si="119"/>
        <v>0</v>
      </c>
      <c r="X347" t="str">
        <f t="shared" si="120"/>
        <v/>
      </c>
      <c r="Y347" s="14">
        <f t="shared" si="121"/>
        <v>106.86</v>
      </c>
      <c r="AA347" t="str">
        <f t="shared" si="122"/>
        <v>&lt;Valeur name="no"&gt;322&lt;/Valeur&gt;</v>
      </c>
      <c r="AB347" t="str">
        <f t="shared" si="122"/>
        <v>&lt;Valeur name="banque"&gt;1&lt;/Valeur&gt;</v>
      </c>
      <c r="AC347" t="str">
        <f t="shared" si="124"/>
        <v>&lt;Valeur name="pointer"&gt;1&lt;/Valeur&gt;</v>
      </c>
      <c r="AD347" t="str">
        <f t="shared" si="125"/>
        <v>&lt;Valeur name="idbanque"&gt;300760283626261100200EUR201905170910263600&lt;/Valeur&gt;</v>
      </c>
      <c r="AE347" t="str">
        <f t="shared" si="126"/>
        <v>&lt;Valeur name="datevaleur"&gt;2019/05/17&lt;/Valeur&gt;</v>
      </c>
      <c r="AF347" t="str">
        <f t="shared" si="127"/>
        <v>&lt;Valeur name="intitule"&gt;RELEVE LCR DU  100519  CONFORME&lt;/Valeur&gt;</v>
      </c>
      <c r="AG347" t="str">
        <f t="shared" si="128"/>
        <v>&lt;Valeur name="description"&gt;&lt;/Valeur&gt;</v>
      </c>
      <c r="AH347" t="str">
        <f t="shared" si="129"/>
        <v>&lt;Valeur name="compte"&gt;1&lt;/Valeur&gt;</v>
      </c>
      <c r="AI347" t="str">
        <f t="shared" si="130"/>
        <v>&lt;Valeur name="solde"&gt;654.200000000014&lt;/Valeur&gt;</v>
      </c>
      <c r="AJ347" t="str">
        <f t="shared" si="131"/>
        <v>&lt;Valeur name="ventiler"&gt;0&lt;/Valeur&gt;</v>
      </c>
      <c r="AK347" t="str">
        <f t="shared" si="132"/>
        <v>&lt;Valeur name="compta"&gt;&lt;/Valeur&gt;</v>
      </c>
      <c r="AL347" t="str">
        <f t="shared" si="133"/>
        <v>&lt;Valeur name="valeur"&gt;106.86&lt;/Valeur&gt;</v>
      </c>
      <c r="AN347" t="str">
        <f t="shared" si="123"/>
        <v>&lt;Insert&gt;&lt;Valeur name="no"&gt;322&lt;/Valeur&gt;&lt;Valeur name="banque"&gt;1&lt;/Valeur&gt;&lt;Valeur name="pointer"&gt;1&lt;/Valeur&gt;&lt;Valeur name="idbanque"&gt;300760283626261100200EUR201905170910263600&lt;/Valeur&gt;&lt;Valeur name="datevaleur"&gt;2019/05/17&lt;/Valeur&gt;&lt;Valeur name="intitule"&gt;RELEVE LCR DU  100519  CONFORME&lt;/Valeur&gt;&lt;Valeur name="description"&gt;&lt;/Valeur&gt;&lt;Valeur name="compte"&gt;1&lt;/Valeur&gt;&lt;Valeur name="solde"&gt;654.200000000014&lt;/Valeur&gt;&lt;Valeur name="ventiler"&gt;0&lt;/Valeur&gt;&lt;Valeur name="compta"&gt;&lt;/Valeur&gt;&lt;Valeur name="valeur"&gt;106.86&lt;/Valeur&gt;&lt;/Insert&gt;</v>
      </c>
    </row>
    <row r="348" spans="1:40" x14ac:dyDescent="0.25">
      <c r="A348" t="s">
        <v>805</v>
      </c>
      <c r="B348">
        <v>323</v>
      </c>
      <c r="C348" s="1">
        <v>43602</v>
      </c>
      <c r="E348" t="str">
        <f>IF(F348&lt;&gt;"",INDEX(Balance!A:A,MATCH(F348,Balance!B:B,0)),"")</f>
        <v/>
      </c>
      <c r="G348" t="s">
        <v>142</v>
      </c>
      <c r="I348" s="10">
        <v>76.63</v>
      </c>
      <c r="K348" s="11">
        <f t="shared" ref="K348:K359" si="134">IF(I348&gt;0,I348-(I348/TVA),-(J348-(J348/TVA)))</f>
        <v>12.771666666666661</v>
      </c>
      <c r="L348" s="10">
        <f t="shared" ref="L348:L359" si="135">L347-I348+J348</f>
        <v>577.57000000001403</v>
      </c>
      <c r="N348">
        <v>323</v>
      </c>
      <c r="O348">
        <v>1</v>
      </c>
      <c r="P348">
        <v>1</v>
      </c>
      <c r="Q348" t="str">
        <f t="shared" si="116"/>
        <v>300760283626261100200EUR201905171075104700</v>
      </c>
      <c r="R348" s="16" t="s">
        <v>914</v>
      </c>
      <c r="S348" t="str">
        <f t="shared" si="117"/>
        <v>CB 454106 DAC SM MATC 59BAVAY</v>
      </c>
      <c r="U348">
        <f>IFERROR(VLOOKUP(F348,tab!A:B,2,FALSE),1)</f>
        <v>1</v>
      </c>
      <c r="V348" s="14">
        <f t="shared" si="118"/>
        <v>577.57000000001403</v>
      </c>
      <c r="W348">
        <f t="shared" si="119"/>
        <v>0</v>
      </c>
      <c r="X348" t="str">
        <f t="shared" si="120"/>
        <v/>
      </c>
      <c r="Y348" s="14">
        <f t="shared" si="121"/>
        <v>76.63</v>
      </c>
      <c r="AA348" t="str">
        <f t="shared" si="122"/>
        <v>&lt;Valeur name="no"&gt;323&lt;/Valeur&gt;</v>
      </c>
      <c r="AB348" t="str">
        <f t="shared" si="122"/>
        <v>&lt;Valeur name="banque"&gt;1&lt;/Valeur&gt;</v>
      </c>
      <c r="AC348" t="str">
        <f t="shared" si="124"/>
        <v>&lt;Valeur name="pointer"&gt;1&lt;/Valeur&gt;</v>
      </c>
      <c r="AD348" t="str">
        <f t="shared" si="125"/>
        <v>&lt;Valeur name="idbanque"&gt;300760283626261100200EUR201905171075104700&lt;/Valeur&gt;</v>
      </c>
      <c r="AE348" t="str">
        <f t="shared" si="126"/>
        <v>&lt;Valeur name="datevaleur"&gt;2019/05/17&lt;/Valeur&gt;</v>
      </c>
      <c r="AF348" t="str">
        <f t="shared" si="127"/>
        <v>&lt;Valeur name="intitule"&gt;CB 454106 DAC SM MATC 59BAVAY&lt;/Valeur&gt;</v>
      </c>
      <c r="AG348" t="str">
        <f t="shared" si="128"/>
        <v>&lt;Valeur name="description"&gt;&lt;/Valeur&gt;</v>
      </c>
      <c r="AH348" t="str">
        <f t="shared" si="129"/>
        <v>&lt;Valeur name="compte"&gt;1&lt;/Valeur&gt;</v>
      </c>
      <c r="AI348" t="str">
        <f t="shared" si="130"/>
        <v>&lt;Valeur name="solde"&gt;577.570000000014&lt;/Valeur&gt;</v>
      </c>
      <c r="AJ348" t="str">
        <f t="shared" si="131"/>
        <v>&lt;Valeur name="ventiler"&gt;0&lt;/Valeur&gt;</v>
      </c>
      <c r="AK348" t="str">
        <f t="shared" si="132"/>
        <v>&lt;Valeur name="compta"&gt;&lt;/Valeur&gt;</v>
      </c>
      <c r="AL348" t="str">
        <f t="shared" si="133"/>
        <v>&lt;Valeur name="valeur"&gt;76.63&lt;/Valeur&gt;</v>
      </c>
      <c r="AN348" t="str">
        <f t="shared" si="123"/>
        <v>&lt;Insert&gt;&lt;Valeur name="no"&gt;323&lt;/Valeur&gt;&lt;Valeur name="banque"&gt;1&lt;/Valeur&gt;&lt;Valeur name="pointer"&gt;1&lt;/Valeur&gt;&lt;Valeur name="idbanque"&gt;300760283626261100200EUR201905171075104700&lt;/Valeur&gt;&lt;Valeur name="datevaleur"&gt;2019/05/17&lt;/Valeur&gt;&lt;Valeur name="intitule"&gt;CB 454106 DAC SM MATC 59BAVAY&lt;/Valeur&gt;&lt;Valeur name="description"&gt;&lt;/Valeur&gt;&lt;Valeur name="compte"&gt;1&lt;/Valeur&gt;&lt;Valeur name="solde"&gt;577.570000000014&lt;/Valeur&gt;&lt;Valeur name="ventiler"&gt;0&lt;/Valeur&gt;&lt;Valeur name="compta"&gt;&lt;/Valeur&gt;&lt;Valeur name="valeur"&gt;76.63&lt;/Valeur&gt;&lt;/Insert&gt;</v>
      </c>
    </row>
    <row r="349" spans="1:40" x14ac:dyDescent="0.25">
      <c r="A349" t="s">
        <v>806</v>
      </c>
      <c r="B349">
        <v>324</v>
      </c>
      <c r="C349" s="1">
        <v>43602</v>
      </c>
      <c r="D349">
        <v>1</v>
      </c>
      <c r="E349" t="str">
        <f>IF(F349&lt;&gt;"",INDEX(Balance!A:A,MATCH(F349,Balance!B:B,0)),"")</f>
        <v/>
      </c>
      <c r="G349" t="s">
        <v>144</v>
      </c>
      <c r="J349" s="10">
        <v>348</v>
      </c>
      <c r="K349" s="11">
        <f t="shared" si="134"/>
        <v>-58</v>
      </c>
      <c r="L349" s="10">
        <f t="shared" si="135"/>
        <v>925.57000000001403</v>
      </c>
      <c r="N349">
        <v>324</v>
      </c>
      <c r="O349">
        <v>1</v>
      </c>
      <c r="P349">
        <v>1</v>
      </c>
      <c r="Q349" t="str">
        <f t="shared" si="116"/>
        <v>300760283626261100200EUR201905178300538700</v>
      </c>
      <c r="R349" s="16" t="s">
        <v>914</v>
      </c>
      <c r="S349" t="str">
        <f t="shared" si="117"/>
        <v>REMISE CHEQUES</v>
      </c>
      <c r="U349">
        <f>IFERROR(VLOOKUP(F349,tab!A:B,2,FALSE),1)</f>
        <v>1</v>
      </c>
      <c r="V349" s="14">
        <f t="shared" si="118"/>
        <v>925.57000000001403</v>
      </c>
      <c r="W349">
        <f t="shared" si="119"/>
        <v>0</v>
      </c>
      <c r="X349">
        <f t="shared" si="120"/>
        <v>1</v>
      </c>
      <c r="Y349" s="14">
        <f t="shared" si="121"/>
        <v>348</v>
      </c>
      <c r="AA349" t="str">
        <f t="shared" si="122"/>
        <v>&lt;Valeur name="no"&gt;324&lt;/Valeur&gt;</v>
      </c>
      <c r="AB349" t="str">
        <f t="shared" si="122"/>
        <v>&lt;Valeur name="banque"&gt;1&lt;/Valeur&gt;</v>
      </c>
      <c r="AC349" t="str">
        <f t="shared" si="124"/>
        <v>&lt;Valeur name="pointer"&gt;1&lt;/Valeur&gt;</v>
      </c>
      <c r="AD349" t="str">
        <f t="shared" si="125"/>
        <v>&lt;Valeur name="idbanque"&gt;300760283626261100200EUR201905178300538700&lt;/Valeur&gt;</v>
      </c>
      <c r="AE349" t="str">
        <f t="shared" si="126"/>
        <v>&lt;Valeur name="datevaleur"&gt;2019/05/17&lt;/Valeur&gt;</v>
      </c>
      <c r="AF349" t="str">
        <f t="shared" si="127"/>
        <v>&lt;Valeur name="intitule"&gt;REMISE CHEQUES&lt;/Valeur&gt;</v>
      </c>
      <c r="AG349" t="str">
        <f t="shared" si="128"/>
        <v>&lt;Valeur name="description"&gt;&lt;/Valeur&gt;</v>
      </c>
      <c r="AH349" t="str">
        <f t="shared" si="129"/>
        <v>&lt;Valeur name="compte"&gt;1&lt;/Valeur&gt;</v>
      </c>
      <c r="AI349" t="str">
        <f t="shared" si="130"/>
        <v>&lt;Valeur name="solde"&gt;925.570000000014&lt;/Valeur&gt;</v>
      </c>
      <c r="AJ349" t="str">
        <f t="shared" si="131"/>
        <v>&lt;Valeur name="ventiler"&gt;0&lt;/Valeur&gt;</v>
      </c>
      <c r="AK349" t="str">
        <f t="shared" si="132"/>
        <v>&lt;Valeur name="compta"&gt;1&lt;/Valeur&gt;</v>
      </c>
      <c r="AL349" t="str">
        <f t="shared" si="133"/>
        <v>&lt;Valeur name="valeur"&gt;348&lt;/Valeur&gt;</v>
      </c>
      <c r="AN349" t="str">
        <f t="shared" si="123"/>
        <v>&lt;Insert&gt;&lt;Valeur name="no"&gt;324&lt;/Valeur&gt;&lt;Valeur name="banque"&gt;1&lt;/Valeur&gt;&lt;Valeur name="pointer"&gt;1&lt;/Valeur&gt;&lt;Valeur name="idbanque"&gt;300760283626261100200EUR201905178300538700&lt;/Valeur&gt;&lt;Valeur name="datevaleur"&gt;2019/05/17&lt;/Valeur&gt;&lt;Valeur name="intitule"&gt;REMISE CHEQUES&lt;/Valeur&gt;&lt;Valeur name="description"&gt;&lt;/Valeur&gt;&lt;Valeur name="compte"&gt;1&lt;/Valeur&gt;&lt;Valeur name="solde"&gt;925.570000000014&lt;/Valeur&gt;&lt;Valeur name="ventiler"&gt;0&lt;/Valeur&gt;&lt;Valeur name="compta"&gt;1&lt;/Valeur&gt;&lt;Valeur name="valeur"&gt;348&lt;/Valeur&gt;&lt;/Insert&gt;</v>
      </c>
    </row>
    <row r="350" spans="1:40" x14ac:dyDescent="0.25">
      <c r="A350" t="s">
        <v>807</v>
      </c>
      <c r="B350">
        <v>325</v>
      </c>
      <c r="C350" s="1">
        <v>43605</v>
      </c>
      <c r="E350" t="str">
        <f>IF(F350&lt;&gt;"",INDEX(Balance!A:A,MATCH(F350,Balance!B:B,0)),"")</f>
        <v/>
      </c>
      <c r="G350" t="s">
        <v>42</v>
      </c>
      <c r="I350" s="10">
        <v>9.99</v>
      </c>
      <c r="K350" s="11">
        <f t="shared" si="134"/>
        <v>1.6649999999999991</v>
      </c>
      <c r="L350" s="10">
        <f t="shared" si="135"/>
        <v>915.58000000001402</v>
      </c>
      <c r="N350">
        <v>325</v>
      </c>
      <c r="O350">
        <v>1</v>
      </c>
      <c r="P350">
        <v>1</v>
      </c>
      <c r="Q350" t="str">
        <f t="shared" si="116"/>
        <v>300760283626261100200EUR201905201075133800</v>
      </c>
      <c r="R350" s="16" t="s">
        <v>983</v>
      </c>
      <c r="S350" t="str">
        <f t="shared" si="117"/>
        <v>CB 548222 GOOGLE GOOG GB   9,99</v>
      </c>
      <c r="U350">
        <f>IFERROR(VLOOKUP(F350,tab!A:B,2,FALSE),1)</f>
        <v>1</v>
      </c>
      <c r="V350" s="14">
        <f t="shared" si="118"/>
        <v>915.58000000001402</v>
      </c>
      <c r="W350">
        <f t="shared" si="119"/>
        <v>0</v>
      </c>
      <c r="X350" t="str">
        <f t="shared" si="120"/>
        <v/>
      </c>
      <c r="Y350" s="14">
        <f t="shared" si="121"/>
        <v>9.99</v>
      </c>
      <c r="AA350" t="str">
        <f t="shared" si="122"/>
        <v>&lt;Valeur name="no"&gt;325&lt;/Valeur&gt;</v>
      </c>
      <c r="AB350" t="str">
        <f t="shared" si="122"/>
        <v>&lt;Valeur name="banque"&gt;1&lt;/Valeur&gt;</v>
      </c>
      <c r="AC350" t="str">
        <f t="shared" si="124"/>
        <v>&lt;Valeur name="pointer"&gt;1&lt;/Valeur&gt;</v>
      </c>
      <c r="AD350" t="str">
        <f t="shared" si="125"/>
        <v>&lt;Valeur name="idbanque"&gt;300760283626261100200EUR201905201075133800&lt;/Valeur&gt;</v>
      </c>
      <c r="AE350" t="str">
        <f t="shared" si="126"/>
        <v>&lt;Valeur name="datevaleur"&gt;2019/05/20&lt;/Valeur&gt;</v>
      </c>
      <c r="AF350" t="str">
        <f t="shared" si="127"/>
        <v>&lt;Valeur name="intitule"&gt;CB 548222 GOOGLE GOOG GB   9,99&lt;/Valeur&gt;</v>
      </c>
      <c r="AG350" t="str">
        <f t="shared" si="128"/>
        <v>&lt;Valeur name="description"&gt;&lt;/Valeur&gt;</v>
      </c>
      <c r="AH350" t="str">
        <f t="shared" si="129"/>
        <v>&lt;Valeur name="compte"&gt;1&lt;/Valeur&gt;</v>
      </c>
      <c r="AI350" t="str">
        <f t="shared" si="130"/>
        <v>&lt;Valeur name="solde"&gt;915.580000000014&lt;/Valeur&gt;</v>
      </c>
      <c r="AJ350" t="str">
        <f t="shared" si="131"/>
        <v>&lt;Valeur name="ventiler"&gt;0&lt;/Valeur&gt;</v>
      </c>
      <c r="AK350" t="str">
        <f t="shared" si="132"/>
        <v>&lt;Valeur name="compta"&gt;&lt;/Valeur&gt;</v>
      </c>
      <c r="AL350" t="str">
        <f t="shared" si="133"/>
        <v>&lt;Valeur name="valeur"&gt;9.99&lt;/Valeur&gt;</v>
      </c>
      <c r="AN350" t="str">
        <f t="shared" si="123"/>
        <v>&lt;Insert&gt;&lt;Valeur name="no"&gt;325&lt;/Valeur&gt;&lt;Valeur name="banque"&gt;1&lt;/Valeur&gt;&lt;Valeur name="pointer"&gt;1&lt;/Valeur&gt;&lt;Valeur name="idbanque"&gt;300760283626261100200EUR201905201075133800&lt;/Valeur&gt;&lt;Valeur name="datevaleur"&gt;2019/05/20&lt;/Valeur&gt;&lt;Valeur name="intitule"&gt;CB 548222 GOOGLE GOOG GB   9,99&lt;/Valeur&gt;&lt;Valeur name="description"&gt;&lt;/Valeur&gt;&lt;Valeur name="compte"&gt;1&lt;/Valeur&gt;&lt;Valeur name="solde"&gt;915.580000000014&lt;/Valeur&gt;&lt;Valeur name="ventiler"&gt;0&lt;/Valeur&gt;&lt;Valeur name="compta"&gt;&lt;/Valeur&gt;&lt;Valeur name="valeur"&gt;9.99&lt;/Valeur&gt;&lt;/Insert&gt;</v>
      </c>
    </row>
    <row r="351" spans="1:40" x14ac:dyDescent="0.25">
      <c r="A351" t="s">
        <v>808</v>
      </c>
      <c r="B351">
        <v>326</v>
      </c>
      <c r="C351" s="1">
        <v>43605</v>
      </c>
      <c r="E351" t="str">
        <f>IF(F351&lt;&gt;"",INDEX(Balance!A:A,MATCH(F351,Balance!B:B,0)),"")</f>
        <v/>
      </c>
      <c r="G351" t="s">
        <v>809</v>
      </c>
      <c r="I351" s="10">
        <v>104.5</v>
      </c>
      <c r="K351" s="11">
        <f t="shared" si="134"/>
        <v>17.416666666666657</v>
      </c>
      <c r="L351" s="10">
        <f t="shared" si="135"/>
        <v>811.08000000001402</v>
      </c>
      <c r="N351">
        <v>326</v>
      </c>
      <c r="O351">
        <v>1</v>
      </c>
      <c r="P351">
        <v>1</v>
      </c>
      <c r="Q351" t="str">
        <f t="shared" si="116"/>
        <v>300760283626261100200EUR201905201076359300</v>
      </c>
      <c r="R351" s="16" t="s">
        <v>983</v>
      </c>
      <c r="S351" t="str">
        <f t="shared" si="117"/>
        <v>CB 454106 LE NERVIEN  59BAVAY</v>
      </c>
      <c r="U351">
        <f>IFERROR(VLOOKUP(F351,tab!A:B,2,FALSE),1)</f>
        <v>1</v>
      </c>
      <c r="V351" s="14">
        <f t="shared" si="118"/>
        <v>811.08000000001402</v>
      </c>
      <c r="W351">
        <f t="shared" si="119"/>
        <v>0</v>
      </c>
      <c r="X351" t="str">
        <f t="shared" si="120"/>
        <v/>
      </c>
      <c r="Y351" s="14">
        <f t="shared" si="121"/>
        <v>104.5</v>
      </c>
      <c r="AA351" t="str">
        <f t="shared" si="122"/>
        <v>&lt;Valeur name="no"&gt;326&lt;/Valeur&gt;</v>
      </c>
      <c r="AB351" t="str">
        <f t="shared" si="122"/>
        <v>&lt;Valeur name="banque"&gt;1&lt;/Valeur&gt;</v>
      </c>
      <c r="AC351" t="str">
        <f t="shared" si="124"/>
        <v>&lt;Valeur name="pointer"&gt;1&lt;/Valeur&gt;</v>
      </c>
      <c r="AD351" t="str">
        <f t="shared" si="125"/>
        <v>&lt;Valeur name="idbanque"&gt;300760283626261100200EUR201905201076359300&lt;/Valeur&gt;</v>
      </c>
      <c r="AE351" t="str">
        <f t="shared" si="126"/>
        <v>&lt;Valeur name="datevaleur"&gt;2019/05/20&lt;/Valeur&gt;</v>
      </c>
      <c r="AF351" t="str">
        <f t="shared" si="127"/>
        <v>&lt;Valeur name="intitule"&gt;CB 454106 LE NERVIEN  59BAVAY&lt;/Valeur&gt;</v>
      </c>
      <c r="AG351" t="str">
        <f t="shared" si="128"/>
        <v>&lt;Valeur name="description"&gt;&lt;/Valeur&gt;</v>
      </c>
      <c r="AH351" t="str">
        <f t="shared" si="129"/>
        <v>&lt;Valeur name="compte"&gt;1&lt;/Valeur&gt;</v>
      </c>
      <c r="AI351" t="str">
        <f t="shared" si="130"/>
        <v>&lt;Valeur name="solde"&gt;811.080000000014&lt;/Valeur&gt;</v>
      </c>
      <c r="AJ351" t="str">
        <f t="shared" si="131"/>
        <v>&lt;Valeur name="ventiler"&gt;0&lt;/Valeur&gt;</v>
      </c>
      <c r="AK351" t="str">
        <f t="shared" si="132"/>
        <v>&lt;Valeur name="compta"&gt;&lt;/Valeur&gt;</v>
      </c>
      <c r="AL351" t="str">
        <f t="shared" si="133"/>
        <v>&lt;Valeur name="valeur"&gt;104.5&lt;/Valeur&gt;</v>
      </c>
      <c r="AN351" t="str">
        <f t="shared" si="123"/>
        <v>&lt;Insert&gt;&lt;Valeur name="no"&gt;326&lt;/Valeur&gt;&lt;Valeur name="banque"&gt;1&lt;/Valeur&gt;&lt;Valeur name="pointer"&gt;1&lt;/Valeur&gt;&lt;Valeur name="idbanque"&gt;300760283626261100200EUR201905201076359300&lt;/Valeur&gt;&lt;Valeur name="datevaleur"&gt;2019/05/20&lt;/Valeur&gt;&lt;Valeur name="intitule"&gt;CB 454106 LE NERVIEN  59BAVAY&lt;/Valeur&gt;&lt;Valeur name="description"&gt;&lt;/Valeur&gt;&lt;Valeur name="compte"&gt;1&lt;/Valeur&gt;&lt;Valeur name="solde"&gt;811.080000000014&lt;/Valeur&gt;&lt;Valeur name="ventiler"&gt;0&lt;/Valeur&gt;&lt;Valeur name="compta"&gt;&lt;/Valeur&gt;&lt;Valeur name="valeur"&gt;104.5&lt;/Valeur&gt;&lt;/Insert&gt;</v>
      </c>
    </row>
    <row r="352" spans="1:40" x14ac:dyDescent="0.25">
      <c r="A352" t="s">
        <v>810</v>
      </c>
      <c r="B352">
        <v>327</v>
      </c>
      <c r="C352" s="1">
        <v>43605</v>
      </c>
      <c r="E352" t="str">
        <f>IF(F352&lt;&gt;"",INDEX(Balance!A:A,MATCH(F352,Balance!B:B,0)),"")</f>
        <v/>
      </c>
      <c r="G352" t="s">
        <v>811</v>
      </c>
      <c r="I352" s="10">
        <v>79.03</v>
      </c>
      <c r="K352" s="11">
        <f t="shared" si="134"/>
        <v>13.171666666666667</v>
      </c>
      <c r="L352" s="10">
        <f t="shared" si="135"/>
        <v>732.05000000001405</v>
      </c>
      <c r="N352">
        <v>327</v>
      </c>
      <c r="O352">
        <v>1</v>
      </c>
      <c r="P352">
        <v>1</v>
      </c>
      <c r="Q352" t="str">
        <f t="shared" si="116"/>
        <v>300760283626261100200EUR201905201076359400</v>
      </c>
      <c r="R352" s="16" t="s">
        <v>983</v>
      </c>
      <c r="S352" t="str">
        <f t="shared" si="117"/>
        <v>CB 548222 AUCHAN PETI 59PETITE F</v>
      </c>
      <c r="U352">
        <f>IFERROR(VLOOKUP(F352,tab!A:B,2,FALSE),1)</f>
        <v>1</v>
      </c>
      <c r="V352" s="14">
        <f t="shared" si="118"/>
        <v>732.05000000001405</v>
      </c>
      <c r="W352">
        <f t="shared" si="119"/>
        <v>0</v>
      </c>
      <c r="X352" t="str">
        <f t="shared" si="120"/>
        <v/>
      </c>
      <c r="Y352" s="14">
        <f t="shared" si="121"/>
        <v>79.03</v>
      </c>
      <c r="AA352" t="str">
        <f t="shared" si="122"/>
        <v>&lt;Valeur name="no"&gt;327&lt;/Valeur&gt;</v>
      </c>
      <c r="AB352" t="str">
        <f t="shared" si="122"/>
        <v>&lt;Valeur name="banque"&gt;1&lt;/Valeur&gt;</v>
      </c>
      <c r="AC352" t="str">
        <f t="shared" si="124"/>
        <v>&lt;Valeur name="pointer"&gt;1&lt;/Valeur&gt;</v>
      </c>
      <c r="AD352" t="str">
        <f t="shared" si="125"/>
        <v>&lt;Valeur name="idbanque"&gt;300760283626261100200EUR201905201076359400&lt;/Valeur&gt;</v>
      </c>
      <c r="AE352" t="str">
        <f t="shared" si="126"/>
        <v>&lt;Valeur name="datevaleur"&gt;2019/05/20&lt;/Valeur&gt;</v>
      </c>
      <c r="AF352" t="str">
        <f t="shared" si="127"/>
        <v>&lt;Valeur name="intitule"&gt;CB 548222 AUCHAN PETI 59PETITE F&lt;/Valeur&gt;</v>
      </c>
      <c r="AG352" t="str">
        <f t="shared" si="128"/>
        <v>&lt;Valeur name="description"&gt;&lt;/Valeur&gt;</v>
      </c>
      <c r="AH352" t="str">
        <f t="shared" si="129"/>
        <v>&lt;Valeur name="compte"&gt;1&lt;/Valeur&gt;</v>
      </c>
      <c r="AI352" t="str">
        <f t="shared" si="130"/>
        <v>&lt;Valeur name="solde"&gt;732.050000000014&lt;/Valeur&gt;</v>
      </c>
      <c r="AJ352" t="str">
        <f t="shared" si="131"/>
        <v>&lt;Valeur name="ventiler"&gt;0&lt;/Valeur&gt;</v>
      </c>
      <c r="AK352" t="str">
        <f t="shared" si="132"/>
        <v>&lt;Valeur name="compta"&gt;&lt;/Valeur&gt;</v>
      </c>
      <c r="AL352" t="str">
        <f t="shared" si="133"/>
        <v>&lt;Valeur name="valeur"&gt;79.03&lt;/Valeur&gt;</v>
      </c>
      <c r="AN352" t="str">
        <f t="shared" si="123"/>
        <v>&lt;Insert&gt;&lt;Valeur name="no"&gt;327&lt;/Valeur&gt;&lt;Valeur name="banque"&gt;1&lt;/Valeur&gt;&lt;Valeur name="pointer"&gt;1&lt;/Valeur&gt;&lt;Valeur name="idbanque"&gt;300760283626261100200EUR201905201076359400&lt;/Valeur&gt;&lt;Valeur name="datevaleur"&gt;2019/05/20&lt;/Valeur&gt;&lt;Valeur name="intitule"&gt;CB 548222 AUCHAN PETI 59PETITE F&lt;/Valeur&gt;&lt;Valeur name="description"&gt;&lt;/Valeur&gt;&lt;Valeur name="compte"&gt;1&lt;/Valeur&gt;&lt;Valeur name="solde"&gt;732.050000000014&lt;/Valeur&gt;&lt;Valeur name="ventiler"&gt;0&lt;/Valeur&gt;&lt;Valeur name="compta"&gt;&lt;/Valeur&gt;&lt;Valeur name="valeur"&gt;79.03&lt;/Valeur&gt;&lt;/Insert&gt;</v>
      </c>
    </row>
    <row r="353" spans="1:40" x14ac:dyDescent="0.25">
      <c r="A353" t="s">
        <v>812</v>
      </c>
      <c r="B353">
        <v>328</v>
      </c>
      <c r="C353" s="1">
        <v>43606</v>
      </c>
      <c r="E353" t="str">
        <f>IF(F353&lt;&gt;"",INDEX(Balance!A:A,MATCH(F353,Balance!B:B,0)),"")</f>
        <v/>
      </c>
      <c r="G353" t="s">
        <v>813</v>
      </c>
      <c r="I353" s="10">
        <v>4680</v>
      </c>
      <c r="K353" s="11">
        <f t="shared" si="134"/>
        <v>780</v>
      </c>
      <c r="L353" s="10">
        <f t="shared" si="135"/>
        <v>-3947.9499999999862</v>
      </c>
      <c r="N353">
        <v>328</v>
      </c>
      <c r="O353">
        <v>1</v>
      </c>
      <c r="P353">
        <v>1</v>
      </c>
      <c r="Q353" t="str">
        <f t="shared" si="116"/>
        <v>300760283626261100200EUR201905210292625500</v>
      </c>
      <c r="R353" s="16" t="s">
        <v>984</v>
      </c>
      <c r="S353" t="str">
        <f t="shared" si="117"/>
        <v>E-VIR SEPA Dessenne porte Leroy</v>
      </c>
      <c r="U353">
        <f>IFERROR(VLOOKUP(F353,tab!A:B,2,FALSE),1)</f>
        <v>1</v>
      </c>
      <c r="V353" s="14">
        <f t="shared" si="118"/>
        <v>-3947.9499999999862</v>
      </c>
      <c r="W353">
        <f t="shared" si="119"/>
        <v>0</v>
      </c>
      <c r="X353" t="str">
        <f t="shared" si="120"/>
        <v/>
      </c>
      <c r="Y353" s="14">
        <f t="shared" si="121"/>
        <v>4680</v>
      </c>
      <c r="AA353" t="str">
        <f t="shared" si="122"/>
        <v>&lt;Valeur name="no"&gt;328&lt;/Valeur&gt;</v>
      </c>
      <c r="AB353" t="str">
        <f t="shared" si="122"/>
        <v>&lt;Valeur name="banque"&gt;1&lt;/Valeur&gt;</v>
      </c>
      <c r="AC353" t="str">
        <f t="shared" si="124"/>
        <v>&lt;Valeur name="pointer"&gt;1&lt;/Valeur&gt;</v>
      </c>
      <c r="AD353" t="str">
        <f t="shared" si="125"/>
        <v>&lt;Valeur name="idbanque"&gt;300760283626261100200EUR201905210292625500&lt;/Valeur&gt;</v>
      </c>
      <c r="AE353" t="str">
        <f t="shared" si="126"/>
        <v>&lt;Valeur name="datevaleur"&gt;2019/05/21&lt;/Valeur&gt;</v>
      </c>
      <c r="AF353" t="str">
        <f t="shared" si="127"/>
        <v>&lt;Valeur name="intitule"&gt;E-VIR SEPA Dessenne porte Leroy&lt;/Valeur&gt;</v>
      </c>
      <c r="AG353" t="str">
        <f t="shared" si="128"/>
        <v>&lt;Valeur name="description"&gt;&lt;/Valeur&gt;</v>
      </c>
      <c r="AH353" t="str">
        <f t="shared" si="129"/>
        <v>&lt;Valeur name="compte"&gt;1&lt;/Valeur&gt;</v>
      </c>
      <c r="AI353" t="str">
        <f t="shared" si="130"/>
        <v>&lt;Valeur name="solde"&gt;-3947.94999999999&lt;/Valeur&gt;</v>
      </c>
      <c r="AJ353" t="str">
        <f t="shared" si="131"/>
        <v>&lt;Valeur name="ventiler"&gt;0&lt;/Valeur&gt;</v>
      </c>
      <c r="AK353" t="str">
        <f t="shared" si="132"/>
        <v>&lt;Valeur name="compta"&gt;&lt;/Valeur&gt;</v>
      </c>
      <c r="AL353" t="str">
        <f t="shared" si="133"/>
        <v>&lt;Valeur name="valeur"&gt;4680&lt;/Valeur&gt;</v>
      </c>
      <c r="AN353" t="str">
        <f t="shared" si="123"/>
        <v>&lt;Insert&gt;&lt;Valeur name="no"&gt;328&lt;/Valeur&gt;&lt;Valeur name="banque"&gt;1&lt;/Valeur&gt;&lt;Valeur name="pointer"&gt;1&lt;/Valeur&gt;&lt;Valeur name="idbanque"&gt;300760283626261100200EUR201905210292625500&lt;/Valeur&gt;&lt;Valeur name="datevaleur"&gt;2019/05/21&lt;/Valeur&gt;&lt;Valeur name="intitule"&gt;E-VIR SEPA Dessenne porte Leroy&lt;/Valeur&gt;&lt;Valeur name="description"&gt;&lt;/Valeur&gt;&lt;Valeur name="compte"&gt;1&lt;/Valeur&gt;&lt;Valeur name="solde"&gt;-3947.94999999999&lt;/Valeur&gt;&lt;Valeur name="ventiler"&gt;0&lt;/Valeur&gt;&lt;Valeur name="compta"&gt;&lt;/Valeur&gt;&lt;Valeur name="valeur"&gt;4680&lt;/Valeur&gt;&lt;/Insert&gt;</v>
      </c>
    </row>
    <row r="354" spans="1:40" x14ac:dyDescent="0.25">
      <c r="A354" t="s">
        <v>814</v>
      </c>
      <c r="B354">
        <v>329</v>
      </c>
      <c r="C354" s="1">
        <v>43606</v>
      </c>
      <c r="E354" t="str">
        <f>IF(F354&lt;&gt;"",INDEX(Balance!A:A,MATCH(F354,Balance!B:B,0)),"")</f>
        <v/>
      </c>
      <c r="G354" t="s">
        <v>815</v>
      </c>
      <c r="I354" s="10">
        <v>85.91</v>
      </c>
      <c r="K354" s="11">
        <f t="shared" si="134"/>
        <v>14.318333333333328</v>
      </c>
      <c r="L354" s="10">
        <f t="shared" si="135"/>
        <v>-4033.859999999986</v>
      </c>
      <c r="N354">
        <v>329</v>
      </c>
      <c r="O354">
        <v>1</v>
      </c>
      <c r="P354">
        <v>1</v>
      </c>
      <c r="Q354" t="str">
        <f t="shared" si="116"/>
        <v>300760283626261100200EUR201905211070916400</v>
      </c>
      <c r="R354" s="16" t="s">
        <v>984</v>
      </c>
      <c r="S354" t="str">
        <f t="shared" si="117"/>
        <v>CB 454106 CHEVALIER S 59VALENCIE</v>
      </c>
      <c r="U354">
        <f>IFERROR(VLOOKUP(F354,tab!A:B,2,FALSE),1)</f>
        <v>1</v>
      </c>
      <c r="V354" s="14">
        <f t="shared" si="118"/>
        <v>-4033.859999999986</v>
      </c>
      <c r="W354">
        <f t="shared" si="119"/>
        <v>0</v>
      </c>
      <c r="X354" t="str">
        <f t="shared" si="120"/>
        <v/>
      </c>
      <c r="Y354" s="14">
        <f t="shared" si="121"/>
        <v>85.91</v>
      </c>
      <c r="AA354" t="str">
        <f t="shared" si="122"/>
        <v>&lt;Valeur name="no"&gt;329&lt;/Valeur&gt;</v>
      </c>
      <c r="AB354" t="str">
        <f t="shared" si="122"/>
        <v>&lt;Valeur name="banque"&gt;1&lt;/Valeur&gt;</v>
      </c>
      <c r="AC354" t="str">
        <f t="shared" si="124"/>
        <v>&lt;Valeur name="pointer"&gt;1&lt;/Valeur&gt;</v>
      </c>
      <c r="AD354" t="str">
        <f t="shared" si="125"/>
        <v>&lt;Valeur name="idbanque"&gt;300760283626261100200EUR201905211070916400&lt;/Valeur&gt;</v>
      </c>
      <c r="AE354" t="str">
        <f t="shared" si="126"/>
        <v>&lt;Valeur name="datevaleur"&gt;2019/05/21&lt;/Valeur&gt;</v>
      </c>
      <c r="AF354" t="str">
        <f t="shared" si="127"/>
        <v>&lt;Valeur name="intitule"&gt;CB 454106 CHEVALIER S 59VALENCIE&lt;/Valeur&gt;</v>
      </c>
      <c r="AG354" t="str">
        <f t="shared" si="128"/>
        <v>&lt;Valeur name="description"&gt;&lt;/Valeur&gt;</v>
      </c>
      <c r="AH354" t="str">
        <f t="shared" si="129"/>
        <v>&lt;Valeur name="compte"&gt;1&lt;/Valeur&gt;</v>
      </c>
      <c r="AI354" t="str">
        <f t="shared" si="130"/>
        <v>&lt;Valeur name="solde"&gt;-4033.85999999999&lt;/Valeur&gt;</v>
      </c>
      <c r="AJ354" t="str">
        <f t="shared" si="131"/>
        <v>&lt;Valeur name="ventiler"&gt;0&lt;/Valeur&gt;</v>
      </c>
      <c r="AK354" t="str">
        <f t="shared" si="132"/>
        <v>&lt;Valeur name="compta"&gt;&lt;/Valeur&gt;</v>
      </c>
      <c r="AL354" t="str">
        <f t="shared" si="133"/>
        <v>&lt;Valeur name="valeur"&gt;85.91&lt;/Valeur&gt;</v>
      </c>
      <c r="AN354" t="str">
        <f t="shared" si="123"/>
        <v>&lt;Insert&gt;&lt;Valeur name="no"&gt;329&lt;/Valeur&gt;&lt;Valeur name="banque"&gt;1&lt;/Valeur&gt;&lt;Valeur name="pointer"&gt;1&lt;/Valeur&gt;&lt;Valeur name="idbanque"&gt;300760283626261100200EUR201905211070916400&lt;/Valeur&gt;&lt;Valeur name="datevaleur"&gt;2019/05/21&lt;/Valeur&gt;&lt;Valeur name="intitule"&gt;CB 454106 CHEVALIER S 59VALENCIE&lt;/Valeur&gt;&lt;Valeur name="description"&gt;&lt;/Valeur&gt;&lt;Valeur name="compte"&gt;1&lt;/Valeur&gt;&lt;Valeur name="solde"&gt;-4033.85999999999&lt;/Valeur&gt;&lt;Valeur name="ventiler"&gt;0&lt;/Valeur&gt;&lt;Valeur name="compta"&gt;&lt;/Valeur&gt;&lt;Valeur name="valeur"&gt;85.91&lt;/Valeur&gt;&lt;/Insert&gt;</v>
      </c>
    </row>
    <row r="355" spans="1:40" x14ac:dyDescent="0.25">
      <c r="A355" t="s">
        <v>816</v>
      </c>
      <c r="B355">
        <v>330</v>
      </c>
      <c r="C355" s="1">
        <v>43606</v>
      </c>
      <c r="E355" t="str">
        <f>IF(F355&lt;&gt;"",INDEX(Balance!A:A,MATCH(F355,Balance!B:B,0)),"")</f>
        <v/>
      </c>
      <c r="G355" t="s">
        <v>65</v>
      </c>
      <c r="H355" t="s">
        <v>817</v>
      </c>
      <c r="J355" s="10">
        <v>36846.620000000003</v>
      </c>
      <c r="K355" s="11">
        <f t="shared" si="134"/>
        <v>-6141.1033333333326</v>
      </c>
      <c r="L355" s="10">
        <f t="shared" si="135"/>
        <v>32812.760000000017</v>
      </c>
      <c r="N355">
        <v>330</v>
      </c>
      <c r="O355">
        <v>1</v>
      </c>
      <c r="P355">
        <v>1</v>
      </c>
      <c r="Q355" t="str">
        <f t="shared" si="116"/>
        <v>300760283626261100200EUR201905216314858300</v>
      </c>
      <c r="R355" s="16" t="s">
        <v>984</v>
      </c>
      <c r="S355" t="str">
        <f t="shared" si="117"/>
        <v>VIR TRESORERIE ARRAS MUNICIP / FAC. situation 8 DU 10/05/2019LO</v>
      </c>
      <c r="U355">
        <f>IFERROR(VLOOKUP(F355,tab!A:B,2,FALSE),1)</f>
        <v>1</v>
      </c>
      <c r="V355" s="14">
        <f t="shared" si="118"/>
        <v>32812.760000000017</v>
      </c>
      <c r="W355">
        <f t="shared" si="119"/>
        <v>0</v>
      </c>
      <c r="X355" t="str">
        <f t="shared" si="120"/>
        <v/>
      </c>
      <c r="Y355" s="14">
        <f t="shared" si="121"/>
        <v>36846.620000000003</v>
      </c>
      <c r="AA355" t="str">
        <f t="shared" si="122"/>
        <v>&lt;Valeur name="no"&gt;330&lt;/Valeur&gt;</v>
      </c>
      <c r="AB355" t="str">
        <f t="shared" si="122"/>
        <v>&lt;Valeur name="banque"&gt;1&lt;/Valeur&gt;</v>
      </c>
      <c r="AC355" t="str">
        <f t="shared" si="124"/>
        <v>&lt;Valeur name="pointer"&gt;1&lt;/Valeur&gt;</v>
      </c>
      <c r="AD355" t="str">
        <f t="shared" si="125"/>
        <v>&lt;Valeur name="idbanque"&gt;300760283626261100200EUR201905216314858300&lt;/Valeur&gt;</v>
      </c>
      <c r="AE355" t="str">
        <f t="shared" si="126"/>
        <v>&lt;Valeur name="datevaleur"&gt;2019/05/21&lt;/Valeur&gt;</v>
      </c>
      <c r="AF355" t="str">
        <f t="shared" si="127"/>
        <v>&lt;Valeur name="intitule"&gt;VIR TRESORERIE ARRAS MUNICIP / FAC. situation 8 DU 10/05/2019LO&lt;/Valeur&gt;</v>
      </c>
      <c r="AG355" t="str">
        <f t="shared" si="128"/>
        <v>&lt;Valeur name="description"&gt;&lt;/Valeur&gt;</v>
      </c>
      <c r="AH355" t="str">
        <f t="shared" si="129"/>
        <v>&lt;Valeur name="compte"&gt;1&lt;/Valeur&gt;</v>
      </c>
      <c r="AI355" t="str">
        <f t="shared" si="130"/>
        <v>&lt;Valeur name="solde"&gt;32812.76&lt;/Valeur&gt;</v>
      </c>
      <c r="AJ355" t="str">
        <f t="shared" si="131"/>
        <v>&lt;Valeur name="ventiler"&gt;0&lt;/Valeur&gt;</v>
      </c>
      <c r="AK355" t="str">
        <f t="shared" si="132"/>
        <v>&lt;Valeur name="compta"&gt;&lt;/Valeur&gt;</v>
      </c>
      <c r="AL355" t="str">
        <f t="shared" si="133"/>
        <v>&lt;Valeur name="valeur"&gt;36846.62&lt;/Valeur&gt;</v>
      </c>
      <c r="AN355" t="str">
        <f t="shared" si="123"/>
        <v>&lt;Insert&gt;&lt;Valeur name="no"&gt;330&lt;/Valeur&gt;&lt;Valeur name="banque"&gt;1&lt;/Valeur&gt;&lt;Valeur name="pointer"&gt;1&lt;/Valeur&gt;&lt;Valeur name="idbanque"&gt;300760283626261100200EUR201905216314858300&lt;/Valeur&gt;&lt;Valeur name="datevaleur"&gt;2019/05/21&lt;/Valeur&gt;&lt;Valeur name="intitule"&gt;VIR TRESORERIE ARRAS MUNICIP / FAC. situation 8 DU 10/05/2019LO&lt;/Valeur&gt;&lt;Valeur name="description"&gt;&lt;/Valeur&gt;&lt;Valeur name="compte"&gt;1&lt;/Valeur&gt;&lt;Valeur name="solde"&gt;32812.76&lt;/Valeur&gt;&lt;Valeur name="ventiler"&gt;0&lt;/Valeur&gt;&lt;Valeur name="compta"&gt;&lt;/Valeur&gt;&lt;Valeur name="valeur"&gt;36846.62&lt;/Valeur&gt;&lt;/Insert&gt;</v>
      </c>
    </row>
    <row r="356" spans="1:40" x14ac:dyDescent="0.25">
      <c r="A356" t="s">
        <v>818</v>
      </c>
      <c r="B356">
        <v>331</v>
      </c>
      <c r="C356" s="1">
        <v>43607</v>
      </c>
      <c r="E356" t="str">
        <f>IF(F356&lt;&gt;"",INDEX(Balance!A:A,MATCH(F356,Balance!B:B,0)),"")</f>
        <v/>
      </c>
      <c r="G356" t="s">
        <v>15</v>
      </c>
      <c r="H356" t="s">
        <v>819</v>
      </c>
      <c r="I356" s="10">
        <v>130</v>
      </c>
      <c r="K356" s="11">
        <f t="shared" si="134"/>
        <v>21.666666666666657</v>
      </c>
      <c r="L356" s="10">
        <f t="shared" si="135"/>
        <v>32682.760000000017</v>
      </c>
      <c r="N356">
        <v>331</v>
      </c>
      <c r="O356">
        <v>1</v>
      </c>
      <c r="P356">
        <v>1</v>
      </c>
      <c r="Q356" t="str">
        <f t="shared" si="116"/>
        <v>300760283626261100200EUR201905226336867000</v>
      </c>
      <c r="R356" s="16" t="s">
        <v>985</v>
      </c>
      <c r="S356" t="str">
        <f t="shared" si="117"/>
        <v>PRLV B2B DGFIP / PASDSN15052019-042019-7945135310</v>
      </c>
      <c r="U356">
        <f>IFERROR(VLOOKUP(F356,tab!A:B,2,FALSE),1)</f>
        <v>1</v>
      </c>
      <c r="V356" s="14">
        <f t="shared" si="118"/>
        <v>32682.760000000017</v>
      </c>
      <c r="W356">
        <f t="shared" si="119"/>
        <v>0</v>
      </c>
      <c r="X356" t="str">
        <f t="shared" si="120"/>
        <v/>
      </c>
      <c r="Y356" s="14">
        <f t="shared" si="121"/>
        <v>130</v>
      </c>
      <c r="AA356" t="str">
        <f t="shared" si="122"/>
        <v>&lt;Valeur name="no"&gt;331&lt;/Valeur&gt;</v>
      </c>
      <c r="AB356" t="str">
        <f t="shared" si="122"/>
        <v>&lt;Valeur name="banque"&gt;1&lt;/Valeur&gt;</v>
      </c>
      <c r="AC356" t="str">
        <f t="shared" si="124"/>
        <v>&lt;Valeur name="pointer"&gt;1&lt;/Valeur&gt;</v>
      </c>
      <c r="AD356" t="str">
        <f t="shared" si="125"/>
        <v>&lt;Valeur name="idbanque"&gt;300760283626261100200EUR201905226336867000&lt;/Valeur&gt;</v>
      </c>
      <c r="AE356" t="str">
        <f t="shared" si="126"/>
        <v>&lt;Valeur name="datevaleur"&gt;2019/05/22&lt;/Valeur&gt;</v>
      </c>
      <c r="AF356" t="str">
        <f t="shared" si="127"/>
        <v>&lt;Valeur name="intitule"&gt;PRLV B2B DGFIP / PASDSN15052019-042019-7945135310&lt;/Valeur&gt;</v>
      </c>
      <c r="AG356" t="str">
        <f t="shared" si="128"/>
        <v>&lt;Valeur name="description"&gt;&lt;/Valeur&gt;</v>
      </c>
      <c r="AH356" t="str">
        <f t="shared" si="129"/>
        <v>&lt;Valeur name="compte"&gt;1&lt;/Valeur&gt;</v>
      </c>
      <c r="AI356" t="str">
        <f t="shared" si="130"/>
        <v>&lt;Valeur name="solde"&gt;32682.76&lt;/Valeur&gt;</v>
      </c>
      <c r="AJ356" t="str">
        <f t="shared" si="131"/>
        <v>&lt;Valeur name="ventiler"&gt;0&lt;/Valeur&gt;</v>
      </c>
      <c r="AK356" t="str">
        <f t="shared" si="132"/>
        <v>&lt;Valeur name="compta"&gt;&lt;/Valeur&gt;</v>
      </c>
      <c r="AL356" t="str">
        <f t="shared" si="133"/>
        <v>&lt;Valeur name="valeur"&gt;130&lt;/Valeur&gt;</v>
      </c>
      <c r="AN356" t="str">
        <f t="shared" si="123"/>
        <v>&lt;Insert&gt;&lt;Valeur name="no"&gt;331&lt;/Valeur&gt;&lt;Valeur name="banque"&gt;1&lt;/Valeur&gt;&lt;Valeur name="pointer"&gt;1&lt;/Valeur&gt;&lt;Valeur name="idbanque"&gt;300760283626261100200EUR201905226336867000&lt;/Valeur&gt;&lt;Valeur name="datevaleur"&gt;2019/05/22&lt;/Valeur&gt;&lt;Valeur name="intitule"&gt;PRLV B2B DGFIP / PASDSN15052019-042019-7945135310&lt;/Valeur&gt;&lt;Valeur name="description"&gt;&lt;/Valeur&gt;&lt;Valeur name="compte"&gt;1&lt;/Valeur&gt;&lt;Valeur name="solde"&gt;32682.76&lt;/Valeur&gt;&lt;Valeur name="ventiler"&gt;0&lt;/Valeur&gt;&lt;Valeur name="compta"&gt;&lt;/Valeur&gt;&lt;Valeur name="valeur"&gt;130&lt;/Valeur&gt;&lt;/Insert&gt;</v>
      </c>
    </row>
    <row r="357" spans="1:40" x14ac:dyDescent="0.25">
      <c r="A357" t="s">
        <v>820</v>
      </c>
      <c r="B357">
        <v>332</v>
      </c>
      <c r="C357" s="1">
        <v>43607</v>
      </c>
      <c r="E357" t="str">
        <f>IF(F357&lt;&gt;"",INDEX(Balance!A:A,MATCH(F357,Balance!B:B,0)),"")</f>
        <v/>
      </c>
      <c r="G357" t="s">
        <v>31</v>
      </c>
      <c r="I357" s="10">
        <v>0.21</v>
      </c>
      <c r="K357" s="11">
        <f t="shared" si="134"/>
        <v>3.5000000000000003E-2</v>
      </c>
      <c r="L357" s="10">
        <f t="shared" si="135"/>
        <v>32682.550000000017</v>
      </c>
      <c r="N357">
        <v>332</v>
      </c>
      <c r="O357">
        <v>1</v>
      </c>
      <c r="P357">
        <v>1</v>
      </c>
      <c r="Q357" t="str">
        <f t="shared" si="116"/>
        <v>300760283626261100200EUR201905229222488400</v>
      </c>
      <c r="R357" s="16" t="s">
        <v>985</v>
      </c>
      <c r="S357" t="str">
        <f t="shared" si="117"/>
        <v>FRAIS E-VIR SEPA VERS EEE</v>
      </c>
      <c r="U357">
        <f>IFERROR(VLOOKUP(F357,tab!A:B,2,FALSE),1)</f>
        <v>1</v>
      </c>
      <c r="V357" s="14">
        <f t="shared" si="118"/>
        <v>32682.550000000017</v>
      </c>
      <c r="W357">
        <f t="shared" si="119"/>
        <v>0</v>
      </c>
      <c r="X357" t="str">
        <f t="shared" si="120"/>
        <v/>
      </c>
      <c r="Y357" s="14">
        <f t="shared" si="121"/>
        <v>0.21</v>
      </c>
      <c r="AA357" t="str">
        <f t="shared" si="122"/>
        <v>&lt;Valeur name="no"&gt;332&lt;/Valeur&gt;</v>
      </c>
      <c r="AB357" t="str">
        <f t="shared" si="122"/>
        <v>&lt;Valeur name="banque"&gt;1&lt;/Valeur&gt;</v>
      </c>
      <c r="AC357" t="str">
        <f t="shared" si="124"/>
        <v>&lt;Valeur name="pointer"&gt;1&lt;/Valeur&gt;</v>
      </c>
      <c r="AD357" t="str">
        <f t="shared" si="125"/>
        <v>&lt;Valeur name="idbanque"&gt;300760283626261100200EUR201905229222488400&lt;/Valeur&gt;</v>
      </c>
      <c r="AE357" t="str">
        <f t="shared" si="126"/>
        <v>&lt;Valeur name="datevaleur"&gt;2019/05/22&lt;/Valeur&gt;</v>
      </c>
      <c r="AF357" t="str">
        <f t="shared" si="127"/>
        <v>&lt;Valeur name="intitule"&gt;FRAIS E-VIR SEPA VERS EEE&lt;/Valeur&gt;</v>
      </c>
      <c r="AG357" t="str">
        <f t="shared" si="128"/>
        <v>&lt;Valeur name="description"&gt;&lt;/Valeur&gt;</v>
      </c>
      <c r="AH357" t="str">
        <f t="shared" si="129"/>
        <v>&lt;Valeur name="compte"&gt;1&lt;/Valeur&gt;</v>
      </c>
      <c r="AI357" t="str">
        <f t="shared" si="130"/>
        <v>&lt;Valeur name="solde"&gt;32682.55&lt;/Valeur&gt;</v>
      </c>
      <c r="AJ357" t="str">
        <f t="shared" si="131"/>
        <v>&lt;Valeur name="ventiler"&gt;0&lt;/Valeur&gt;</v>
      </c>
      <c r="AK357" t="str">
        <f t="shared" si="132"/>
        <v>&lt;Valeur name="compta"&gt;&lt;/Valeur&gt;</v>
      </c>
      <c r="AL357" t="str">
        <f t="shared" si="133"/>
        <v>&lt;Valeur name="valeur"&gt;0.21&lt;/Valeur&gt;</v>
      </c>
      <c r="AN357" t="str">
        <f t="shared" si="123"/>
        <v>&lt;Insert&gt;&lt;Valeur name="no"&gt;332&lt;/Valeur&gt;&lt;Valeur name="banque"&gt;1&lt;/Valeur&gt;&lt;Valeur name="pointer"&gt;1&lt;/Valeur&gt;&lt;Valeur name="idbanque"&gt;300760283626261100200EUR201905229222488400&lt;/Valeur&gt;&lt;Valeur name="datevaleur"&gt;2019/05/22&lt;/Valeur&gt;&lt;Valeur name="intitule"&gt;FRAIS E-VIR SEPA VERS EEE&lt;/Valeur&gt;&lt;Valeur name="description"&gt;&lt;/Valeur&gt;&lt;Valeur name="compte"&gt;1&lt;/Valeur&gt;&lt;Valeur name="solde"&gt;32682.55&lt;/Valeur&gt;&lt;Valeur name="ventiler"&gt;0&lt;/Valeur&gt;&lt;Valeur name="compta"&gt;&lt;/Valeur&gt;&lt;Valeur name="valeur"&gt;0.21&lt;/Valeur&gt;&lt;/Insert&gt;</v>
      </c>
    </row>
    <row r="358" spans="1:40" x14ac:dyDescent="0.25">
      <c r="A358" t="s">
        <v>821</v>
      </c>
      <c r="B358">
        <v>333</v>
      </c>
      <c r="C358" s="1">
        <v>43609</v>
      </c>
      <c r="E358" t="str">
        <f>IF(F358&lt;&gt;"",INDEX(Balance!A:A,MATCH(F358,Balance!B:B,0)),"")</f>
        <v/>
      </c>
      <c r="G358" t="s">
        <v>227</v>
      </c>
      <c r="H358" t="s">
        <v>822</v>
      </c>
      <c r="J358" s="10">
        <v>1000</v>
      </c>
      <c r="K358" s="11">
        <f t="shared" si="134"/>
        <v>-166.66666666666663</v>
      </c>
      <c r="L358" s="10">
        <f t="shared" si="135"/>
        <v>33682.550000000017</v>
      </c>
      <c r="N358">
        <v>333</v>
      </c>
      <c r="O358">
        <v>1</v>
      </c>
      <c r="P358">
        <v>1</v>
      </c>
      <c r="Q358" t="str">
        <f t="shared" si="116"/>
        <v>300760283626261100200EUR201905246317605600</v>
      </c>
      <c r="R358" s="16" t="s">
        <v>986</v>
      </c>
      <c r="S358" t="str">
        <f t="shared" si="117"/>
        <v>VIR TRESORERIE HENIN BEAUMON / remboursement pInalitIs marchI 2</v>
      </c>
      <c r="U358">
        <f>IFERROR(VLOOKUP(F358,tab!A:B,2,FALSE),1)</f>
        <v>1</v>
      </c>
      <c r="V358" s="14">
        <f t="shared" si="118"/>
        <v>33682.550000000017</v>
      </c>
      <c r="W358">
        <f t="shared" si="119"/>
        <v>0</v>
      </c>
      <c r="X358" t="str">
        <f t="shared" si="120"/>
        <v/>
      </c>
      <c r="Y358" s="14">
        <f t="shared" si="121"/>
        <v>1000</v>
      </c>
      <c r="AA358" t="str">
        <f t="shared" si="122"/>
        <v>&lt;Valeur name="no"&gt;333&lt;/Valeur&gt;</v>
      </c>
      <c r="AB358" t="str">
        <f t="shared" si="122"/>
        <v>&lt;Valeur name="banque"&gt;1&lt;/Valeur&gt;</v>
      </c>
      <c r="AC358" t="str">
        <f t="shared" si="124"/>
        <v>&lt;Valeur name="pointer"&gt;1&lt;/Valeur&gt;</v>
      </c>
      <c r="AD358" t="str">
        <f t="shared" si="125"/>
        <v>&lt;Valeur name="idbanque"&gt;300760283626261100200EUR201905246317605600&lt;/Valeur&gt;</v>
      </c>
      <c r="AE358" t="str">
        <f t="shared" si="126"/>
        <v>&lt;Valeur name="datevaleur"&gt;2019/05/24&lt;/Valeur&gt;</v>
      </c>
      <c r="AF358" t="str">
        <f t="shared" si="127"/>
        <v>&lt;Valeur name="intitule"&gt;VIR TRESORERIE HENIN BEAUMON / remboursement pInalitIs marchI 2&lt;/Valeur&gt;</v>
      </c>
      <c r="AG358" t="str">
        <f t="shared" si="128"/>
        <v>&lt;Valeur name="description"&gt;&lt;/Valeur&gt;</v>
      </c>
      <c r="AH358" t="str">
        <f t="shared" si="129"/>
        <v>&lt;Valeur name="compte"&gt;1&lt;/Valeur&gt;</v>
      </c>
      <c r="AI358" t="str">
        <f t="shared" si="130"/>
        <v>&lt;Valeur name="solde"&gt;33682.55&lt;/Valeur&gt;</v>
      </c>
      <c r="AJ358" t="str">
        <f t="shared" si="131"/>
        <v>&lt;Valeur name="ventiler"&gt;0&lt;/Valeur&gt;</v>
      </c>
      <c r="AK358" t="str">
        <f t="shared" si="132"/>
        <v>&lt;Valeur name="compta"&gt;&lt;/Valeur&gt;</v>
      </c>
      <c r="AL358" t="str">
        <f t="shared" si="133"/>
        <v>&lt;Valeur name="valeur"&gt;1000&lt;/Valeur&gt;</v>
      </c>
      <c r="AN358" t="str">
        <f t="shared" si="123"/>
        <v>&lt;Insert&gt;&lt;Valeur name="no"&gt;333&lt;/Valeur&gt;&lt;Valeur name="banque"&gt;1&lt;/Valeur&gt;&lt;Valeur name="pointer"&gt;1&lt;/Valeur&gt;&lt;Valeur name="idbanque"&gt;300760283626261100200EUR201905246317605600&lt;/Valeur&gt;&lt;Valeur name="datevaleur"&gt;2019/05/24&lt;/Valeur&gt;&lt;Valeur name="intitule"&gt;VIR TRESORERIE HENIN BEAUMON / remboursement pInalitIs marchI 2&lt;/Valeur&gt;&lt;Valeur name="description"&gt;&lt;/Valeur&gt;&lt;Valeur name="compte"&gt;1&lt;/Valeur&gt;&lt;Valeur name="solde"&gt;33682.55&lt;/Valeur&gt;&lt;Valeur name="ventiler"&gt;0&lt;/Valeur&gt;&lt;Valeur name="compta"&gt;&lt;/Valeur&gt;&lt;Valeur name="valeur"&gt;1000&lt;/Valeur&gt;&lt;/Insert&gt;</v>
      </c>
    </row>
    <row r="359" spans="1:40" x14ac:dyDescent="0.25">
      <c r="A359" t="s">
        <v>823</v>
      </c>
      <c r="B359">
        <v>334</v>
      </c>
      <c r="C359" s="1">
        <v>43609</v>
      </c>
      <c r="E359" t="str">
        <f>IF(F359&lt;&gt;"",INDEX(Balance!A:A,MATCH(F359,Balance!B:B,0)),"")</f>
        <v/>
      </c>
      <c r="G359" t="s">
        <v>227</v>
      </c>
      <c r="H359" t="s">
        <v>824</v>
      </c>
      <c r="J359" s="10">
        <v>2509.0500000000002</v>
      </c>
      <c r="K359" s="11">
        <f t="shared" si="134"/>
        <v>-418.17499999999973</v>
      </c>
      <c r="L359" s="10">
        <f t="shared" si="135"/>
        <v>36191.60000000002</v>
      </c>
      <c r="N359">
        <v>334</v>
      </c>
      <c r="O359">
        <v>1</v>
      </c>
      <c r="P359">
        <v>1</v>
      </c>
      <c r="Q359" t="str">
        <f t="shared" si="116"/>
        <v>300760283626261100200EUR201905246317606100</v>
      </c>
      <c r="R359" s="16" t="s">
        <v>986</v>
      </c>
      <c r="S359" t="str">
        <f t="shared" si="117"/>
        <v>VIR TRESORERIE HENIN BEAUMON / FAC. AF205-4 DU 28/02/2019SIT 4</v>
      </c>
      <c r="U359">
        <f>IFERROR(VLOOKUP(F359,tab!A:B,2,FALSE),1)</f>
        <v>1</v>
      </c>
      <c r="V359" s="14">
        <f t="shared" si="118"/>
        <v>36191.60000000002</v>
      </c>
      <c r="W359">
        <f>IF(ISBLANK(#REF!),1,0)</f>
        <v>0</v>
      </c>
      <c r="X359" t="str">
        <f t="shared" si="120"/>
        <v/>
      </c>
      <c r="Y359" s="14">
        <f t="shared" si="121"/>
        <v>2509.0500000000002</v>
      </c>
      <c r="AA359" t="str">
        <f t="shared" si="122"/>
        <v>&lt;Valeur name="no"&gt;334&lt;/Valeur&gt;</v>
      </c>
      <c r="AB359" t="str">
        <f t="shared" si="122"/>
        <v>&lt;Valeur name="banque"&gt;1&lt;/Valeur&gt;</v>
      </c>
      <c r="AC359" t="str">
        <f t="shared" si="124"/>
        <v>&lt;Valeur name="pointer"&gt;1&lt;/Valeur&gt;</v>
      </c>
      <c r="AD359" t="str">
        <f t="shared" si="125"/>
        <v>&lt;Valeur name="idbanque"&gt;300760283626261100200EUR201905246317606100&lt;/Valeur&gt;</v>
      </c>
      <c r="AE359" t="str">
        <f t="shared" si="126"/>
        <v>&lt;Valeur name="datevaleur"&gt;2019/05/24&lt;/Valeur&gt;</v>
      </c>
      <c r="AF359" t="str">
        <f t="shared" si="127"/>
        <v>&lt;Valeur name="intitule"&gt;VIR TRESORERIE HENIN BEAUMON / FAC. AF205-4 DU 28/02/2019SIT 4&lt;/Valeur&gt;</v>
      </c>
      <c r="AG359" t="str">
        <f t="shared" si="128"/>
        <v>&lt;Valeur name="description"&gt;&lt;/Valeur&gt;</v>
      </c>
      <c r="AH359" t="str">
        <f t="shared" si="129"/>
        <v>&lt;Valeur name="compte"&gt;1&lt;/Valeur&gt;</v>
      </c>
      <c r="AI359" t="str">
        <f t="shared" si="130"/>
        <v>&lt;Valeur name="solde"&gt;36191.6&lt;/Valeur&gt;</v>
      </c>
      <c r="AJ359" t="str">
        <f t="shared" si="131"/>
        <v>&lt;Valeur name="ventiler"&gt;0&lt;/Valeur&gt;</v>
      </c>
      <c r="AK359" t="str">
        <f t="shared" si="132"/>
        <v>&lt;Valeur name="compta"&gt;&lt;/Valeur&gt;</v>
      </c>
      <c r="AL359" t="str">
        <f t="shared" si="133"/>
        <v>&lt;Valeur name="valeur"&gt;2509.05&lt;/Valeur&gt;</v>
      </c>
      <c r="AN359" t="str">
        <f t="shared" si="123"/>
        <v>&lt;Insert&gt;&lt;Valeur name="no"&gt;334&lt;/Valeur&gt;&lt;Valeur name="banque"&gt;1&lt;/Valeur&gt;&lt;Valeur name="pointer"&gt;1&lt;/Valeur&gt;&lt;Valeur name="idbanque"&gt;300760283626261100200EUR201905246317606100&lt;/Valeur&gt;&lt;Valeur name="datevaleur"&gt;2019/05/24&lt;/Valeur&gt;&lt;Valeur name="intitule"&gt;VIR TRESORERIE HENIN BEAUMON / FAC. AF205-4 DU 28/02/2019SIT 4&lt;/Valeur&gt;&lt;Valeur name="description"&gt;&lt;/Valeur&gt;&lt;Valeur name="compte"&gt;1&lt;/Valeur&gt;&lt;Valeur name="solde"&gt;36191.6&lt;/Valeur&gt;&lt;Valeur name="ventiler"&gt;0&lt;/Valeur&gt;&lt;Valeur name="compta"&gt;&lt;/Valeur&gt;&lt;Valeur name="valeur"&gt;2509.05&lt;/Valeur&gt;&lt;/Insert&gt;</v>
      </c>
    </row>
  </sheetData>
  <autoFilter ref="A1:K359" xr:uid="{00000000-0009-0000-0000-000001000000}"/>
  <dataValidations disablePrompts="1" count="1">
    <dataValidation allowBlank="1" sqref="F125:F128 F1:F42 F44:F73 F75:F123 F130:F192 F194:F221 F223:F1048576" xr:uid="{00000000-0002-0000-0100-000000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 filterMode="1"/>
  <dimension ref="A1:AH184"/>
  <sheetViews>
    <sheetView tabSelected="1" workbookViewId="0">
      <pane ySplit="1" topLeftCell="A2" activePane="bottomLeft" state="frozen"/>
      <selection pane="bottomLeft" activeCell="B10" sqref="B10"/>
    </sheetView>
  </sheetViews>
  <sheetFormatPr baseColWidth="10" defaultRowHeight="15" x14ac:dyDescent="0.25"/>
  <cols>
    <col min="1" max="1" width="13.42578125" style="9" bestFit="1" customWidth="1"/>
    <col min="2" max="2" width="11" style="1" bestFit="1" customWidth="1"/>
    <col min="3" max="3" width="12.28515625" bestFit="1" customWidth="1"/>
    <col min="4" max="4" width="21.7109375" bestFit="1" customWidth="1"/>
    <col min="5" max="5" width="57.7109375" bestFit="1" customWidth="1"/>
    <col min="6" max="6" width="9.7109375" bestFit="1" customWidth="1"/>
    <col min="7" max="7" width="9" bestFit="1" customWidth="1"/>
    <col min="8" max="8" width="7.28515625" bestFit="1" customWidth="1"/>
    <col min="10" max="10" width="9.5703125" bestFit="1" customWidth="1"/>
    <col min="11" max="11" width="11" bestFit="1" customWidth="1"/>
    <col min="12" max="12" width="15.140625" bestFit="1" customWidth="1"/>
    <col min="13" max="13" width="15.28515625" bestFit="1" customWidth="1"/>
    <col min="14" max="14" width="18.42578125" style="16" bestFit="1" customWidth="1"/>
    <col min="15" max="15" width="19.42578125" style="16" bestFit="1" customWidth="1"/>
    <col min="16" max="16" width="15.42578125" bestFit="1" customWidth="1"/>
    <col min="17" max="17" width="57.7109375" bestFit="1" customWidth="1"/>
    <col min="18" max="18" width="14.28515625" bestFit="1" customWidth="1"/>
    <col min="19" max="19" width="14.140625" bestFit="1" customWidth="1"/>
    <col min="22" max="22" width="8.140625" bestFit="1" customWidth="1"/>
    <col min="23" max="23" width="29.42578125" bestFit="1" customWidth="1"/>
    <col min="24" max="24" width="33.7109375" bestFit="1" customWidth="1"/>
    <col min="25" max="25" width="33.85546875" bestFit="1" customWidth="1"/>
    <col min="26" max="26" width="41" bestFit="1" customWidth="1"/>
    <col min="27" max="27" width="42.140625" bestFit="1" customWidth="1"/>
    <col min="28" max="28" width="34" bestFit="1" customWidth="1"/>
    <col min="29" max="29" width="36.28515625" bestFit="1" customWidth="1"/>
    <col min="30" max="30" width="38.5703125" bestFit="1" customWidth="1"/>
    <col min="31" max="31" width="33.7109375" bestFit="1" customWidth="1"/>
    <col min="32" max="32" width="36.28515625" bestFit="1" customWidth="1"/>
    <col min="34" max="34" width="50.7109375" customWidth="1"/>
  </cols>
  <sheetData>
    <row r="1" spans="1:34" x14ac:dyDescent="0.25">
      <c r="A1" s="9" t="s">
        <v>1</v>
      </c>
      <c r="B1" s="1" t="s">
        <v>436</v>
      </c>
      <c r="C1" t="s">
        <v>425</v>
      </c>
      <c r="D1" t="s">
        <v>2</v>
      </c>
      <c r="E1" t="s">
        <v>491</v>
      </c>
      <c r="F1" t="s">
        <v>3</v>
      </c>
      <c r="G1" t="s">
        <v>4</v>
      </c>
      <c r="H1" t="s">
        <v>272</v>
      </c>
      <c r="K1" t="s">
        <v>857</v>
      </c>
      <c r="L1" t="s">
        <v>858</v>
      </c>
      <c r="M1" t="s">
        <v>859</v>
      </c>
      <c r="N1" s="16" t="s">
        <v>860</v>
      </c>
      <c r="O1" s="16" t="s">
        <v>861</v>
      </c>
      <c r="P1" t="s">
        <v>862</v>
      </c>
      <c r="Q1" t="s">
        <v>863</v>
      </c>
      <c r="R1" t="s">
        <v>864</v>
      </c>
      <c r="S1" t="s">
        <v>865</v>
      </c>
      <c r="T1" t="s">
        <v>866</v>
      </c>
    </row>
    <row r="2" spans="1:34" hidden="1" x14ac:dyDescent="0.25">
      <c r="A2" s="9">
        <v>43435</v>
      </c>
      <c r="B2" s="1">
        <v>43502</v>
      </c>
      <c r="C2" t="str">
        <f>INDEX(Balance!A:A,MATCH(D2,Balance!B:B,0))</f>
        <v>Client</v>
      </c>
      <c r="D2" t="s">
        <v>534</v>
      </c>
      <c r="G2">
        <v>8898.84</v>
      </c>
      <c r="H2" s="3">
        <f t="shared" ref="H2:H67" si="0">IF(F2&gt;0,F2-(F2/TVA),-(G2-(G2/TVA)))</f>
        <v>-1483.1399999999994</v>
      </c>
      <c r="K2">
        <v>1</v>
      </c>
      <c r="L2">
        <v>1</v>
      </c>
      <c r="M2">
        <v>1</v>
      </c>
      <c r="N2" s="16" t="s">
        <v>875</v>
      </c>
      <c r="O2" s="16" t="s">
        <v>876</v>
      </c>
      <c r="P2">
        <f>IFERROR(VLOOKUP(D2,tab!A:B,2,FALSE),1)</f>
        <v>3</v>
      </c>
      <c r="Q2" s="14" t="str">
        <f>IF(ISBLANK(E2),"",E2)</f>
        <v/>
      </c>
      <c r="R2">
        <f>G2-F2</f>
        <v>8898.84</v>
      </c>
      <c r="S2">
        <v>20</v>
      </c>
      <c r="T2" s="13">
        <f>H2</f>
        <v>-1483.1399999999994</v>
      </c>
      <c r="V2" t="s">
        <v>872</v>
      </c>
      <c r="W2" t="str">
        <f t="shared" ref="W2:AF2" si="1">"&lt;Valeur "&amp;K$1&amp;"&gt;"&amp;K2&amp;"&lt;/Valeur&gt;"</f>
        <v>&lt;Valeur name="no"&gt;1&lt;/Valeur&gt;</v>
      </c>
      <c r="X2" t="str">
        <f t="shared" si="1"/>
        <v>&lt;Valeur name="societe"&gt;1&lt;/Valeur&gt;</v>
      </c>
      <c r="Y2" t="str">
        <f t="shared" si="1"/>
        <v>&lt;Valeur name="pointer"&gt;1&lt;/Valeur&gt;</v>
      </c>
      <c r="Z2" s="15" t="str">
        <f t="shared" si="1"/>
        <v>&lt;Valeur name="datevaleur"&gt;2019/02/06&lt;/Valeur&gt;</v>
      </c>
      <c r="AA2" s="15" t="str">
        <f t="shared" si="1"/>
        <v>&lt;Valeur name="datecompta"&gt;2018/12/01&lt;/Valeur&gt;</v>
      </c>
      <c r="AB2" s="15" t="str">
        <f t="shared" si="1"/>
        <v>&lt;Valeur name="compte"&gt;3&lt;/Valeur&gt;</v>
      </c>
      <c r="AC2" s="15" t="str">
        <f t="shared" si="1"/>
        <v>&lt;Valeur name="description"&gt;&lt;/Valeur&gt;</v>
      </c>
      <c r="AD2" s="15" t="str">
        <f t="shared" si="1"/>
        <v>&lt;Valeur name="valeur"&gt;8898.84&lt;/Valeur&gt;</v>
      </c>
      <c r="AE2" s="15" t="str">
        <f t="shared" si="1"/>
        <v>&lt;Valeur name="tvapct"&gt;20&lt;/Valeur&gt;</v>
      </c>
      <c r="AF2" s="15" t="str">
        <f t="shared" si="1"/>
        <v>&lt;Valeur name="tva"&gt;-1483.14&lt;/Valeur&gt;</v>
      </c>
      <c r="AG2" s="15" t="s">
        <v>873</v>
      </c>
      <c r="AH2" s="15" t="str">
        <f>CONCATENATE(V2,W2,X2,Y2,Z2,AA2,AB2,AC2,AD2,AE2,AF2,AG2)</f>
        <v>&lt;Insert&gt;&lt;Valeur name="no"&gt;1&lt;/Valeur&gt;&lt;Valeur name="societe"&gt;1&lt;/Valeur&gt;&lt;Valeur name="pointer"&gt;1&lt;/Valeur&gt;&lt;Valeur name="datevaleur"&gt;2019/02/06&lt;/Valeur&gt;&lt;Valeur name="datecompta"&gt;2018/12/01&lt;/Valeur&gt;&lt;Valeur name="compte"&gt;3&lt;/Valeur&gt;&lt;Valeur name="description"&gt;&lt;/Valeur&gt;&lt;Valeur name="valeur"&gt;8898.84&lt;/Valeur&gt;&lt;Valeur name="tvapct"&gt;20&lt;/Valeur&gt;&lt;Valeur name="tva"&gt;-1483.14&lt;/Valeur&gt;&lt;/Insert&gt;</v>
      </c>
    </row>
    <row r="3" spans="1:34" hidden="1" x14ac:dyDescent="0.25">
      <c r="A3" s="9">
        <v>43435</v>
      </c>
      <c r="B3" s="1">
        <v>43508</v>
      </c>
      <c r="C3" t="str">
        <f>INDEX(Balance!A:A,MATCH(D3,Balance!B:B,0))</f>
        <v>Client</v>
      </c>
      <c r="D3" t="s">
        <v>370</v>
      </c>
      <c r="E3" t="s">
        <v>37</v>
      </c>
      <c r="G3">
        <v>23562.7</v>
      </c>
      <c r="H3" s="3">
        <f t="shared" si="0"/>
        <v>-3927.116666666665</v>
      </c>
      <c r="K3">
        <v>2</v>
      </c>
      <c r="L3">
        <v>1</v>
      </c>
      <c r="M3">
        <v>1</v>
      </c>
      <c r="N3" s="16" t="s">
        <v>877</v>
      </c>
      <c r="O3" s="16" t="s">
        <v>876</v>
      </c>
      <c r="P3">
        <f>IFERROR(VLOOKUP(D3,tab!A:B,2,FALSE),1)</f>
        <v>9</v>
      </c>
      <c r="Q3" s="14" t="str">
        <f t="shared" ref="Q3:Q66" si="2">IF(ISBLANK(E3),"",E3)</f>
        <v>VIR TRESORERIE VILLENEUVE D</v>
      </c>
      <c r="R3">
        <f t="shared" ref="R3:R66" si="3">G3-F3</f>
        <v>23562.7</v>
      </c>
      <c r="S3">
        <v>20</v>
      </c>
      <c r="T3" s="13">
        <f t="shared" ref="T3:T66" si="4">H3</f>
        <v>-3927.116666666665</v>
      </c>
      <c r="V3" t="s">
        <v>872</v>
      </c>
      <c r="W3" t="str">
        <f t="shared" ref="W3:W22" si="5">"&lt;Valeur "&amp;K$1&amp;"&gt;"&amp;K3&amp;"&lt;/Valeur&gt;"</f>
        <v>&lt;Valeur name="no"&gt;2&lt;/Valeur&gt;</v>
      </c>
      <c r="X3" t="str">
        <f t="shared" ref="X3:X22" si="6">"&lt;Valeur "&amp;L$1&amp;"&gt;"&amp;L3&amp;"&lt;/Valeur&gt;"</f>
        <v>&lt;Valeur name="societe"&gt;1&lt;/Valeur&gt;</v>
      </c>
      <c r="Y3" t="str">
        <f t="shared" ref="Y3:Y22" si="7">"&lt;Valeur "&amp;M$1&amp;"&gt;"&amp;M3&amp;"&lt;/Valeur&gt;"</f>
        <v>&lt;Valeur name="pointer"&gt;1&lt;/Valeur&gt;</v>
      </c>
      <c r="Z3" s="15" t="str">
        <f t="shared" ref="Z3:Z22" si="8">"&lt;Valeur "&amp;N$1&amp;"&gt;"&amp;N3&amp;"&lt;/Valeur&gt;"</f>
        <v>&lt;Valeur name="datevaleur"&gt;2019/02/12&lt;/Valeur&gt;</v>
      </c>
      <c r="AA3" s="15" t="str">
        <f t="shared" ref="AA3:AA22" si="9">"&lt;Valeur "&amp;O$1&amp;"&gt;"&amp;O3&amp;"&lt;/Valeur&gt;"</f>
        <v>&lt;Valeur name="datecompta"&gt;2018/12/01&lt;/Valeur&gt;</v>
      </c>
      <c r="AB3" s="15" t="str">
        <f t="shared" ref="AB3:AB22" si="10">"&lt;Valeur "&amp;P$1&amp;"&gt;"&amp;P3&amp;"&lt;/Valeur&gt;"</f>
        <v>&lt;Valeur name="compte"&gt;9&lt;/Valeur&gt;</v>
      </c>
      <c r="AC3" s="15" t="str">
        <f t="shared" ref="AC3:AC22" si="11">"&lt;Valeur "&amp;Q$1&amp;"&gt;"&amp;Q3&amp;"&lt;/Valeur&gt;"</f>
        <v>&lt;Valeur name="description"&gt;VIR TRESORERIE VILLENEUVE D&lt;/Valeur&gt;</v>
      </c>
      <c r="AD3" s="15" t="str">
        <f t="shared" ref="AD3:AD22" si="12">"&lt;Valeur "&amp;R$1&amp;"&gt;"&amp;R3&amp;"&lt;/Valeur&gt;"</f>
        <v>&lt;Valeur name="valeur"&gt;23562.7&lt;/Valeur&gt;</v>
      </c>
      <c r="AE3" s="15" t="str">
        <f t="shared" ref="AE3:AE22" si="13">"&lt;Valeur "&amp;S$1&amp;"&gt;"&amp;S3&amp;"&lt;/Valeur&gt;"</f>
        <v>&lt;Valeur name="tvapct"&gt;20&lt;/Valeur&gt;</v>
      </c>
      <c r="AF3" s="15" t="str">
        <f t="shared" ref="AF3:AF22" si="14">"&lt;Valeur "&amp;T$1&amp;"&gt;"&amp;T3&amp;"&lt;/Valeur&gt;"</f>
        <v>&lt;Valeur name="tva"&gt;-3927.11666666666&lt;/Valeur&gt;</v>
      </c>
      <c r="AG3" s="15" t="s">
        <v>873</v>
      </c>
      <c r="AH3" s="15" t="str">
        <f t="shared" ref="AH3:AH22" si="15">CONCATENATE(V3,W3,X3,Y3,Z3,AA3,AB3,AC3,AD3,AE3,AF3,AG3)</f>
        <v>&lt;Insert&gt;&lt;Valeur name="no"&gt;2&lt;/Valeur&gt;&lt;Valeur name="societe"&gt;1&lt;/Valeur&gt;&lt;Valeur name="pointer"&gt;1&lt;/Valeur&gt;&lt;Valeur name="datevaleur"&gt;2019/02/12&lt;/Valeur&gt;&lt;Valeur name="datecompta"&gt;2018/12/01&lt;/Valeur&gt;&lt;Valeur name="compte"&gt;9&lt;/Valeur&gt;&lt;Valeur name="description"&gt;VIR TRESORERIE VILLENEUVE D&lt;/Valeur&gt;&lt;Valeur name="valeur"&gt;23562.7&lt;/Valeur&gt;&lt;Valeur name="tvapct"&gt;20&lt;/Valeur&gt;&lt;Valeur name="tva"&gt;-3927.11666666666&lt;/Valeur&gt;&lt;/Insert&gt;</v>
      </c>
    </row>
    <row r="4" spans="1:34" hidden="1" x14ac:dyDescent="0.25">
      <c r="A4" s="9">
        <v>43435</v>
      </c>
      <c r="B4" s="1">
        <v>43514</v>
      </c>
      <c r="C4" t="str">
        <f>INDEX(Balance!A:A,MATCH(D4,Balance!B:B,0))</f>
        <v>Client</v>
      </c>
      <c r="D4" t="s">
        <v>378</v>
      </c>
      <c r="E4" t="s">
        <v>227</v>
      </c>
      <c r="G4">
        <v>15785.51</v>
      </c>
      <c r="H4" s="3">
        <f t="shared" si="0"/>
        <v>-2630.9183333333331</v>
      </c>
      <c r="K4">
        <v>3</v>
      </c>
      <c r="L4">
        <v>1</v>
      </c>
      <c r="M4">
        <v>1</v>
      </c>
      <c r="N4" s="16" t="s">
        <v>878</v>
      </c>
      <c r="O4" s="16" t="s">
        <v>876</v>
      </c>
      <c r="P4">
        <f>IFERROR(VLOOKUP(D4,tab!A:B,2,FALSE),1)</f>
        <v>6</v>
      </c>
      <c r="Q4" s="14" t="str">
        <f t="shared" si="2"/>
        <v>VIR TRESORERIE HENIN BEAUMON</v>
      </c>
      <c r="R4">
        <f t="shared" si="3"/>
        <v>15785.51</v>
      </c>
      <c r="S4">
        <v>20</v>
      </c>
      <c r="T4" s="13">
        <f t="shared" si="4"/>
        <v>-2630.9183333333331</v>
      </c>
      <c r="V4" t="s">
        <v>872</v>
      </c>
      <c r="W4" t="str">
        <f t="shared" si="5"/>
        <v>&lt;Valeur name="no"&gt;3&lt;/Valeur&gt;</v>
      </c>
      <c r="X4" t="str">
        <f t="shared" si="6"/>
        <v>&lt;Valeur name="societe"&gt;1&lt;/Valeur&gt;</v>
      </c>
      <c r="Y4" t="str">
        <f t="shared" si="7"/>
        <v>&lt;Valeur name="pointer"&gt;1&lt;/Valeur&gt;</v>
      </c>
      <c r="Z4" s="15" t="str">
        <f t="shared" si="8"/>
        <v>&lt;Valeur name="datevaleur"&gt;2019/02/18&lt;/Valeur&gt;</v>
      </c>
      <c r="AA4" s="15" t="str">
        <f t="shared" si="9"/>
        <v>&lt;Valeur name="datecompta"&gt;2018/12/01&lt;/Valeur&gt;</v>
      </c>
      <c r="AB4" s="15" t="str">
        <f t="shared" si="10"/>
        <v>&lt;Valeur name="compte"&gt;6&lt;/Valeur&gt;</v>
      </c>
      <c r="AC4" s="15" t="str">
        <f t="shared" si="11"/>
        <v>&lt;Valeur name="description"&gt;VIR TRESORERIE HENIN BEAUMON&lt;/Valeur&gt;</v>
      </c>
      <c r="AD4" s="15" t="str">
        <f t="shared" si="12"/>
        <v>&lt;Valeur name="valeur"&gt;15785.51&lt;/Valeur&gt;</v>
      </c>
      <c r="AE4" s="15" t="str">
        <f t="shared" si="13"/>
        <v>&lt;Valeur name="tvapct"&gt;20&lt;/Valeur&gt;</v>
      </c>
      <c r="AF4" s="15" t="str">
        <f t="shared" si="14"/>
        <v>&lt;Valeur name="tva"&gt;-2630.91833333333&lt;/Valeur&gt;</v>
      </c>
      <c r="AG4" s="15" t="s">
        <v>873</v>
      </c>
      <c r="AH4" s="15" t="str">
        <f t="shared" si="15"/>
        <v>&lt;Insert&gt;&lt;Valeur name="no"&gt;3&lt;/Valeur&gt;&lt;Valeur name="societe"&gt;1&lt;/Valeur&gt;&lt;Valeur name="pointer"&gt;1&lt;/Valeur&gt;&lt;Valeur name="datevaleur"&gt;2019/02/18&lt;/Valeur&gt;&lt;Valeur name="datecompta"&gt;2018/12/01&lt;/Valeur&gt;&lt;Valeur name="compte"&gt;6&lt;/Valeur&gt;&lt;Valeur name="description"&gt;VIR TRESORERIE HENIN BEAUMON&lt;/Valeur&gt;&lt;Valeur name="valeur"&gt;15785.51&lt;/Valeur&gt;&lt;Valeur name="tvapct"&gt;20&lt;/Valeur&gt;&lt;Valeur name="tva"&gt;-2630.91833333333&lt;/Valeur&gt;&lt;/Insert&gt;</v>
      </c>
    </row>
    <row r="5" spans="1:34" hidden="1" x14ac:dyDescent="0.25">
      <c r="A5" s="9">
        <v>43435</v>
      </c>
      <c r="B5" s="1">
        <v>43538</v>
      </c>
      <c r="C5" t="str">
        <f>INDEX(Balance!A:A,MATCH(D5,Balance!B:B,0))</f>
        <v>Client</v>
      </c>
      <c r="D5" t="s">
        <v>379</v>
      </c>
      <c r="E5" t="s">
        <v>65</v>
      </c>
      <c r="G5">
        <v>6486</v>
      </c>
      <c r="H5" s="3">
        <f t="shared" si="0"/>
        <v>-1081</v>
      </c>
      <c r="K5">
        <v>4</v>
      </c>
      <c r="L5">
        <v>1</v>
      </c>
      <c r="M5">
        <v>1</v>
      </c>
      <c r="N5" s="16" t="s">
        <v>879</v>
      </c>
      <c r="O5" s="16" t="s">
        <v>876</v>
      </c>
      <c r="P5">
        <f>IFERROR(VLOOKUP(D5,tab!A:B,2,FALSE),1)</f>
        <v>4</v>
      </c>
      <c r="Q5" s="14" t="str">
        <f t="shared" si="2"/>
        <v>VIR TRESORERIE ARRAS MUNICIP</v>
      </c>
      <c r="R5">
        <f t="shared" si="3"/>
        <v>6486</v>
      </c>
      <c r="S5">
        <v>20</v>
      </c>
      <c r="T5" s="13">
        <f t="shared" si="4"/>
        <v>-1081</v>
      </c>
      <c r="V5" t="s">
        <v>872</v>
      </c>
      <c r="W5" t="str">
        <f t="shared" si="5"/>
        <v>&lt;Valeur name="no"&gt;4&lt;/Valeur&gt;</v>
      </c>
      <c r="X5" t="str">
        <f t="shared" si="6"/>
        <v>&lt;Valeur name="societe"&gt;1&lt;/Valeur&gt;</v>
      </c>
      <c r="Y5" t="str">
        <f t="shared" si="7"/>
        <v>&lt;Valeur name="pointer"&gt;1&lt;/Valeur&gt;</v>
      </c>
      <c r="Z5" s="15" t="str">
        <f t="shared" si="8"/>
        <v>&lt;Valeur name="datevaleur"&gt;2019/03/14&lt;/Valeur&gt;</v>
      </c>
      <c r="AA5" s="15" t="str">
        <f t="shared" si="9"/>
        <v>&lt;Valeur name="datecompta"&gt;2018/12/01&lt;/Valeur&gt;</v>
      </c>
      <c r="AB5" s="15" t="str">
        <f t="shared" si="10"/>
        <v>&lt;Valeur name="compte"&gt;4&lt;/Valeur&gt;</v>
      </c>
      <c r="AC5" s="15" t="str">
        <f t="shared" si="11"/>
        <v>&lt;Valeur name="description"&gt;VIR TRESORERIE ARRAS MUNICIP&lt;/Valeur&gt;</v>
      </c>
      <c r="AD5" s="15" t="str">
        <f t="shared" si="12"/>
        <v>&lt;Valeur name="valeur"&gt;6486&lt;/Valeur&gt;</v>
      </c>
      <c r="AE5" s="15" t="str">
        <f t="shared" si="13"/>
        <v>&lt;Valeur name="tvapct"&gt;20&lt;/Valeur&gt;</v>
      </c>
      <c r="AF5" s="15" t="str">
        <f t="shared" si="14"/>
        <v>&lt;Valeur name="tva"&gt;-1081&lt;/Valeur&gt;</v>
      </c>
      <c r="AG5" s="15" t="s">
        <v>873</v>
      </c>
      <c r="AH5" s="15" t="str">
        <f t="shared" si="15"/>
        <v>&lt;Insert&gt;&lt;Valeur name="no"&gt;4&lt;/Valeur&gt;&lt;Valeur name="societe"&gt;1&lt;/Valeur&gt;&lt;Valeur name="pointer"&gt;1&lt;/Valeur&gt;&lt;Valeur name="datevaleur"&gt;2019/03/14&lt;/Valeur&gt;&lt;Valeur name="datecompta"&gt;2018/12/01&lt;/Valeur&gt;&lt;Valeur name="compte"&gt;4&lt;/Valeur&gt;&lt;Valeur name="description"&gt;VIR TRESORERIE ARRAS MUNICIP&lt;/Valeur&gt;&lt;Valeur name="valeur"&gt;6486&lt;/Valeur&gt;&lt;Valeur name="tvapct"&gt;20&lt;/Valeur&gt;&lt;Valeur name="tva"&gt;-1081&lt;/Valeur&gt;&lt;/Insert&gt;</v>
      </c>
    </row>
    <row r="6" spans="1:34" hidden="1" x14ac:dyDescent="0.25">
      <c r="A6" s="9">
        <v>43435</v>
      </c>
      <c r="B6" s="1">
        <v>43543</v>
      </c>
      <c r="C6" t="str">
        <f>INDEX(Balance!A:A,MATCH(D6,Balance!B:B,0))</f>
        <v>Client</v>
      </c>
      <c r="D6" t="s">
        <v>370</v>
      </c>
      <c r="E6" t="s">
        <v>37</v>
      </c>
      <c r="G6">
        <v>7747.4</v>
      </c>
      <c r="H6" s="3">
        <f t="shared" si="0"/>
        <v>-1291.2333333333327</v>
      </c>
      <c r="K6">
        <v>5</v>
      </c>
      <c r="L6">
        <v>1</v>
      </c>
      <c r="M6">
        <v>1</v>
      </c>
      <c r="N6" s="16" t="s">
        <v>880</v>
      </c>
      <c r="O6" s="16" t="s">
        <v>876</v>
      </c>
      <c r="P6">
        <f>IFERROR(VLOOKUP(D6,tab!A:B,2,FALSE),1)</f>
        <v>9</v>
      </c>
      <c r="Q6" s="14" t="str">
        <f t="shared" si="2"/>
        <v>VIR TRESORERIE VILLENEUVE D</v>
      </c>
      <c r="R6">
        <f t="shared" si="3"/>
        <v>7747.4</v>
      </c>
      <c r="S6">
        <v>20</v>
      </c>
      <c r="T6" s="13">
        <f t="shared" si="4"/>
        <v>-1291.2333333333327</v>
      </c>
      <c r="V6" t="s">
        <v>872</v>
      </c>
      <c r="W6" t="str">
        <f t="shared" si="5"/>
        <v>&lt;Valeur name="no"&gt;5&lt;/Valeur&gt;</v>
      </c>
      <c r="X6" t="str">
        <f t="shared" si="6"/>
        <v>&lt;Valeur name="societe"&gt;1&lt;/Valeur&gt;</v>
      </c>
      <c r="Y6" t="str">
        <f t="shared" si="7"/>
        <v>&lt;Valeur name="pointer"&gt;1&lt;/Valeur&gt;</v>
      </c>
      <c r="Z6" s="15" t="str">
        <f t="shared" si="8"/>
        <v>&lt;Valeur name="datevaleur"&gt;2019/03/19&lt;/Valeur&gt;</v>
      </c>
      <c r="AA6" s="15" t="str">
        <f t="shared" si="9"/>
        <v>&lt;Valeur name="datecompta"&gt;2018/12/01&lt;/Valeur&gt;</v>
      </c>
      <c r="AB6" s="15" t="str">
        <f t="shared" si="10"/>
        <v>&lt;Valeur name="compte"&gt;9&lt;/Valeur&gt;</v>
      </c>
      <c r="AC6" s="15" t="str">
        <f t="shared" si="11"/>
        <v>&lt;Valeur name="description"&gt;VIR TRESORERIE VILLENEUVE D&lt;/Valeur&gt;</v>
      </c>
      <c r="AD6" s="15" t="str">
        <f t="shared" si="12"/>
        <v>&lt;Valeur name="valeur"&gt;7747.4&lt;/Valeur&gt;</v>
      </c>
      <c r="AE6" s="15" t="str">
        <f t="shared" si="13"/>
        <v>&lt;Valeur name="tvapct"&gt;20&lt;/Valeur&gt;</v>
      </c>
      <c r="AF6" s="15" t="str">
        <f t="shared" si="14"/>
        <v>&lt;Valeur name="tva"&gt;-1291.23333333333&lt;/Valeur&gt;</v>
      </c>
      <c r="AG6" s="15" t="s">
        <v>873</v>
      </c>
      <c r="AH6" s="15" t="str">
        <f t="shared" si="15"/>
        <v>&lt;Insert&gt;&lt;Valeur name="no"&gt;5&lt;/Valeur&gt;&lt;Valeur name="societe"&gt;1&lt;/Valeur&gt;&lt;Valeur name="pointer"&gt;1&lt;/Valeur&gt;&lt;Valeur name="datevaleur"&gt;2019/03/19&lt;/Valeur&gt;&lt;Valeur name="datecompta"&gt;2018/12/01&lt;/Valeur&gt;&lt;Valeur name="compte"&gt;9&lt;/Valeur&gt;&lt;Valeur name="description"&gt;VIR TRESORERIE VILLENEUVE D&lt;/Valeur&gt;&lt;Valeur name="valeur"&gt;7747.4&lt;/Valeur&gt;&lt;Valeur name="tvapct"&gt;20&lt;/Valeur&gt;&lt;Valeur name="tva"&gt;-1291.23333333333&lt;/Valeur&gt;&lt;/Insert&gt;</v>
      </c>
    </row>
    <row r="7" spans="1:34" hidden="1" x14ac:dyDescent="0.25">
      <c r="A7" s="9">
        <v>43435</v>
      </c>
      <c r="B7" s="1">
        <v>43600</v>
      </c>
      <c r="C7" t="str">
        <f>INDEX(Balance!A:A,MATCH(D7,Balance!B:B,0))</f>
        <v>Client</v>
      </c>
      <c r="D7" t="s">
        <v>431</v>
      </c>
      <c r="E7" t="s">
        <v>432</v>
      </c>
      <c r="G7">
        <v>5280</v>
      </c>
      <c r="H7" s="3">
        <f t="shared" si="0"/>
        <v>-880</v>
      </c>
      <c r="K7">
        <v>6</v>
      </c>
      <c r="L7">
        <v>1</v>
      </c>
      <c r="M7">
        <v>1</v>
      </c>
      <c r="N7" s="16" t="s">
        <v>881</v>
      </c>
      <c r="O7" s="16" t="s">
        <v>876</v>
      </c>
      <c r="P7">
        <f>IFERROR(VLOOKUP(D7,tab!A:B,2,FALSE),1)</f>
        <v>8</v>
      </c>
      <c r="Q7" s="14" t="str">
        <f t="shared" si="2"/>
        <v>AF213-2 Porte de cave Leroy</v>
      </c>
      <c r="R7">
        <f t="shared" si="3"/>
        <v>5280</v>
      </c>
      <c r="S7">
        <v>20</v>
      </c>
      <c r="T7" s="13">
        <f t="shared" si="4"/>
        <v>-880</v>
      </c>
      <c r="V7" t="s">
        <v>872</v>
      </c>
      <c r="W7" t="str">
        <f t="shared" si="5"/>
        <v>&lt;Valeur name="no"&gt;6&lt;/Valeur&gt;</v>
      </c>
      <c r="X7" t="str">
        <f t="shared" si="6"/>
        <v>&lt;Valeur name="societe"&gt;1&lt;/Valeur&gt;</v>
      </c>
      <c r="Y7" t="str">
        <f t="shared" si="7"/>
        <v>&lt;Valeur name="pointer"&gt;1&lt;/Valeur&gt;</v>
      </c>
      <c r="Z7" s="15" t="str">
        <f t="shared" si="8"/>
        <v>&lt;Valeur name="datevaleur"&gt;2019/05/15&lt;/Valeur&gt;</v>
      </c>
      <c r="AA7" s="15" t="str">
        <f t="shared" si="9"/>
        <v>&lt;Valeur name="datecompta"&gt;2018/12/01&lt;/Valeur&gt;</v>
      </c>
      <c r="AB7" s="15" t="str">
        <f t="shared" si="10"/>
        <v>&lt;Valeur name="compte"&gt;8&lt;/Valeur&gt;</v>
      </c>
      <c r="AC7" s="15" t="str">
        <f t="shared" si="11"/>
        <v>&lt;Valeur name="description"&gt;AF213-2 Porte de cave Leroy&lt;/Valeur&gt;</v>
      </c>
      <c r="AD7" s="15" t="str">
        <f t="shared" si="12"/>
        <v>&lt;Valeur name="valeur"&gt;5280&lt;/Valeur&gt;</v>
      </c>
      <c r="AE7" s="15" t="str">
        <f t="shared" si="13"/>
        <v>&lt;Valeur name="tvapct"&gt;20&lt;/Valeur&gt;</v>
      </c>
      <c r="AF7" s="15" t="str">
        <f t="shared" si="14"/>
        <v>&lt;Valeur name="tva"&gt;-880&lt;/Valeur&gt;</v>
      </c>
      <c r="AG7" s="15" t="s">
        <v>873</v>
      </c>
      <c r="AH7" s="15" t="str">
        <f t="shared" si="15"/>
        <v>&lt;Insert&gt;&lt;Valeur name="no"&gt;6&lt;/Valeur&gt;&lt;Valeur name="societe"&gt;1&lt;/Valeur&gt;&lt;Valeur name="pointer"&gt;1&lt;/Valeur&gt;&lt;Valeur name="datevaleur"&gt;2019/05/15&lt;/Valeur&gt;&lt;Valeur name="datecompta"&gt;2018/12/01&lt;/Valeur&gt;&lt;Valeur name="compte"&gt;8&lt;/Valeur&gt;&lt;Valeur name="description"&gt;AF213-2 Porte de cave Leroy&lt;/Valeur&gt;&lt;Valeur name="valeur"&gt;5280&lt;/Valeur&gt;&lt;Valeur name="tvapct"&gt;20&lt;/Valeur&gt;&lt;Valeur name="tva"&gt;-880&lt;/Valeur&gt;&lt;/Insert&gt;</v>
      </c>
    </row>
    <row r="8" spans="1:34" hidden="1" x14ac:dyDescent="0.25">
      <c r="A8" s="9">
        <v>43435</v>
      </c>
      <c r="B8" s="1">
        <v>43585</v>
      </c>
      <c r="C8" t="str">
        <f>INDEX(Balance!A:A,MATCH(D8,Balance!B:B,0))</f>
        <v>Client</v>
      </c>
      <c r="D8" t="s">
        <v>430</v>
      </c>
      <c r="E8" t="s">
        <v>591</v>
      </c>
      <c r="G8">
        <v>0</v>
      </c>
      <c r="H8" s="3">
        <f t="shared" si="0"/>
        <v>0</v>
      </c>
      <c r="K8">
        <v>7</v>
      </c>
      <c r="L8">
        <v>1</v>
      </c>
      <c r="M8">
        <v>1</v>
      </c>
      <c r="N8" s="16" t="s">
        <v>882</v>
      </c>
      <c r="O8" s="16" t="s">
        <v>876</v>
      </c>
      <c r="P8">
        <f>IFERROR(VLOOKUP(D8,tab!A:B,2,FALSE),1)</f>
        <v>7</v>
      </c>
      <c r="Q8" s="14" t="str">
        <f t="shared" si="2"/>
        <v>Support Bruno  (descompte dette) 72€</v>
      </c>
      <c r="R8">
        <f t="shared" si="3"/>
        <v>0</v>
      </c>
      <c r="S8">
        <v>20</v>
      </c>
      <c r="T8" s="13">
        <f t="shared" si="4"/>
        <v>0</v>
      </c>
      <c r="V8" t="s">
        <v>872</v>
      </c>
      <c r="W8" t="str">
        <f t="shared" si="5"/>
        <v>&lt;Valeur name="no"&gt;7&lt;/Valeur&gt;</v>
      </c>
      <c r="X8" t="str">
        <f t="shared" si="6"/>
        <v>&lt;Valeur name="societe"&gt;1&lt;/Valeur&gt;</v>
      </c>
      <c r="Y8" t="str">
        <f t="shared" si="7"/>
        <v>&lt;Valeur name="pointer"&gt;1&lt;/Valeur&gt;</v>
      </c>
      <c r="Z8" s="15" t="str">
        <f t="shared" si="8"/>
        <v>&lt;Valeur name="datevaleur"&gt;2019/04/30&lt;/Valeur&gt;</v>
      </c>
      <c r="AA8" s="15" t="str">
        <f t="shared" si="9"/>
        <v>&lt;Valeur name="datecompta"&gt;2018/12/01&lt;/Valeur&gt;</v>
      </c>
      <c r="AB8" s="15" t="str">
        <f t="shared" si="10"/>
        <v>&lt;Valeur name="compte"&gt;7&lt;/Valeur&gt;</v>
      </c>
      <c r="AC8" s="15" t="str">
        <f t="shared" si="11"/>
        <v>&lt;Valeur name="description"&gt;Support Bruno  (descompte dette) 72€&lt;/Valeur&gt;</v>
      </c>
      <c r="AD8" s="15" t="str">
        <f t="shared" si="12"/>
        <v>&lt;Valeur name="valeur"&gt;0&lt;/Valeur&gt;</v>
      </c>
      <c r="AE8" s="15" t="str">
        <f t="shared" si="13"/>
        <v>&lt;Valeur name="tvapct"&gt;20&lt;/Valeur&gt;</v>
      </c>
      <c r="AF8" s="15" t="str">
        <f t="shared" si="14"/>
        <v>&lt;Valeur name="tva"&gt;0&lt;/Valeur&gt;</v>
      </c>
      <c r="AG8" s="15" t="s">
        <v>873</v>
      </c>
      <c r="AH8" s="15" t="str">
        <f t="shared" si="15"/>
        <v>&lt;Insert&gt;&lt;Valeur name="no"&gt;7&lt;/Valeur&gt;&lt;Valeur name="societe"&gt;1&lt;/Valeur&gt;&lt;Valeur name="pointer"&gt;1&lt;/Valeur&gt;&lt;Valeur name="datevaleur"&gt;2019/04/30&lt;/Valeur&gt;&lt;Valeur name="datecompta"&gt;2018/12/01&lt;/Valeur&gt;&lt;Valeur name="compte"&gt;7&lt;/Valeur&gt;&lt;Valeur name="description"&gt;Support Bruno  (descompte dette) 72€&lt;/Valeur&gt;&lt;Valeur name="valeur"&gt;0&lt;/Valeur&gt;&lt;Valeur name="tvapct"&gt;20&lt;/Valeur&gt;&lt;Valeur name="tva"&gt;0&lt;/Valeur&gt;&lt;/Insert&gt;</v>
      </c>
    </row>
    <row r="9" spans="1:34" hidden="1" x14ac:dyDescent="0.25">
      <c r="A9" s="9">
        <v>43435</v>
      </c>
      <c r="B9" s="1">
        <v>43646</v>
      </c>
      <c r="C9" t="str">
        <f>INDEX(Balance!A:A,MATCH(D9,Balance!B:B,0))</f>
        <v>Client</v>
      </c>
      <c r="D9" t="s">
        <v>429</v>
      </c>
      <c r="G9">
        <v>880.2</v>
      </c>
      <c r="H9" s="3">
        <f t="shared" si="0"/>
        <v>-146.69999999999993</v>
      </c>
      <c r="K9">
        <v>8</v>
      </c>
      <c r="L9">
        <v>1</v>
      </c>
      <c r="M9">
        <v>1</v>
      </c>
      <c r="N9" s="16" t="s">
        <v>883</v>
      </c>
      <c r="O9" s="16" t="s">
        <v>876</v>
      </c>
      <c r="P9">
        <f>IFERROR(VLOOKUP(D9,tab!A:B,2,FALSE),1)</f>
        <v>10</v>
      </c>
      <c r="Q9" s="14" t="str">
        <f t="shared" si="2"/>
        <v/>
      </c>
      <c r="R9">
        <f t="shared" si="3"/>
        <v>880.2</v>
      </c>
      <c r="S9">
        <v>20</v>
      </c>
      <c r="T9" s="13">
        <f t="shared" si="4"/>
        <v>-146.69999999999993</v>
      </c>
      <c r="V9" t="s">
        <v>872</v>
      </c>
      <c r="W9" t="str">
        <f t="shared" si="5"/>
        <v>&lt;Valeur name="no"&gt;8&lt;/Valeur&gt;</v>
      </c>
      <c r="X9" t="str">
        <f t="shared" si="6"/>
        <v>&lt;Valeur name="societe"&gt;1&lt;/Valeur&gt;</v>
      </c>
      <c r="Y9" t="str">
        <f t="shared" si="7"/>
        <v>&lt;Valeur name="pointer"&gt;1&lt;/Valeur&gt;</v>
      </c>
      <c r="Z9" s="15" t="str">
        <f t="shared" si="8"/>
        <v>&lt;Valeur name="datevaleur"&gt;2019/06/30&lt;/Valeur&gt;</v>
      </c>
      <c r="AA9" s="15" t="str">
        <f t="shared" si="9"/>
        <v>&lt;Valeur name="datecompta"&gt;2018/12/01&lt;/Valeur&gt;</v>
      </c>
      <c r="AB9" s="15" t="str">
        <f t="shared" si="10"/>
        <v>&lt;Valeur name="compte"&gt;10&lt;/Valeur&gt;</v>
      </c>
      <c r="AC9" s="15" t="str">
        <f t="shared" si="11"/>
        <v>&lt;Valeur name="description"&gt;&lt;/Valeur&gt;</v>
      </c>
      <c r="AD9" s="15" t="str">
        <f t="shared" si="12"/>
        <v>&lt;Valeur name="valeur"&gt;880.2&lt;/Valeur&gt;</v>
      </c>
      <c r="AE9" s="15" t="str">
        <f t="shared" si="13"/>
        <v>&lt;Valeur name="tvapct"&gt;20&lt;/Valeur&gt;</v>
      </c>
      <c r="AF9" s="15" t="str">
        <f t="shared" si="14"/>
        <v>&lt;Valeur name="tva"&gt;-146.7&lt;/Valeur&gt;</v>
      </c>
      <c r="AG9" s="15" t="s">
        <v>873</v>
      </c>
      <c r="AH9" s="15" t="str">
        <f t="shared" si="15"/>
        <v>&lt;Insert&gt;&lt;Valeur name="no"&gt;8&lt;/Valeur&gt;&lt;Valeur name="societe"&gt;1&lt;/Valeur&gt;&lt;Valeur name="pointer"&gt;1&lt;/Valeur&gt;&lt;Valeur name="datevaleur"&gt;2019/06/30&lt;/Valeur&gt;&lt;Valeur name="datecompta"&gt;2018/12/01&lt;/Valeur&gt;&lt;Valeur name="compte"&gt;10&lt;/Valeur&gt;&lt;Valeur name="description"&gt;&lt;/Valeur&gt;&lt;Valeur name="valeur"&gt;880.2&lt;/Valeur&gt;&lt;Valeur name="tvapct"&gt;20&lt;/Valeur&gt;&lt;Valeur name="tva"&gt;-146.7&lt;/Valeur&gt;&lt;/Insert&gt;</v>
      </c>
    </row>
    <row r="10" spans="1:34" x14ac:dyDescent="0.25">
      <c r="A10" s="9">
        <v>43466</v>
      </c>
      <c r="B10" s="1">
        <v>43480</v>
      </c>
      <c r="C10" t="str">
        <f>INDEX(Balance!A:A,MATCH(D10,Balance!B:B,0))</f>
        <v>Client</v>
      </c>
      <c r="D10" t="s">
        <v>379</v>
      </c>
      <c r="F10">
        <v>-27522.94000000001</v>
      </c>
      <c r="G10">
        <v>0</v>
      </c>
      <c r="H10" s="3">
        <f t="shared" si="0"/>
        <v>0</v>
      </c>
      <c r="K10">
        <v>9</v>
      </c>
      <c r="L10">
        <v>1</v>
      </c>
      <c r="M10">
        <v>1</v>
      </c>
      <c r="N10" s="16" t="s">
        <v>884</v>
      </c>
      <c r="O10" s="16" t="s">
        <v>885</v>
      </c>
      <c r="P10">
        <f>IFERROR(VLOOKUP(D10,tab!A:B,2,FALSE),1)</f>
        <v>4</v>
      </c>
      <c r="Q10" s="14" t="str">
        <f t="shared" si="2"/>
        <v/>
      </c>
      <c r="R10">
        <f t="shared" si="3"/>
        <v>27522.94000000001</v>
      </c>
      <c r="S10">
        <v>20</v>
      </c>
      <c r="T10" s="13">
        <f t="shared" si="4"/>
        <v>0</v>
      </c>
      <c r="V10" t="s">
        <v>872</v>
      </c>
      <c r="W10" t="str">
        <f t="shared" si="5"/>
        <v>&lt;Valeur name="no"&gt;9&lt;/Valeur&gt;</v>
      </c>
      <c r="X10" t="str">
        <f t="shared" si="6"/>
        <v>&lt;Valeur name="societe"&gt;1&lt;/Valeur&gt;</v>
      </c>
      <c r="Y10" t="str">
        <f t="shared" si="7"/>
        <v>&lt;Valeur name="pointer"&gt;1&lt;/Valeur&gt;</v>
      </c>
      <c r="Z10" s="15" t="str">
        <f t="shared" si="8"/>
        <v>&lt;Valeur name="datevaleur"&gt;2019/01/15&lt;/Valeur&gt;</v>
      </c>
      <c r="AA10" s="15" t="str">
        <f t="shared" si="9"/>
        <v>&lt;Valeur name="datecompta"&gt;2019/01/01&lt;/Valeur&gt;</v>
      </c>
      <c r="AB10" s="15" t="str">
        <f t="shared" si="10"/>
        <v>&lt;Valeur name="compte"&gt;4&lt;/Valeur&gt;</v>
      </c>
      <c r="AC10" s="15" t="str">
        <f t="shared" si="11"/>
        <v>&lt;Valeur name="description"&gt;&lt;/Valeur&gt;</v>
      </c>
      <c r="AD10" s="15" t="str">
        <f t="shared" si="12"/>
        <v>&lt;Valeur name="valeur"&gt;27522.94&lt;/Valeur&gt;</v>
      </c>
      <c r="AE10" s="15" t="str">
        <f t="shared" si="13"/>
        <v>&lt;Valeur name="tvapct"&gt;20&lt;/Valeur&gt;</v>
      </c>
      <c r="AF10" s="15" t="str">
        <f t="shared" si="14"/>
        <v>&lt;Valeur name="tva"&gt;0&lt;/Valeur&gt;</v>
      </c>
      <c r="AG10" s="15" t="s">
        <v>873</v>
      </c>
      <c r="AH10" s="15" t="str">
        <f t="shared" si="15"/>
        <v>&lt;Insert&gt;&lt;Valeur name="no"&gt;9&lt;/Valeur&gt;&lt;Valeur name="societe"&gt;1&lt;/Valeur&gt;&lt;Valeur name="pointer"&gt;1&lt;/Valeur&gt;&lt;Valeur name="datevaleur"&gt;2019/01/15&lt;/Valeur&gt;&lt;Valeur name="datecompta"&gt;2019/01/01&lt;/Valeur&gt;&lt;Valeur name="compte"&gt;4&lt;/Valeur&gt;&lt;Valeur name="description"&gt;&lt;/Valeur&gt;&lt;Valeur name="valeur"&gt;27522.94&lt;/Valeur&gt;&lt;Valeur name="tvapct"&gt;20&lt;/Valeur&gt;&lt;Valeur name="tva"&gt;0&lt;/Valeur&gt;&lt;/Insert&gt;</v>
      </c>
    </row>
    <row r="11" spans="1:34" hidden="1" x14ac:dyDescent="0.25">
      <c r="A11" s="9">
        <v>43497</v>
      </c>
      <c r="B11" s="1">
        <v>43570</v>
      </c>
      <c r="C11" t="str">
        <f>INDEX(Balance!A:A,MATCH(D11,Balance!B:B,0))</f>
        <v>Client</v>
      </c>
      <c r="D11" t="s">
        <v>430</v>
      </c>
      <c r="E11" t="s">
        <v>590</v>
      </c>
      <c r="G11">
        <v>0</v>
      </c>
      <c r="H11" s="3">
        <f t="shared" si="0"/>
        <v>0</v>
      </c>
      <c r="K11">
        <v>10</v>
      </c>
      <c r="L11">
        <v>1</v>
      </c>
      <c r="M11">
        <v>1</v>
      </c>
      <c r="N11" s="16" t="s">
        <v>886</v>
      </c>
      <c r="O11" s="16" t="s">
        <v>887</v>
      </c>
      <c r="P11">
        <f>IFERROR(VLOOKUP(D11,tab!A:B,2,FALSE),1)</f>
        <v>7</v>
      </c>
      <c r="Q11" s="14" t="str">
        <f t="shared" si="2"/>
        <v>Pietement  (descompte dette) 432€</v>
      </c>
      <c r="R11">
        <f t="shared" si="3"/>
        <v>0</v>
      </c>
      <c r="S11">
        <v>20</v>
      </c>
      <c r="T11" s="13">
        <f t="shared" si="4"/>
        <v>0</v>
      </c>
      <c r="V11" t="s">
        <v>872</v>
      </c>
      <c r="W11" t="str">
        <f t="shared" si="5"/>
        <v>&lt;Valeur name="no"&gt;10&lt;/Valeur&gt;</v>
      </c>
      <c r="X11" t="str">
        <f t="shared" si="6"/>
        <v>&lt;Valeur name="societe"&gt;1&lt;/Valeur&gt;</v>
      </c>
      <c r="Y11" t="str">
        <f t="shared" si="7"/>
        <v>&lt;Valeur name="pointer"&gt;1&lt;/Valeur&gt;</v>
      </c>
      <c r="Z11" s="15" t="str">
        <f t="shared" si="8"/>
        <v>&lt;Valeur name="datevaleur"&gt;2019/04/15&lt;/Valeur&gt;</v>
      </c>
      <c r="AA11" s="15" t="str">
        <f t="shared" si="9"/>
        <v>&lt;Valeur name="datecompta"&gt;2019/02/01&lt;/Valeur&gt;</v>
      </c>
      <c r="AB11" s="15" t="str">
        <f t="shared" si="10"/>
        <v>&lt;Valeur name="compte"&gt;7&lt;/Valeur&gt;</v>
      </c>
      <c r="AC11" s="15" t="str">
        <f t="shared" si="11"/>
        <v>&lt;Valeur name="description"&gt;Pietement  (descompte dette) 432€&lt;/Valeur&gt;</v>
      </c>
      <c r="AD11" s="15" t="str">
        <f t="shared" si="12"/>
        <v>&lt;Valeur name="valeur"&gt;0&lt;/Valeur&gt;</v>
      </c>
      <c r="AE11" s="15" t="str">
        <f t="shared" si="13"/>
        <v>&lt;Valeur name="tvapct"&gt;20&lt;/Valeur&gt;</v>
      </c>
      <c r="AF11" s="15" t="str">
        <f t="shared" si="14"/>
        <v>&lt;Valeur name="tva"&gt;0&lt;/Valeur&gt;</v>
      </c>
      <c r="AG11" s="15" t="s">
        <v>873</v>
      </c>
      <c r="AH11" s="15" t="str">
        <f t="shared" si="15"/>
        <v>&lt;Insert&gt;&lt;Valeur name="no"&gt;10&lt;/Valeur&gt;&lt;Valeur name="societe"&gt;1&lt;/Valeur&gt;&lt;Valeur name="pointer"&gt;1&lt;/Valeur&gt;&lt;Valeur name="datevaleur"&gt;2019/04/15&lt;/Valeur&gt;&lt;Valeur name="datecompta"&gt;2019/02/01&lt;/Valeur&gt;&lt;Valeur name="compte"&gt;7&lt;/Valeur&gt;&lt;Valeur name="description"&gt;Pietement  (descompte dette) 432€&lt;/Valeur&gt;&lt;Valeur name="valeur"&gt;0&lt;/Valeur&gt;&lt;Valeur name="tvapct"&gt;20&lt;/Valeur&gt;&lt;Valeur name="tva"&gt;0&lt;/Valeur&gt;&lt;/Insert&gt;</v>
      </c>
    </row>
    <row r="12" spans="1:34" hidden="1" x14ac:dyDescent="0.25">
      <c r="A12" s="9">
        <v>43524</v>
      </c>
      <c r="B12" s="1">
        <v>43553</v>
      </c>
      <c r="C12" t="str">
        <f>INDEX(Balance!A:A,MATCH(D12,Balance!B:B,0))</f>
        <v>Client</v>
      </c>
      <c r="D12" t="s">
        <v>379</v>
      </c>
      <c r="E12" t="s">
        <v>65</v>
      </c>
      <c r="G12">
        <v>9720</v>
      </c>
      <c r="H12" s="3">
        <f t="shared" si="0"/>
        <v>-1620</v>
      </c>
      <c r="K12">
        <v>11</v>
      </c>
      <c r="L12">
        <v>1</v>
      </c>
      <c r="M12">
        <v>1</v>
      </c>
      <c r="N12" s="16" t="s">
        <v>888</v>
      </c>
      <c r="O12" s="16" t="s">
        <v>889</v>
      </c>
      <c r="P12">
        <f>IFERROR(VLOOKUP(D12,tab!A:B,2,FALSE),1)</f>
        <v>4</v>
      </c>
      <c r="Q12" s="14" t="str">
        <f t="shared" si="2"/>
        <v>VIR TRESORERIE ARRAS MUNICIP</v>
      </c>
      <c r="R12">
        <f t="shared" si="3"/>
        <v>9720</v>
      </c>
      <c r="S12">
        <v>20</v>
      </c>
      <c r="T12" s="13">
        <f t="shared" si="4"/>
        <v>-1620</v>
      </c>
      <c r="V12" t="s">
        <v>872</v>
      </c>
      <c r="W12" t="str">
        <f t="shared" si="5"/>
        <v>&lt;Valeur name="no"&gt;11&lt;/Valeur&gt;</v>
      </c>
      <c r="X12" t="str">
        <f t="shared" si="6"/>
        <v>&lt;Valeur name="societe"&gt;1&lt;/Valeur&gt;</v>
      </c>
      <c r="Y12" t="str">
        <f t="shared" si="7"/>
        <v>&lt;Valeur name="pointer"&gt;1&lt;/Valeur&gt;</v>
      </c>
      <c r="Z12" s="15" t="str">
        <f t="shared" si="8"/>
        <v>&lt;Valeur name="datevaleur"&gt;2019/03/29&lt;/Valeur&gt;</v>
      </c>
      <c r="AA12" s="15" t="str">
        <f t="shared" si="9"/>
        <v>&lt;Valeur name="datecompta"&gt;2019/02/28&lt;/Valeur&gt;</v>
      </c>
      <c r="AB12" s="15" t="str">
        <f t="shared" si="10"/>
        <v>&lt;Valeur name="compte"&gt;4&lt;/Valeur&gt;</v>
      </c>
      <c r="AC12" s="15" t="str">
        <f t="shared" si="11"/>
        <v>&lt;Valeur name="description"&gt;VIR TRESORERIE ARRAS MUNICIP&lt;/Valeur&gt;</v>
      </c>
      <c r="AD12" s="15" t="str">
        <f t="shared" si="12"/>
        <v>&lt;Valeur name="valeur"&gt;9720&lt;/Valeur&gt;</v>
      </c>
      <c r="AE12" s="15" t="str">
        <f t="shared" si="13"/>
        <v>&lt;Valeur name="tvapct"&gt;20&lt;/Valeur&gt;</v>
      </c>
      <c r="AF12" s="15" t="str">
        <f t="shared" si="14"/>
        <v>&lt;Valeur name="tva"&gt;-1620&lt;/Valeur&gt;</v>
      </c>
      <c r="AG12" s="15" t="s">
        <v>873</v>
      </c>
      <c r="AH12" s="15" t="str">
        <f t="shared" si="15"/>
        <v>&lt;Insert&gt;&lt;Valeur name="no"&gt;11&lt;/Valeur&gt;&lt;Valeur name="societe"&gt;1&lt;/Valeur&gt;&lt;Valeur name="pointer"&gt;1&lt;/Valeur&gt;&lt;Valeur name="datevaleur"&gt;2019/03/29&lt;/Valeur&gt;&lt;Valeur name="datecompta"&gt;2019/02/28&lt;/Valeur&gt;&lt;Valeur name="compte"&gt;4&lt;/Valeur&gt;&lt;Valeur name="description"&gt;VIR TRESORERIE ARRAS MUNICIP&lt;/Valeur&gt;&lt;Valeur name="valeur"&gt;9720&lt;/Valeur&gt;&lt;Valeur name="tvapct"&gt;20&lt;/Valeur&gt;&lt;Valeur name="tva"&gt;-1620&lt;/Valeur&gt;&lt;/Insert&gt;</v>
      </c>
    </row>
    <row r="13" spans="1:34" hidden="1" x14ac:dyDescent="0.25">
      <c r="A13" s="9">
        <v>43524</v>
      </c>
      <c r="B13" s="1">
        <v>43553</v>
      </c>
      <c r="C13" t="str">
        <f>INDEX(Balance!A:A,MATCH(D13,Balance!B:B,0))</f>
        <v>Client</v>
      </c>
      <c r="D13" t="s">
        <v>379</v>
      </c>
      <c r="E13" t="s">
        <v>65</v>
      </c>
      <c r="G13">
        <v>5592</v>
      </c>
      <c r="H13" s="3">
        <f t="shared" si="0"/>
        <v>-932</v>
      </c>
      <c r="K13">
        <v>12</v>
      </c>
      <c r="L13">
        <v>1</v>
      </c>
      <c r="M13">
        <v>1</v>
      </c>
      <c r="N13" s="16" t="s">
        <v>888</v>
      </c>
      <c r="O13" s="16" t="s">
        <v>889</v>
      </c>
      <c r="P13">
        <f>IFERROR(VLOOKUP(D13,tab!A:B,2,FALSE),1)</f>
        <v>4</v>
      </c>
      <c r="Q13" s="14" t="str">
        <f t="shared" si="2"/>
        <v>VIR TRESORERIE ARRAS MUNICIP</v>
      </c>
      <c r="R13">
        <f t="shared" si="3"/>
        <v>5592</v>
      </c>
      <c r="S13">
        <v>20</v>
      </c>
      <c r="T13" s="13">
        <f t="shared" si="4"/>
        <v>-932</v>
      </c>
      <c r="V13" t="s">
        <v>872</v>
      </c>
      <c r="W13" t="str">
        <f t="shared" si="5"/>
        <v>&lt;Valeur name="no"&gt;12&lt;/Valeur&gt;</v>
      </c>
      <c r="X13" t="str">
        <f t="shared" si="6"/>
        <v>&lt;Valeur name="societe"&gt;1&lt;/Valeur&gt;</v>
      </c>
      <c r="Y13" t="str">
        <f t="shared" si="7"/>
        <v>&lt;Valeur name="pointer"&gt;1&lt;/Valeur&gt;</v>
      </c>
      <c r="Z13" s="15" t="str">
        <f t="shared" si="8"/>
        <v>&lt;Valeur name="datevaleur"&gt;2019/03/29&lt;/Valeur&gt;</v>
      </c>
      <c r="AA13" s="15" t="str">
        <f t="shared" si="9"/>
        <v>&lt;Valeur name="datecompta"&gt;2019/02/28&lt;/Valeur&gt;</v>
      </c>
      <c r="AB13" s="15" t="str">
        <f t="shared" si="10"/>
        <v>&lt;Valeur name="compte"&gt;4&lt;/Valeur&gt;</v>
      </c>
      <c r="AC13" s="15" t="str">
        <f t="shared" si="11"/>
        <v>&lt;Valeur name="description"&gt;VIR TRESORERIE ARRAS MUNICIP&lt;/Valeur&gt;</v>
      </c>
      <c r="AD13" s="15" t="str">
        <f t="shared" si="12"/>
        <v>&lt;Valeur name="valeur"&gt;5592&lt;/Valeur&gt;</v>
      </c>
      <c r="AE13" s="15" t="str">
        <f t="shared" si="13"/>
        <v>&lt;Valeur name="tvapct"&gt;20&lt;/Valeur&gt;</v>
      </c>
      <c r="AF13" s="15" t="str">
        <f t="shared" si="14"/>
        <v>&lt;Valeur name="tva"&gt;-932&lt;/Valeur&gt;</v>
      </c>
      <c r="AG13" s="15" t="s">
        <v>873</v>
      </c>
      <c r="AH13" s="15" t="str">
        <f t="shared" si="15"/>
        <v>&lt;Insert&gt;&lt;Valeur name="no"&gt;12&lt;/Valeur&gt;&lt;Valeur name="societe"&gt;1&lt;/Valeur&gt;&lt;Valeur name="pointer"&gt;1&lt;/Valeur&gt;&lt;Valeur name="datevaleur"&gt;2019/03/29&lt;/Valeur&gt;&lt;Valeur name="datecompta"&gt;2019/02/28&lt;/Valeur&gt;&lt;Valeur name="compte"&gt;4&lt;/Valeur&gt;&lt;Valeur name="description"&gt;VIR TRESORERIE ARRAS MUNICIP&lt;/Valeur&gt;&lt;Valeur name="valeur"&gt;5592&lt;/Valeur&gt;&lt;Valeur name="tvapct"&gt;20&lt;/Valeur&gt;&lt;Valeur name="tva"&gt;-932&lt;/Valeur&gt;&lt;/Insert&gt;</v>
      </c>
    </row>
    <row r="14" spans="1:34" hidden="1" x14ac:dyDescent="0.25">
      <c r="A14" s="9">
        <v>43524</v>
      </c>
      <c r="B14" s="1">
        <v>43570</v>
      </c>
      <c r="C14" t="str">
        <f>INDEX(Balance!A:A,MATCH(D14,Balance!B:B,0))</f>
        <v>Client</v>
      </c>
      <c r="D14" t="s">
        <v>379</v>
      </c>
      <c r="G14">
        <v>13481.88</v>
      </c>
      <c r="H14" s="3">
        <f t="shared" si="0"/>
        <v>-2246.9799999999996</v>
      </c>
      <c r="K14">
        <v>13</v>
      </c>
      <c r="L14">
        <v>1</v>
      </c>
      <c r="M14">
        <v>1</v>
      </c>
      <c r="N14" s="16" t="s">
        <v>886</v>
      </c>
      <c r="O14" s="16" t="s">
        <v>889</v>
      </c>
      <c r="P14">
        <f>IFERROR(VLOOKUP(D14,tab!A:B,2,FALSE),1)</f>
        <v>4</v>
      </c>
      <c r="Q14" s="14" t="str">
        <f t="shared" si="2"/>
        <v/>
      </c>
      <c r="R14">
        <f t="shared" si="3"/>
        <v>13481.88</v>
      </c>
      <c r="S14">
        <v>20</v>
      </c>
      <c r="T14" s="13">
        <f t="shared" si="4"/>
        <v>-2246.9799999999996</v>
      </c>
      <c r="V14" t="s">
        <v>872</v>
      </c>
      <c r="W14" t="str">
        <f t="shared" si="5"/>
        <v>&lt;Valeur name="no"&gt;13&lt;/Valeur&gt;</v>
      </c>
      <c r="X14" t="str">
        <f t="shared" si="6"/>
        <v>&lt;Valeur name="societe"&gt;1&lt;/Valeur&gt;</v>
      </c>
      <c r="Y14" t="str">
        <f t="shared" si="7"/>
        <v>&lt;Valeur name="pointer"&gt;1&lt;/Valeur&gt;</v>
      </c>
      <c r="Z14" s="15" t="str">
        <f t="shared" si="8"/>
        <v>&lt;Valeur name="datevaleur"&gt;2019/04/15&lt;/Valeur&gt;</v>
      </c>
      <c r="AA14" s="15" t="str">
        <f t="shared" si="9"/>
        <v>&lt;Valeur name="datecompta"&gt;2019/02/28&lt;/Valeur&gt;</v>
      </c>
      <c r="AB14" s="15" t="str">
        <f t="shared" si="10"/>
        <v>&lt;Valeur name="compte"&gt;4&lt;/Valeur&gt;</v>
      </c>
      <c r="AC14" s="15" t="str">
        <f t="shared" si="11"/>
        <v>&lt;Valeur name="description"&gt;&lt;/Valeur&gt;</v>
      </c>
      <c r="AD14" s="15" t="str">
        <f t="shared" si="12"/>
        <v>&lt;Valeur name="valeur"&gt;13481.88&lt;/Valeur&gt;</v>
      </c>
      <c r="AE14" s="15" t="str">
        <f t="shared" si="13"/>
        <v>&lt;Valeur name="tvapct"&gt;20&lt;/Valeur&gt;</v>
      </c>
      <c r="AF14" s="15" t="str">
        <f t="shared" si="14"/>
        <v>&lt;Valeur name="tva"&gt;-2246.98&lt;/Valeur&gt;</v>
      </c>
      <c r="AG14" s="15" t="s">
        <v>873</v>
      </c>
      <c r="AH14" s="15" t="str">
        <f t="shared" si="15"/>
        <v>&lt;Insert&gt;&lt;Valeur name="no"&gt;13&lt;/Valeur&gt;&lt;Valeur name="societe"&gt;1&lt;/Valeur&gt;&lt;Valeur name="pointer"&gt;1&lt;/Valeur&gt;&lt;Valeur name="datevaleur"&gt;2019/04/15&lt;/Valeur&gt;&lt;Valeur name="datecompta"&gt;2019/02/28&lt;/Valeur&gt;&lt;Valeur name="compte"&gt;4&lt;/Valeur&gt;&lt;Valeur name="description"&gt;&lt;/Valeur&gt;&lt;Valeur name="valeur"&gt;13481.88&lt;/Valeur&gt;&lt;Valeur name="tvapct"&gt;20&lt;/Valeur&gt;&lt;Valeur name="tva"&gt;-2246.98&lt;/Valeur&gt;&lt;/Insert&gt;</v>
      </c>
    </row>
    <row r="15" spans="1:34" hidden="1" x14ac:dyDescent="0.25">
      <c r="A15" s="9">
        <v>43524</v>
      </c>
      <c r="B15" s="1">
        <v>43570</v>
      </c>
      <c r="C15" t="str">
        <f>INDEX(Balance!A:A,MATCH(D15,Balance!B:B,0))</f>
        <v>Client</v>
      </c>
      <c r="D15" t="s">
        <v>379</v>
      </c>
      <c r="G15">
        <v>8298</v>
      </c>
      <c r="H15" s="3">
        <f t="shared" si="0"/>
        <v>-1383</v>
      </c>
      <c r="K15">
        <v>14</v>
      </c>
      <c r="L15">
        <v>1</v>
      </c>
      <c r="M15">
        <v>1</v>
      </c>
      <c r="N15" s="16" t="s">
        <v>886</v>
      </c>
      <c r="O15" s="16" t="s">
        <v>889</v>
      </c>
      <c r="P15">
        <f>IFERROR(VLOOKUP(D15,tab!A:B,2,FALSE),1)</f>
        <v>4</v>
      </c>
      <c r="Q15" s="14" t="str">
        <f t="shared" si="2"/>
        <v/>
      </c>
      <c r="R15">
        <f t="shared" si="3"/>
        <v>8298</v>
      </c>
      <c r="S15">
        <v>20</v>
      </c>
      <c r="T15" s="13">
        <f t="shared" si="4"/>
        <v>-1383</v>
      </c>
      <c r="V15" t="s">
        <v>872</v>
      </c>
      <c r="W15" t="str">
        <f t="shared" si="5"/>
        <v>&lt;Valeur name="no"&gt;14&lt;/Valeur&gt;</v>
      </c>
      <c r="X15" t="str">
        <f t="shared" si="6"/>
        <v>&lt;Valeur name="societe"&gt;1&lt;/Valeur&gt;</v>
      </c>
      <c r="Y15" t="str">
        <f t="shared" si="7"/>
        <v>&lt;Valeur name="pointer"&gt;1&lt;/Valeur&gt;</v>
      </c>
      <c r="Z15" s="15" t="str">
        <f t="shared" si="8"/>
        <v>&lt;Valeur name="datevaleur"&gt;2019/04/15&lt;/Valeur&gt;</v>
      </c>
      <c r="AA15" s="15" t="str">
        <f t="shared" si="9"/>
        <v>&lt;Valeur name="datecompta"&gt;2019/02/28&lt;/Valeur&gt;</v>
      </c>
      <c r="AB15" s="15" t="str">
        <f t="shared" si="10"/>
        <v>&lt;Valeur name="compte"&gt;4&lt;/Valeur&gt;</v>
      </c>
      <c r="AC15" s="15" t="str">
        <f t="shared" si="11"/>
        <v>&lt;Valeur name="description"&gt;&lt;/Valeur&gt;</v>
      </c>
      <c r="AD15" s="15" t="str">
        <f t="shared" si="12"/>
        <v>&lt;Valeur name="valeur"&gt;8298&lt;/Valeur&gt;</v>
      </c>
      <c r="AE15" s="15" t="str">
        <f t="shared" si="13"/>
        <v>&lt;Valeur name="tvapct"&gt;20&lt;/Valeur&gt;</v>
      </c>
      <c r="AF15" s="15" t="str">
        <f t="shared" si="14"/>
        <v>&lt;Valeur name="tva"&gt;-1383&lt;/Valeur&gt;</v>
      </c>
      <c r="AG15" s="15" t="s">
        <v>873</v>
      </c>
      <c r="AH15" s="15" t="str">
        <f t="shared" si="15"/>
        <v>&lt;Insert&gt;&lt;Valeur name="no"&gt;14&lt;/Valeur&gt;&lt;Valeur name="societe"&gt;1&lt;/Valeur&gt;&lt;Valeur name="pointer"&gt;1&lt;/Valeur&gt;&lt;Valeur name="datevaleur"&gt;2019/04/15&lt;/Valeur&gt;&lt;Valeur name="datecompta"&gt;2019/02/28&lt;/Valeur&gt;&lt;Valeur name="compte"&gt;4&lt;/Valeur&gt;&lt;Valeur name="description"&gt;&lt;/Valeur&gt;&lt;Valeur name="valeur"&gt;8298&lt;/Valeur&gt;&lt;Valeur name="tvapct"&gt;20&lt;/Valeur&gt;&lt;Valeur name="tva"&gt;-1383&lt;/Valeur&gt;&lt;/Insert&gt;</v>
      </c>
    </row>
    <row r="16" spans="1:34" hidden="1" x14ac:dyDescent="0.25">
      <c r="A16" s="9">
        <v>43524</v>
      </c>
      <c r="B16" s="1">
        <v>43570</v>
      </c>
      <c r="C16" t="str">
        <f>INDEX(Balance!A:A,MATCH(D16,Balance!B:B,0))</f>
        <v>Client</v>
      </c>
      <c r="D16" t="s">
        <v>370</v>
      </c>
      <c r="G16">
        <v>5008.6000000000004</v>
      </c>
      <c r="H16" s="3">
        <f t="shared" si="0"/>
        <v>-834.76666666666642</v>
      </c>
      <c r="K16">
        <v>15</v>
      </c>
      <c r="L16">
        <v>1</v>
      </c>
      <c r="M16">
        <v>1</v>
      </c>
      <c r="N16" s="16" t="s">
        <v>886</v>
      </c>
      <c r="O16" s="16" t="s">
        <v>889</v>
      </c>
      <c r="P16">
        <f>IFERROR(VLOOKUP(D16,tab!A:B,2,FALSE),1)</f>
        <v>9</v>
      </c>
      <c r="Q16" s="14" t="str">
        <f t="shared" si="2"/>
        <v/>
      </c>
      <c r="R16">
        <f t="shared" si="3"/>
        <v>5008.6000000000004</v>
      </c>
      <c r="S16">
        <v>20</v>
      </c>
      <c r="T16" s="13">
        <f t="shared" si="4"/>
        <v>-834.76666666666642</v>
      </c>
      <c r="V16" t="s">
        <v>872</v>
      </c>
      <c r="W16" t="str">
        <f t="shared" si="5"/>
        <v>&lt;Valeur name="no"&gt;15&lt;/Valeur&gt;</v>
      </c>
      <c r="X16" t="str">
        <f t="shared" si="6"/>
        <v>&lt;Valeur name="societe"&gt;1&lt;/Valeur&gt;</v>
      </c>
      <c r="Y16" t="str">
        <f t="shared" si="7"/>
        <v>&lt;Valeur name="pointer"&gt;1&lt;/Valeur&gt;</v>
      </c>
      <c r="Z16" s="15" t="str">
        <f t="shared" si="8"/>
        <v>&lt;Valeur name="datevaleur"&gt;2019/04/15&lt;/Valeur&gt;</v>
      </c>
      <c r="AA16" s="15" t="str">
        <f t="shared" si="9"/>
        <v>&lt;Valeur name="datecompta"&gt;2019/02/28&lt;/Valeur&gt;</v>
      </c>
      <c r="AB16" s="15" t="str">
        <f t="shared" si="10"/>
        <v>&lt;Valeur name="compte"&gt;9&lt;/Valeur&gt;</v>
      </c>
      <c r="AC16" s="15" t="str">
        <f t="shared" si="11"/>
        <v>&lt;Valeur name="description"&gt;&lt;/Valeur&gt;</v>
      </c>
      <c r="AD16" s="15" t="str">
        <f t="shared" si="12"/>
        <v>&lt;Valeur name="valeur"&gt;5008.6&lt;/Valeur&gt;</v>
      </c>
      <c r="AE16" s="15" t="str">
        <f t="shared" si="13"/>
        <v>&lt;Valeur name="tvapct"&gt;20&lt;/Valeur&gt;</v>
      </c>
      <c r="AF16" s="15" t="str">
        <f t="shared" si="14"/>
        <v>&lt;Valeur name="tva"&gt;-834.766666666666&lt;/Valeur&gt;</v>
      </c>
      <c r="AG16" s="15" t="s">
        <v>873</v>
      </c>
      <c r="AH16" s="15" t="str">
        <f t="shared" si="15"/>
        <v>&lt;Insert&gt;&lt;Valeur name="no"&gt;15&lt;/Valeur&gt;&lt;Valeur name="societe"&gt;1&lt;/Valeur&gt;&lt;Valeur name="pointer"&gt;1&lt;/Valeur&gt;&lt;Valeur name="datevaleur"&gt;2019/04/15&lt;/Valeur&gt;&lt;Valeur name="datecompta"&gt;2019/02/28&lt;/Valeur&gt;&lt;Valeur name="compte"&gt;9&lt;/Valeur&gt;&lt;Valeur name="description"&gt;&lt;/Valeur&gt;&lt;Valeur name="valeur"&gt;5008.6&lt;/Valeur&gt;&lt;Valeur name="tvapct"&gt;20&lt;/Valeur&gt;&lt;Valeur name="tva"&gt;-834.766666666666&lt;/Valeur&gt;&lt;/Insert&gt;</v>
      </c>
    </row>
    <row r="17" spans="1:34" hidden="1" x14ac:dyDescent="0.25">
      <c r="A17" s="9">
        <v>43524</v>
      </c>
      <c r="B17" s="1">
        <v>43570</v>
      </c>
      <c r="C17" t="str">
        <f>INDEX(Balance!A:A,MATCH(D17,Balance!B:B,0))</f>
        <v>Client</v>
      </c>
      <c r="D17" t="s">
        <v>379</v>
      </c>
      <c r="G17">
        <v>2220</v>
      </c>
      <c r="H17" s="3">
        <f t="shared" si="0"/>
        <v>-370</v>
      </c>
      <c r="K17">
        <v>16</v>
      </c>
      <c r="L17">
        <v>1</v>
      </c>
      <c r="M17">
        <v>1</v>
      </c>
      <c r="N17" s="16" t="s">
        <v>886</v>
      </c>
      <c r="O17" s="16" t="s">
        <v>889</v>
      </c>
      <c r="P17">
        <f>IFERROR(VLOOKUP(D17,tab!A:B,2,FALSE),1)</f>
        <v>4</v>
      </c>
      <c r="Q17" s="14" t="str">
        <f t="shared" si="2"/>
        <v/>
      </c>
      <c r="R17">
        <f t="shared" si="3"/>
        <v>2220</v>
      </c>
      <c r="S17">
        <v>20</v>
      </c>
      <c r="T17" s="13">
        <f t="shared" si="4"/>
        <v>-370</v>
      </c>
      <c r="V17" t="s">
        <v>872</v>
      </c>
      <c r="W17" t="str">
        <f t="shared" si="5"/>
        <v>&lt;Valeur name="no"&gt;16&lt;/Valeur&gt;</v>
      </c>
      <c r="X17" t="str">
        <f t="shared" si="6"/>
        <v>&lt;Valeur name="societe"&gt;1&lt;/Valeur&gt;</v>
      </c>
      <c r="Y17" t="str">
        <f t="shared" si="7"/>
        <v>&lt;Valeur name="pointer"&gt;1&lt;/Valeur&gt;</v>
      </c>
      <c r="Z17" s="15" t="str">
        <f t="shared" si="8"/>
        <v>&lt;Valeur name="datevaleur"&gt;2019/04/15&lt;/Valeur&gt;</v>
      </c>
      <c r="AA17" s="15" t="str">
        <f t="shared" si="9"/>
        <v>&lt;Valeur name="datecompta"&gt;2019/02/28&lt;/Valeur&gt;</v>
      </c>
      <c r="AB17" s="15" t="str">
        <f t="shared" si="10"/>
        <v>&lt;Valeur name="compte"&gt;4&lt;/Valeur&gt;</v>
      </c>
      <c r="AC17" s="15" t="str">
        <f t="shared" si="11"/>
        <v>&lt;Valeur name="description"&gt;&lt;/Valeur&gt;</v>
      </c>
      <c r="AD17" s="15" t="str">
        <f t="shared" si="12"/>
        <v>&lt;Valeur name="valeur"&gt;2220&lt;/Valeur&gt;</v>
      </c>
      <c r="AE17" s="15" t="str">
        <f t="shared" si="13"/>
        <v>&lt;Valeur name="tvapct"&gt;20&lt;/Valeur&gt;</v>
      </c>
      <c r="AF17" s="15" t="str">
        <f t="shared" si="14"/>
        <v>&lt;Valeur name="tva"&gt;-370&lt;/Valeur&gt;</v>
      </c>
      <c r="AG17" s="15" t="s">
        <v>873</v>
      </c>
      <c r="AH17" s="15" t="str">
        <f t="shared" si="15"/>
        <v>&lt;Insert&gt;&lt;Valeur name="no"&gt;16&lt;/Valeur&gt;&lt;Valeur name="societe"&gt;1&lt;/Valeur&gt;&lt;Valeur name="pointer"&gt;1&lt;/Valeur&gt;&lt;Valeur name="datevaleur"&gt;2019/04/15&lt;/Valeur&gt;&lt;Valeur name="datecompta"&gt;2019/02/28&lt;/Valeur&gt;&lt;Valeur name="compte"&gt;4&lt;/Valeur&gt;&lt;Valeur name="description"&gt;&lt;/Valeur&gt;&lt;Valeur name="valeur"&gt;2220&lt;/Valeur&gt;&lt;Valeur name="tvapct"&gt;20&lt;/Valeur&gt;&lt;Valeur name="tva"&gt;-370&lt;/Valeur&gt;&lt;/Insert&gt;</v>
      </c>
    </row>
    <row r="18" spans="1:34" hidden="1" x14ac:dyDescent="0.25">
      <c r="A18" s="9">
        <v>43524</v>
      </c>
      <c r="B18" s="1">
        <v>43570</v>
      </c>
      <c r="C18" t="str">
        <f>INDEX(Balance!A:A,MATCH(D18,Balance!B:B,0))</f>
        <v>Client</v>
      </c>
      <c r="D18" t="s">
        <v>379</v>
      </c>
      <c r="E18" t="s">
        <v>308</v>
      </c>
      <c r="G18">
        <v>432</v>
      </c>
      <c r="H18" s="3">
        <f t="shared" si="0"/>
        <v>-72</v>
      </c>
      <c r="K18">
        <v>17</v>
      </c>
      <c r="L18">
        <v>1</v>
      </c>
      <c r="M18">
        <v>1</v>
      </c>
      <c r="N18" s="16" t="s">
        <v>886</v>
      </c>
      <c r="O18" s="16" t="s">
        <v>889</v>
      </c>
      <c r="P18">
        <f>IFERROR(VLOOKUP(D18,tab!A:B,2,FALSE),1)</f>
        <v>4</v>
      </c>
      <c r="Q18" s="14" t="str">
        <f t="shared" si="2"/>
        <v>Pietement</v>
      </c>
      <c r="R18">
        <f t="shared" si="3"/>
        <v>432</v>
      </c>
      <c r="S18">
        <v>20</v>
      </c>
      <c r="T18" s="13">
        <f t="shared" si="4"/>
        <v>-72</v>
      </c>
      <c r="V18" t="s">
        <v>872</v>
      </c>
      <c r="W18" t="str">
        <f t="shared" si="5"/>
        <v>&lt;Valeur name="no"&gt;17&lt;/Valeur&gt;</v>
      </c>
      <c r="X18" t="str">
        <f t="shared" si="6"/>
        <v>&lt;Valeur name="societe"&gt;1&lt;/Valeur&gt;</v>
      </c>
      <c r="Y18" t="str">
        <f t="shared" si="7"/>
        <v>&lt;Valeur name="pointer"&gt;1&lt;/Valeur&gt;</v>
      </c>
      <c r="Z18" s="15" t="str">
        <f t="shared" si="8"/>
        <v>&lt;Valeur name="datevaleur"&gt;2019/04/15&lt;/Valeur&gt;</v>
      </c>
      <c r="AA18" s="15" t="str">
        <f t="shared" si="9"/>
        <v>&lt;Valeur name="datecompta"&gt;2019/02/28&lt;/Valeur&gt;</v>
      </c>
      <c r="AB18" s="15" t="str">
        <f t="shared" si="10"/>
        <v>&lt;Valeur name="compte"&gt;4&lt;/Valeur&gt;</v>
      </c>
      <c r="AC18" s="15" t="str">
        <f t="shared" si="11"/>
        <v>&lt;Valeur name="description"&gt;Pietement&lt;/Valeur&gt;</v>
      </c>
      <c r="AD18" s="15" t="str">
        <f t="shared" si="12"/>
        <v>&lt;Valeur name="valeur"&gt;432&lt;/Valeur&gt;</v>
      </c>
      <c r="AE18" s="15" t="str">
        <f t="shared" si="13"/>
        <v>&lt;Valeur name="tvapct"&gt;20&lt;/Valeur&gt;</v>
      </c>
      <c r="AF18" s="15" t="str">
        <f t="shared" si="14"/>
        <v>&lt;Valeur name="tva"&gt;-72&lt;/Valeur&gt;</v>
      </c>
      <c r="AG18" s="15" t="s">
        <v>873</v>
      </c>
      <c r="AH18" s="15" t="str">
        <f t="shared" si="15"/>
        <v>&lt;Insert&gt;&lt;Valeur name="no"&gt;17&lt;/Valeur&gt;&lt;Valeur name="societe"&gt;1&lt;/Valeur&gt;&lt;Valeur name="pointer"&gt;1&lt;/Valeur&gt;&lt;Valeur name="datevaleur"&gt;2019/04/15&lt;/Valeur&gt;&lt;Valeur name="datecompta"&gt;2019/02/28&lt;/Valeur&gt;&lt;Valeur name="compte"&gt;4&lt;/Valeur&gt;&lt;Valeur name="description"&gt;Pietement&lt;/Valeur&gt;&lt;Valeur name="valeur"&gt;432&lt;/Valeur&gt;&lt;Valeur name="tvapct"&gt;20&lt;/Valeur&gt;&lt;Valeur name="tva"&gt;-72&lt;/Valeur&gt;&lt;/Insert&gt;</v>
      </c>
    </row>
    <row r="19" spans="1:34" hidden="1" x14ac:dyDescent="0.25">
      <c r="A19" s="9">
        <v>43525</v>
      </c>
      <c r="B19" s="1">
        <v>43529</v>
      </c>
      <c r="C19" t="str">
        <f>INDEX(Balance!A:A,MATCH(D19,Balance!B:B,0))</f>
        <v>Client</v>
      </c>
      <c r="D19" t="s">
        <v>427</v>
      </c>
      <c r="E19" t="s">
        <v>304</v>
      </c>
      <c r="G19">
        <v>720</v>
      </c>
      <c r="H19" s="3">
        <f t="shared" si="0"/>
        <v>-120</v>
      </c>
      <c r="K19">
        <v>18</v>
      </c>
      <c r="L19">
        <v>1</v>
      </c>
      <c r="M19">
        <v>1</v>
      </c>
      <c r="N19" s="16" t="s">
        <v>890</v>
      </c>
      <c r="O19" s="16" t="s">
        <v>891</v>
      </c>
      <c r="P19">
        <f>IFERROR(VLOOKUP(D19,tab!A:B,2,FALSE),1)</f>
        <v>2</v>
      </c>
      <c r="Q19" s="14" t="str">
        <f t="shared" si="2"/>
        <v xml:space="preserve">REMISE CHEQUES                  </v>
      </c>
      <c r="R19">
        <f t="shared" si="3"/>
        <v>720</v>
      </c>
      <c r="S19">
        <v>20</v>
      </c>
      <c r="T19" s="13">
        <f t="shared" si="4"/>
        <v>-120</v>
      </c>
      <c r="V19" t="s">
        <v>872</v>
      </c>
      <c r="W19" t="str">
        <f t="shared" si="5"/>
        <v>&lt;Valeur name="no"&gt;18&lt;/Valeur&gt;</v>
      </c>
      <c r="X19" t="str">
        <f t="shared" si="6"/>
        <v>&lt;Valeur name="societe"&gt;1&lt;/Valeur&gt;</v>
      </c>
      <c r="Y19" t="str">
        <f t="shared" si="7"/>
        <v>&lt;Valeur name="pointer"&gt;1&lt;/Valeur&gt;</v>
      </c>
      <c r="Z19" s="15" t="str">
        <f t="shared" si="8"/>
        <v>&lt;Valeur name="datevaleur"&gt;2019/03/05&lt;/Valeur&gt;</v>
      </c>
      <c r="AA19" s="15" t="str">
        <f t="shared" si="9"/>
        <v>&lt;Valeur name="datecompta"&gt;2019/03/01&lt;/Valeur&gt;</v>
      </c>
      <c r="AB19" s="15" t="str">
        <f t="shared" si="10"/>
        <v>&lt;Valeur name="compte"&gt;2&lt;/Valeur&gt;</v>
      </c>
      <c r="AC19" s="15" t="str">
        <f t="shared" si="11"/>
        <v>&lt;Valeur name="description"&gt;REMISE CHEQUES                  &lt;/Valeur&gt;</v>
      </c>
      <c r="AD19" s="15" t="str">
        <f t="shared" si="12"/>
        <v>&lt;Valeur name="valeur"&gt;720&lt;/Valeur&gt;</v>
      </c>
      <c r="AE19" s="15" t="str">
        <f t="shared" si="13"/>
        <v>&lt;Valeur name="tvapct"&gt;20&lt;/Valeur&gt;</v>
      </c>
      <c r="AF19" s="15" t="str">
        <f t="shared" si="14"/>
        <v>&lt;Valeur name="tva"&gt;-120&lt;/Valeur&gt;</v>
      </c>
      <c r="AG19" s="15" t="s">
        <v>873</v>
      </c>
      <c r="AH19" s="15" t="str">
        <f t="shared" si="15"/>
        <v>&lt;Insert&gt;&lt;Valeur name="no"&gt;18&lt;/Valeur&gt;&lt;Valeur name="societe"&gt;1&lt;/Valeur&gt;&lt;Valeur name="pointer"&gt;1&lt;/Valeur&gt;&lt;Valeur name="datevaleur"&gt;2019/03/05&lt;/Valeur&gt;&lt;Valeur name="datecompta"&gt;2019/03/01&lt;/Valeur&gt;&lt;Valeur name="compte"&gt;2&lt;/Valeur&gt;&lt;Valeur name="description"&gt;REMISE CHEQUES                  &lt;/Valeur&gt;&lt;Valeur name="valeur"&gt;720&lt;/Valeur&gt;&lt;Valeur name="tvapct"&gt;20&lt;/Valeur&gt;&lt;Valeur name="tva"&gt;-120&lt;/Valeur&gt;&lt;/Insert&gt;</v>
      </c>
    </row>
    <row r="20" spans="1:34" hidden="1" x14ac:dyDescent="0.25">
      <c r="A20" s="9">
        <v>43554</v>
      </c>
      <c r="B20" s="1">
        <v>43585</v>
      </c>
      <c r="C20" t="str">
        <f>INDEX(Balance!A:A,MATCH(D20,Balance!B:B,0))</f>
        <v>Client</v>
      </c>
      <c r="D20" t="s">
        <v>366</v>
      </c>
      <c r="E20" t="s">
        <v>536</v>
      </c>
      <c r="G20">
        <v>1500</v>
      </c>
      <c r="H20" s="3">
        <f t="shared" si="0"/>
        <v>-250</v>
      </c>
      <c r="K20">
        <v>19</v>
      </c>
      <c r="L20">
        <v>1</v>
      </c>
      <c r="M20">
        <v>1</v>
      </c>
      <c r="N20" s="16" t="s">
        <v>882</v>
      </c>
      <c r="O20" s="16" t="s">
        <v>892</v>
      </c>
      <c r="P20">
        <f>IFERROR(VLOOKUP(D20,tab!A:B,2,FALSE),1)</f>
        <v>5</v>
      </c>
      <c r="Q20" s="14" t="str">
        <f t="shared" si="2"/>
        <v>AF257-1 Foramtion villeneuve d'Ascq</v>
      </c>
      <c r="R20">
        <f t="shared" si="3"/>
        <v>1500</v>
      </c>
      <c r="S20">
        <v>20</v>
      </c>
      <c r="T20" s="13">
        <f t="shared" si="4"/>
        <v>-250</v>
      </c>
      <c r="V20" t="s">
        <v>872</v>
      </c>
      <c r="W20" t="str">
        <f t="shared" si="5"/>
        <v>&lt;Valeur name="no"&gt;19&lt;/Valeur&gt;</v>
      </c>
      <c r="X20" t="str">
        <f t="shared" si="6"/>
        <v>&lt;Valeur name="societe"&gt;1&lt;/Valeur&gt;</v>
      </c>
      <c r="Y20" t="str">
        <f t="shared" si="7"/>
        <v>&lt;Valeur name="pointer"&gt;1&lt;/Valeur&gt;</v>
      </c>
      <c r="Z20" s="15" t="str">
        <f t="shared" si="8"/>
        <v>&lt;Valeur name="datevaleur"&gt;2019/04/30&lt;/Valeur&gt;</v>
      </c>
      <c r="AA20" s="15" t="str">
        <f t="shared" si="9"/>
        <v>&lt;Valeur name="datecompta"&gt;2019/03/30&lt;/Valeur&gt;</v>
      </c>
      <c r="AB20" s="15" t="str">
        <f t="shared" si="10"/>
        <v>&lt;Valeur name="compte"&gt;5&lt;/Valeur&gt;</v>
      </c>
      <c r="AC20" s="15" t="str">
        <f t="shared" si="11"/>
        <v>&lt;Valeur name="description"&gt;AF257-1 Foramtion villeneuve d'Ascq&lt;/Valeur&gt;</v>
      </c>
      <c r="AD20" s="15" t="str">
        <f t="shared" si="12"/>
        <v>&lt;Valeur name="valeur"&gt;1500&lt;/Valeur&gt;</v>
      </c>
      <c r="AE20" s="15" t="str">
        <f t="shared" si="13"/>
        <v>&lt;Valeur name="tvapct"&gt;20&lt;/Valeur&gt;</v>
      </c>
      <c r="AF20" s="15" t="str">
        <f t="shared" si="14"/>
        <v>&lt;Valeur name="tva"&gt;-250&lt;/Valeur&gt;</v>
      </c>
      <c r="AG20" s="15" t="s">
        <v>873</v>
      </c>
      <c r="AH20" s="15" t="str">
        <f t="shared" si="15"/>
        <v>&lt;Insert&gt;&lt;Valeur name="no"&gt;19&lt;/Valeur&gt;&lt;Valeur name="societe"&gt;1&lt;/Valeur&gt;&lt;Valeur name="pointer"&gt;1&lt;/Valeur&gt;&lt;Valeur name="datevaleur"&gt;2019/04/30&lt;/Valeur&gt;&lt;Valeur name="datecompta"&gt;2019/03/30&lt;/Valeur&gt;&lt;Valeur name="compte"&gt;5&lt;/Valeur&gt;&lt;Valeur name="description"&gt;AF257-1 Foramtion villeneuve d'Ascq&lt;/Valeur&gt;&lt;Valeur name="valeur"&gt;1500&lt;/Valeur&gt;&lt;Valeur name="tvapct"&gt;20&lt;/Valeur&gt;&lt;Valeur name="tva"&gt;-250&lt;/Valeur&gt;&lt;/Insert&gt;</v>
      </c>
    </row>
    <row r="21" spans="1:34" hidden="1" x14ac:dyDescent="0.25">
      <c r="A21" s="9">
        <v>43554</v>
      </c>
      <c r="B21" s="1">
        <v>43585</v>
      </c>
      <c r="C21" t="str">
        <f>INDEX(Balance!A:A,MATCH(D21,Balance!B:B,0))</f>
        <v>Client</v>
      </c>
      <c r="D21" t="s">
        <v>370</v>
      </c>
      <c r="E21" t="s">
        <v>537</v>
      </c>
      <c r="G21">
        <v>14025.3</v>
      </c>
      <c r="H21" s="3">
        <f t="shared" si="0"/>
        <v>-2337.5499999999993</v>
      </c>
      <c r="K21">
        <v>20</v>
      </c>
      <c r="L21">
        <v>1</v>
      </c>
      <c r="M21">
        <v>1</v>
      </c>
      <c r="N21" s="16" t="s">
        <v>882</v>
      </c>
      <c r="O21" s="16" t="s">
        <v>892</v>
      </c>
      <c r="P21">
        <f>IFERROR(VLOOKUP(D21,tab!A:B,2,FALSE),1)</f>
        <v>9</v>
      </c>
      <c r="Q21" s="14" t="str">
        <f t="shared" si="2"/>
        <v>AF241-5 Thery situation 5</v>
      </c>
      <c r="R21">
        <f t="shared" si="3"/>
        <v>14025.3</v>
      </c>
      <c r="S21">
        <v>20</v>
      </c>
      <c r="T21" s="13">
        <f t="shared" si="4"/>
        <v>-2337.5499999999993</v>
      </c>
      <c r="V21" t="s">
        <v>872</v>
      </c>
      <c r="W21" t="str">
        <f t="shared" si="5"/>
        <v>&lt;Valeur name="no"&gt;20&lt;/Valeur&gt;</v>
      </c>
      <c r="X21" t="str">
        <f t="shared" si="6"/>
        <v>&lt;Valeur name="societe"&gt;1&lt;/Valeur&gt;</v>
      </c>
      <c r="Y21" t="str">
        <f t="shared" si="7"/>
        <v>&lt;Valeur name="pointer"&gt;1&lt;/Valeur&gt;</v>
      </c>
      <c r="Z21" s="15" t="str">
        <f t="shared" si="8"/>
        <v>&lt;Valeur name="datevaleur"&gt;2019/04/30&lt;/Valeur&gt;</v>
      </c>
      <c r="AA21" s="15" t="str">
        <f t="shared" si="9"/>
        <v>&lt;Valeur name="datecompta"&gt;2019/03/30&lt;/Valeur&gt;</v>
      </c>
      <c r="AB21" s="15" t="str">
        <f t="shared" si="10"/>
        <v>&lt;Valeur name="compte"&gt;9&lt;/Valeur&gt;</v>
      </c>
      <c r="AC21" s="15" t="str">
        <f t="shared" si="11"/>
        <v>&lt;Valeur name="description"&gt;AF241-5 Thery situation 5&lt;/Valeur&gt;</v>
      </c>
      <c r="AD21" s="15" t="str">
        <f t="shared" si="12"/>
        <v>&lt;Valeur name="valeur"&gt;14025.3&lt;/Valeur&gt;</v>
      </c>
      <c r="AE21" s="15" t="str">
        <f t="shared" si="13"/>
        <v>&lt;Valeur name="tvapct"&gt;20&lt;/Valeur&gt;</v>
      </c>
      <c r="AF21" s="15" t="str">
        <f t="shared" si="14"/>
        <v>&lt;Valeur name="tva"&gt;-2337.55&lt;/Valeur&gt;</v>
      </c>
      <c r="AG21" s="15" t="s">
        <v>873</v>
      </c>
      <c r="AH21" s="15" t="str">
        <f t="shared" si="15"/>
        <v>&lt;Insert&gt;&lt;Valeur name="no"&gt;20&lt;/Valeur&gt;&lt;Valeur name="societe"&gt;1&lt;/Valeur&gt;&lt;Valeur name="pointer"&gt;1&lt;/Valeur&gt;&lt;Valeur name="datevaleur"&gt;2019/04/30&lt;/Valeur&gt;&lt;Valeur name="datecompta"&gt;2019/03/30&lt;/Valeur&gt;&lt;Valeur name="compte"&gt;9&lt;/Valeur&gt;&lt;Valeur name="description"&gt;AF241-5 Thery situation 5&lt;/Valeur&gt;&lt;Valeur name="valeur"&gt;14025.3&lt;/Valeur&gt;&lt;Valeur name="tvapct"&gt;20&lt;/Valeur&gt;&lt;Valeur name="tva"&gt;-2337.55&lt;/Valeur&gt;&lt;/Insert&gt;</v>
      </c>
    </row>
    <row r="22" spans="1:34" hidden="1" x14ac:dyDescent="0.25">
      <c r="A22" s="9">
        <v>43554</v>
      </c>
      <c r="B22" s="1">
        <v>43585</v>
      </c>
      <c r="C22" t="str">
        <f>INDEX(Balance!A:A,MATCH(D22,Balance!B:B,0))</f>
        <v>Client</v>
      </c>
      <c r="D22" t="s">
        <v>534</v>
      </c>
      <c r="E22" t="s">
        <v>539</v>
      </c>
      <c r="G22">
        <v>9019.2000000000007</v>
      </c>
      <c r="H22" s="3">
        <f t="shared" si="0"/>
        <v>-1503.1999999999998</v>
      </c>
      <c r="K22">
        <v>21</v>
      </c>
      <c r="L22">
        <v>1</v>
      </c>
      <c r="M22">
        <v>1</v>
      </c>
      <c r="N22" s="16" t="s">
        <v>882</v>
      </c>
      <c r="O22" s="16" t="s">
        <v>892</v>
      </c>
      <c r="P22">
        <f>IFERROR(VLOOKUP(D22,tab!A:B,2,FALSE),1)</f>
        <v>3</v>
      </c>
      <c r="Q22" s="14" t="str">
        <f t="shared" si="2"/>
        <v>AF231-4 Anor situation 4</v>
      </c>
      <c r="R22">
        <f t="shared" si="3"/>
        <v>9019.2000000000007</v>
      </c>
      <c r="S22">
        <v>20</v>
      </c>
      <c r="T22" s="13">
        <f t="shared" si="4"/>
        <v>-1503.1999999999998</v>
      </c>
      <c r="V22" t="s">
        <v>872</v>
      </c>
      <c r="W22" t="str">
        <f t="shared" si="5"/>
        <v>&lt;Valeur name="no"&gt;21&lt;/Valeur&gt;</v>
      </c>
      <c r="X22" t="str">
        <f t="shared" si="6"/>
        <v>&lt;Valeur name="societe"&gt;1&lt;/Valeur&gt;</v>
      </c>
      <c r="Y22" t="str">
        <f t="shared" si="7"/>
        <v>&lt;Valeur name="pointer"&gt;1&lt;/Valeur&gt;</v>
      </c>
      <c r="Z22" s="15" t="str">
        <f t="shared" si="8"/>
        <v>&lt;Valeur name="datevaleur"&gt;2019/04/30&lt;/Valeur&gt;</v>
      </c>
      <c r="AA22" s="15" t="str">
        <f t="shared" si="9"/>
        <v>&lt;Valeur name="datecompta"&gt;2019/03/30&lt;/Valeur&gt;</v>
      </c>
      <c r="AB22" s="15" t="str">
        <f t="shared" si="10"/>
        <v>&lt;Valeur name="compte"&gt;3&lt;/Valeur&gt;</v>
      </c>
      <c r="AC22" s="15" t="str">
        <f t="shared" si="11"/>
        <v>&lt;Valeur name="description"&gt;AF231-4 Anor situation 4&lt;/Valeur&gt;</v>
      </c>
      <c r="AD22" s="15" t="str">
        <f t="shared" si="12"/>
        <v>&lt;Valeur name="valeur"&gt;9019.2&lt;/Valeur&gt;</v>
      </c>
      <c r="AE22" s="15" t="str">
        <f t="shared" si="13"/>
        <v>&lt;Valeur name="tvapct"&gt;20&lt;/Valeur&gt;</v>
      </c>
      <c r="AF22" s="15" t="str">
        <f t="shared" si="14"/>
        <v>&lt;Valeur name="tva"&gt;-1503.2&lt;/Valeur&gt;</v>
      </c>
      <c r="AG22" s="15" t="s">
        <v>873</v>
      </c>
      <c r="AH22" s="15" t="str">
        <f t="shared" si="15"/>
        <v>&lt;Insert&gt;&lt;Valeur name="no"&gt;21&lt;/Valeur&gt;&lt;Valeur name="societe"&gt;1&lt;/Valeur&gt;&lt;Valeur name="pointer"&gt;1&lt;/Valeur&gt;&lt;Valeur name="datevaleur"&gt;2019/04/30&lt;/Valeur&gt;&lt;Valeur name="datecompta"&gt;2019/03/30&lt;/Valeur&gt;&lt;Valeur name="compte"&gt;3&lt;/Valeur&gt;&lt;Valeur name="description"&gt;AF231-4 Anor situation 4&lt;/Valeur&gt;&lt;Valeur name="valeur"&gt;9019.2&lt;/Valeur&gt;&lt;Valeur name="tvapct"&gt;20&lt;/Valeur&gt;&lt;Valeur name="tva"&gt;-1503.2&lt;/Valeur&gt;&lt;/Insert&gt;</v>
      </c>
    </row>
    <row r="23" spans="1:34" hidden="1" x14ac:dyDescent="0.25">
      <c r="A23" s="9">
        <v>43554</v>
      </c>
      <c r="B23" s="1">
        <v>43585</v>
      </c>
      <c r="C23" t="str">
        <f>INDEX(Balance!A:A,MATCH(D23,Balance!B:B,0))</f>
        <v>Client</v>
      </c>
      <c r="D23" t="s">
        <v>430</v>
      </c>
      <c r="E23" t="s">
        <v>589</v>
      </c>
      <c r="G23">
        <v>0</v>
      </c>
      <c r="H23" s="3">
        <f t="shared" si="0"/>
        <v>0</v>
      </c>
      <c r="K23">
        <v>22</v>
      </c>
      <c r="L23">
        <v>1</v>
      </c>
      <c r="M23">
        <v>1</v>
      </c>
      <c r="N23" s="16" t="s">
        <v>882</v>
      </c>
      <c r="O23" s="16" t="s">
        <v>892</v>
      </c>
      <c r="P23">
        <f>IFERROR(VLOOKUP(D23,tab!A:B,2,FALSE),1)</f>
        <v>7</v>
      </c>
      <c r="Q23" s="14" t="str">
        <f t="shared" si="2"/>
        <v>AF254-1 Pied de table (descompte dette) 540€</v>
      </c>
      <c r="R23">
        <f t="shared" si="3"/>
        <v>0</v>
      </c>
      <c r="S23">
        <v>20</v>
      </c>
      <c r="T23" s="13">
        <f t="shared" si="4"/>
        <v>0</v>
      </c>
      <c r="V23" t="s">
        <v>872</v>
      </c>
      <c r="W23" t="str">
        <f t="shared" ref="W23:W86" si="16">"&lt;Valeur "&amp;K$1&amp;"&gt;"&amp;K23&amp;"&lt;/Valeur&gt;"</f>
        <v>&lt;Valeur name="no"&gt;22&lt;/Valeur&gt;</v>
      </c>
      <c r="X23" t="str">
        <f t="shared" ref="X23:X86" si="17">"&lt;Valeur "&amp;L$1&amp;"&gt;"&amp;L23&amp;"&lt;/Valeur&gt;"</f>
        <v>&lt;Valeur name="societe"&gt;1&lt;/Valeur&gt;</v>
      </c>
      <c r="Y23" t="str">
        <f t="shared" ref="Y23:Y86" si="18">"&lt;Valeur "&amp;M$1&amp;"&gt;"&amp;M23&amp;"&lt;/Valeur&gt;"</f>
        <v>&lt;Valeur name="pointer"&gt;1&lt;/Valeur&gt;</v>
      </c>
      <c r="Z23" s="15" t="str">
        <f t="shared" ref="Z23:Z86" si="19">"&lt;Valeur "&amp;N$1&amp;"&gt;"&amp;N23&amp;"&lt;/Valeur&gt;"</f>
        <v>&lt;Valeur name="datevaleur"&gt;2019/04/30&lt;/Valeur&gt;</v>
      </c>
      <c r="AA23" s="15" t="str">
        <f t="shared" ref="AA23:AA86" si="20">"&lt;Valeur "&amp;O$1&amp;"&gt;"&amp;O23&amp;"&lt;/Valeur&gt;"</f>
        <v>&lt;Valeur name="datecompta"&gt;2019/03/30&lt;/Valeur&gt;</v>
      </c>
      <c r="AB23" s="15" t="str">
        <f t="shared" ref="AB23:AB86" si="21">"&lt;Valeur "&amp;P$1&amp;"&gt;"&amp;P23&amp;"&lt;/Valeur&gt;"</f>
        <v>&lt;Valeur name="compte"&gt;7&lt;/Valeur&gt;</v>
      </c>
      <c r="AC23" s="15" t="str">
        <f t="shared" ref="AC23:AC86" si="22">"&lt;Valeur "&amp;Q$1&amp;"&gt;"&amp;Q23&amp;"&lt;/Valeur&gt;"</f>
        <v>&lt;Valeur name="description"&gt;AF254-1 Pied de table (descompte dette) 540€&lt;/Valeur&gt;</v>
      </c>
      <c r="AD23" s="15" t="str">
        <f t="shared" ref="AD23:AD86" si="23">"&lt;Valeur "&amp;R$1&amp;"&gt;"&amp;R23&amp;"&lt;/Valeur&gt;"</f>
        <v>&lt;Valeur name="valeur"&gt;0&lt;/Valeur&gt;</v>
      </c>
      <c r="AE23" s="15" t="str">
        <f t="shared" ref="AE23:AE86" si="24">"&lt;Valeur "&amp;S$1&amp;"&gt;"&amp;S23&amp;"&lt;/Valeur&gt;"</f>
        <v>&lt;Valeur name="tvapct"&gt;20&lt;/Valeur&gt;</v>
      </c>
      <c r="AF23" s="15" t="str">
        <f t="shared" ref="AF23:AF86" si="25">"&lt;Valeur "&amp;T$1&amp;"&gt;"&amp;T23&amp;"&lt;/Valeur&gt;"</f>
        <v>&lt;Valeur name="tva"&gt;0&lt;/Valeur&gt;</v>
      </c>
      <c r="AG23" s="15" t="s">
        <v>873</v>
      </c>
      <c r="AH23" s="15" t="str">
        <f t="shared" ref="AH23:AH86" si="26">CONCATENATE(V23,W23,X23,Y23,Z23,AA23,AB23,AC23,AD23,AE23,AF23,AG23)</f>
        <v>&lt;Insert&gt;&lt;Valeur name="no"&gt;22&lt;/Valeur&gt;&lt;Valeur name="societe"&gt;1&lt;/Valeur&gt;&lt;Valeur name="pointer"&gt;1&lt;/Valeur&gt;&lt;Valeur name="datevaleur"&gt;2019/04/30&lt;/Valeur&gt;&lt;Valeur name="datecompta"&gt;2019/03/30&lt;/Valeur&gt;&lt;Valeur name="compte"&gt;7&lt;/Valeur&gt;&lt;Valeur name="description"&gt;AF254-1 Pied de table (descompte dette) 540€&lt;/Valeur&gt;&lt;Valeur name="valeur"&gt;0&lt;/Valeur&gt;&lt;Valeur name="tvapct"&gt;20&lt;/Valeur&gt;&lt;Valeur name="tva"&gt;0&lt;/Valeur&gt;&lt;/Insert&gt;</v>
      </c>
    </row>
    <row r="24" spans="1:34" hidden="1" x14ac:dyDescent="0.25">
      <c r="A24" s="9">
        <v>43554</v>
      </c>
      <c r="B24" s="1">
        <v>43570</v>
      </c>
      <c r="C24" t="str">
        <f>INDEX(Balance!A:A,MATCH(D24,Balance!B:B,0))</f>
        <v>Client</v>
      </c>
      <c r="D24" t="s">
        <v>379</v>
      </c>
      <c r="E24" t="s">
        <v>543</v>
      </c>
      <c r="G24">
        <v>3900</v>
      </c>
      <c r="H24" s="3">
        <f t="shared" si="0"/>
        <v>-650</v>
      </c>
      <c r="K24">
        <v>23</v>
      </c>
      <c r="L24">
        <v>1</v>
      </c>
      <c r="M24">
        <v>1</v>
      </c>
      <c r="N24" s="16" t="s">
        <v>886</v>
      </c>
      <c r="O24" s="16" t="s">
        <v>892</v>
      </c>
      <c r="P24">
        <f>IFERROR(VLOOKUP(D24,tab!A:B,2,FALSE),1)</f>
        <v>4</v>
      </c>
      <c r="Q24" s="14" t="str">
        <f t="shared" si="2"/>
        <v>AF250-2 Réglettes affichage</v>
      </c>
      <c r="R24">
        <f t="shared" si="3"/>
        <v>3900</v>
      </c>
      <c r="S24">
        <v>20</v>
      </c>
      <c r="T24" s="13">
        <f t="shared" si="4"/>
        <v>-650</v>
      </c>
      <c r="V24" t="s">
        <v>872</v>
      </c>
      <c r="W24" t="str">
        <f t="shared" si="16"/>
        <v>&lt;Valeur name="no"&gt;23&lt;/Valeur&gt;</v>
      </c>
      <c r="X24" t="str">
        <f t="shared" si="17"/>
        <v>&lt;Valeur name="societe"&gt;1&lt;/Valeur&gt;</v>
      </c>
      <c r="Y24" t="str">
        <f t="shared" si="18"/>
        <v>&lt;Valeur name="pointer"&gt;1&lt;/Valeur&gt;</v>
      </c>
      <c r="Z24" s="15" t="str">
        <f t="shared" si="19"/>
        <v>&lt;Valeur name="datevaleur"&gt;2019/04/15&lt;/Valeur&gt;</v>
      </c>
      <c r="AA24" s="15" t="str">
        <f t="shared" si="20"/>
        <v>&lt;Valeur name="datecompta"&gt;2019/03/30&lt;/Valeur&gt;</v>
      </c>
      <c r="AB24" s="15" t="str">
        <f t="shared" si="21"/>
        <v>&lt;Valeur name="compte"&gt;4&lt;/Valeur&gt;</v>
      </c>
      <c r="AC24" s="15" t="str">
        <f t="shared" si="22"/>
        <v>&lt;Valeur name="description"&gt;AF250-2 Réglettes affichage&lt;/Valeur&gt;</v>
      </c>
      <c r="AD24" s="15" t="str">
        <f t="shared" si="23"/>
        <v>&lt;Valeur name="valeur"&gt;3900&lt;/Valeur&gt;</v>
      </c>
      <c r="AE24" s="15" t="str">
        <f t="shared" si="24"/>
        <v>&lt;Valeur name="tvapct"&gt;20&lt;/Valeur&gt;</v>
      </c>
      <c r="AF24" s="15" t="str">
        <f t="shared" si="25"/>
        <v>&lt;Valeur name="tva"&gt;-650&lt;/Valeur&gt;</v>
      </c>
      <c r="AG24" s="15" t="s">
        <v>873</v>
      </c>
      <c r="AH24" s="15" t="str">
        <f t="shared" si="26"/>
        <v>&lt;Insert&gt;&lt;Valeur name="no"&gt;23&lt;/Valeur&gt;&lt;Valeur name="societe"&gt;1&lt;/Valeur&gt;&lt;Valeur name="pointer"&gt;1&lt;/Valeur&gt;&lt;Valeur name="datevaleur"&gt;2019/04/15&lt;/Valeur&gt;&lt;Valeur name="datecompta"&gt;2019/03/30&lt;/Valeur&gt;&lt;Valeur name="compte"&gt;4&lt;/Valeur&gt;&lt;Valeur name="description"&gt;AF250-2 Réglettes affichage&lt;/Valeur&gt;&lt;Valeur name="valeur"&gt;3900&lt;/Valeur&gt;&lt;Valeur name="tvapct"&gt;20&lt;/Valeur&gt;&lt;Valeur name="tva"&gt;-650&lt;/Valeur&gt;&lt;/Insert&gt;</v>
      </c>
    </row>
    <row r="25" spans="1:34" hidden="1" x14ac:dyDescent="0.25">
      <c r="A25" s="9">
        <v>43862</v>
      </c>
      <c r="B25" s="1">
        <v>43889</v>
      </c>
      <c r="C25" t="str">
        <f>INDEX(Balance!A:A,MATCH(D25,Balance!B:B,0))</f>
        <v>Client</v>
      </c>
      <c r="D25" t="s">
        <v>378</v>
      </c>
      <c r="G25">
        <v>0</v>
      </c>
      <c r="H25" s="3">
        <f t="shared" si="0"/>
        <v>0</v>
      </c>
      <c r="K25">
        <v>24</v>
      </c>
      <c r="L25">
        <v>1</v>
      </c>
      <c r="M25">
        <v>1</v>
      </c>
      <c r="N25" s="16" t="s">
        <v>893</v>
      </c>
      <c r="O25" s="16" t="s">
        <v>894</v>
      </c>
      <c r="P25">
        <f>IFERROR(VLOOKUP(D25,tab!A:B,2,FALSE),1)</f>
        <v>6</v>
      </c>
      <c r="Q25" s="14" t="str">
        <f t="shared" si="2"/>
        <v/>
      </c>
      <c r="R25">
        <f t="shared" si="3"/>
        <v>0</v>
      </c>
      <c r="S25">
        <v>20</v>
      </c>
      <c r="T25" s="13">
        <f t="shared" si="4"/>
        <v>0</v>
      </c>
      <c r="V25" t="s">
        <v>872</v>
      </c>
      <c r="W25" t="str">
        <f t="shared" si="16"/>
        <v>&lt;Valeur name="no"&gt;24&lt;/Valeur&gt;</v>
      </c>
      <c r="X25" t="str">
        <f t="shared" si="17"/>
        <v>&lt;Valeur name="societe"&gt;1&lt;/Valeur&gt;</v>
      </c>
      <c r="Y25" t="str">
        <f t="shared" si="18"/>
        <v>&lt;Valeur name="pointer"&gt;1&lt;/Valeur&gt;</v>
      </c>
      <c r="Z25" s="15" t="str">
        <f t="shared" si="19"/>
        <v>&lt;Valeur name="datevaleur"&gt;2020/02/28&lt;/Valeur&gt;</v>
      </c>
      <c r="AA25" s="15" t="str">
        <f t="shared" si="20"/>
        <v>&lt;Valeur name="datecompta"&gt;2020/02/01&lt;/Valeur&gt;</v>
      </c>
      <c r="AB25" s="15" t="str">
        <f t="shared" si="21"/>
        <v>&lt;Valeur name="compte"&gt;6&lt;/Valeur&gt;</v>
      </c>
      <c r="AC25" s="15" t="str">
        <f t="shared" si="22"/>
        <v>&lt;Valeur name="description"&gt;&lt;/Valeur&gt;</v>
      </c>
      <c r="AD25" s="15" t="str">
        <f t="shared" si="23"/>
        <v>&lt;Valeur name="valeur"&gt;0&lt;/Valeur&gt;</v>
      </c>
      <c r="AE25" s="15" t="str">
        <f t="shared" si="24"/>
        <v>&lt;Valeur name="tvapct"&gt;20&lt;/Valeur&gt;</v>
      </c>
      <c r="AF25" s="15" t="str">
        <f t="shared" si="25"/>
        <v>&lt;Valeur name="tva"&gt;0&lt;/Valeur&gt;</v>
      </c>
      <c r="AG25" s="15" t="s">
        <v>873</v>
      </c>
      <c r="AH25" s="15" t="str">
        <f t="shared" si="26"/>
        <v>&lt;Insert&gt;&lt;Valeur name="no"&gt;24&lt;/Valeur&gt;&lt;Valeur name="societe"&gt;1&lt;/Valeur&gt;&lt;Valeur name="pointer"&gt;1&lt;/Valeur&gt;&lt;Valeur name="datevaleur"&gt;2020/02/28&lt;/Valeur&gt;&lt;Valeur name="datecompta"&gt;2020/02/01&lt;/Valeur&gt;&lt;Valeur name="compte"&gt;6&lt;/Valeur&gt;&lt;Valeur name="description"&gt;&lt;/Valeur&gt;&lt;Valeur name="valeur"&gt;0&lt;/Valeur&gt;&lt;Valeur name="tvapct"&gt;20&lt;/Valeur&gt;&lt;Valeur name="tva"&gt;0&lt;/Valeur&gt;&lt;/Insert&gt;</v>
      </c>
    </row>
    <row r="26" spans="1:34" hidden="1" x14ac:dyDescent="0.25">
      <c r="A26" s="9">
        <v>43891</v>
      </c>
      <c r="B26" s="1">
        <v>43921</v>
      </c>
      <c r="C26" t="str">
        <f>INDEX(Balance!A:A,MATCH(D26,Balance!B:B,0))</f>
        <v>Client</v>
      </c>
      <c r="D26" t="s">
        <v>370</v>
      </c>
      <c r="G26">
        <v>0</v>
      </c>
      <c r="H26" s="3">
        <f t="shared" si="0"/>
        <v>0</v>
      </c>
      <c r="K26">
        <v>25</v>
      </c>
      <c r="L26">
        <v>1</v>
      </c>
      <c r="M26">
        <v>1</v>
      </c>
      <c r="N26" s="16" t="s">
        <v>895</v>
      </c>
      <c r="O26" s="16" t="s">
        <v>896</v>
      </c>
      <c r="P26">
        <f>IFERROR(VLOOKUP(D26,tab!A:B,2,FALSE),1)</f>
        <v>9</v>
      </c>
      <c r="Q26" s="14" t="str">
        <f t="shared" si="2"/>
        <v/>
      </c>
      <c r="R26">
        <f t="shared" si="3"/>
        <v>0</v>
      </c>
      <c r="S26">
        <v>20</v>
      </c>
      <c r="T26" s="13">
        <f t="shared" si="4"/>
        <v>0</v>
      </c>
      <c r="V26" t="s">
        <v>872</v>
      </c>
      <c r="W26" t="str">
        <f t="shared" si="16"/>
        <v>&lt;Valeur name="no"&gt;25&lt;/Valeur&gt;</v>
      </c>
      <c r="X26" t="str">
        <f t="shared" si="17"/>
        <v>&lt;Valeur name="societe"&gt;1&lt;/Valeur&gt;</v>
      </c>
      <c r="Y26" t="str">
        <f t="shared" si="18"/>
        <v>&lt;Valeur name="pointer"&gt;1&lt;/Valeur&gt;</v>
      </c>
      <c r="Z26" s="15" t="str">
        <f t="shared" si="19"/>
        <v>&lt;Valeur name="datevaleur"&gt;2020/03/31&lt;/Valeur&gt;</v>
      </c>
      <c r="AA26" s="15" t="str">
        <f t="shared" si="20"/>
        <v>&lt;Valeur name="datecompta"&gt;2020/03/01&lt;/Valeur&gt;</v>
      </c>
      <c r="AB26" s="15" t="str">
        <f t="shared" si="21"/>
        <v>&lt;Valeur name="compte"&gt;9&lt;/Valeur&gt;</v>
      </c>
      <c r="AC26" s="15" t="str">
        <f t="shared" si="22"/>
        <v>&lt;Valeur name="description"&gt;&lt;/Valeur&gt;</v>
      </c>
      <c r="AD26" s="15" t="str">
        <f t="shared" si="23"/>
        <v>&lt;Valeur name="valeur"&gt;0&lt;/Valeur&gt;</v>
      </c>
      <c r="AE26" s="15" t="str">
        <f t="shared" si="24"/>
        <v>&lt;Valeur name="tvapct"&gt;20&lt;/Valeur&gt;</v>
      </c>
      <c r="AF26" s="15" t="str">
        <f t="shared" si="25"/>
        <v>&lt;Valeur name="tva"&gt;0&lt;/Valeur&gt;</v>
      </c>
      <c r="AG26" s="15" t="s">
        <v>873</v>
      </c>
      <c r="AH26" s="15" t="str">
        <f t="shared" si="26"/>
        <v>&lt;Insert&gt;&lt;Valeur name="no"&gt;25&lt;/Valeur&gt;&lt;Valeur name="societe"&gt;1&lt;/Valeur&gt;&lt;Valeur name="pointer"&gt;1&lt;/Valeur&gt;&lt;Valeur name="datevaleur"&gt;2020/03/31&lt;/Valeur&gt;&lt;Valeur name="datecompta"&gt;2020/03/01&lt;/Valeur&gt;&lt;Valeur name="compte"&gt;9&lt;/Valeur&gt;&lt;Valeur name="description"&gt;&lt;/Valeur&gt;&lt;Valeur name="valeur"&gt;0&lt;/Valeur&gt;&lt;Valeur name="tvapct"&gt;20&lt;/Valeur&gt;&lt;Valeur name="tva"&gt;0&lt;/Valeur&gt;&lt;/Insert&gt;</v>
      </c>
    </row>
    <row r="27" spans="1:34" hidden="1" x14ac:dyDescent="0.25">
      <c r="A27" s="9">
        <v>43891</v>
      </c>
      <c r="B27" s="1">
        <v>43921</v>
      </c>
      <c r="C27" t="str">
        <f>INDEX(Balance!A:A,MATCH(D27,Balance!B:B,0))</f>
        <v>Client</v>
      </c>
      <c r="D27" t="s">
        <v>379</v>
      </c>
      <c r="G27">
        <v>0</v>
      </c>
      <c r="H27" s="3">
        <f t="shared" si="0"/>
        <v>0</v>
      </c>
      <c r="K27">
        <v>26</v>
      </c>
      <c r="L27">
        <v>1</v>
      </c>
      <c r="M27">
        <v>1</v>
      </c>
      <c r="N27" s="16" t="s">
        <v>895</v>
      </c>
      <c r="O27" s="16" t="s">
        <v>896</v>
      </c>
      <c r="P27">
        <f>IFERROR(VLOOKUP(D27,tab!A:B,2,FALSE),1)</f>
        <v>4</v>
      </c>
      <c r="Q27" s="14" t="str">
        <f t="shared" si="2"/>
        <v/>
      </c>
      <c r="R27">
        <f t="shared" si="3"/>
        <v>0</v>
      </c>
      <c r="S27">
        <v>20</v>
      </c>
      <c r="T27" s="13">
        <f t="shared" si="4"/>
        <v>0</v>
      </c>
      <c r="V27" t="s">
        <v>872</v>
      </c>
      <c r="W27" t="str">
        <f t="shared" si="16"/>
        <v>&lt;Valeur name="no"&gt;26&lt;/Valeur&gt;</v>
      </c>
      <c r="X27" t="str">
        <f t="shared" si="17"/>
        <v>&lt;Valeur name="societe"&gt;1&lt;/Valeur&gt;</v>
      </c>
      <c r="Y27" t="str">
        <f t="shared" si="18"/>
        <v>&lt;Valeur name="pointer"&gt;1&lt;/Valeur&gt;</v>
      </c>
      <c r="Z27" s="15" t="str">
        <f t="shared" si="19"/>
        <v>&lt;Valeur name="datevaleur"&gt;2020/03/31&lt;/Valeur&gt;</v>
      </c>
      <c r="AA27" s="15" t="str">
        <f t="shared" si="20"/>
        <v>&lt;Valeur name="datecompta"&gt;2020/03/01&lt;/Valeur&gt;</v>
      </c>
      <c r="AB27" s="15" t="str">
        <f t="shared" si="21"/>
        <v>&lt;Valeur name="compte"&gt;4&lt;/Valeur&gt;</v>
      </c>
      <c r="AC27" s="15" t="str">
        <f t="shared" si="22"/>
        <v>&lt;Valeur name="description"&gt;&lt;/Valeur&gt;</v>
      </c>
      <c r="AD27" s="15" t="str">
        <f t="shared" si="23"/>
        <v>&lt;Valeur name="valeur"&gt;0&lt;/Valeur&gt;</v>
      </c>
      <c r="AE27" s="15" t="str">
        <f t="shared" si="24"/>
        <v>&lt;Valeur name="tvapct"&gt;20&lt;/Valeur&gt;</v>
      </c>
      <c r="AF27" s="15" t="str">
        <f t="shared" si="25"/>
        <v>&lt;Valeur name="tva"&gt;0&lt;/Valeur&gt;</v>
      </c>
      <c r="AG27" s="15" t="s">
        <v>873</v>
      </c>
      <c r="AH27" s="15" t="str">
        <f t="shared" si="26"/>
        <v>&lt;Insert&gt;&lt;Valeur name="no"&gt;26&lt;/Valeur&gt;&lt;Valeur name="societe"&gt;1&lt;/Valeur&gt;&lt;Valeur name="pointer"&gt;1&lt;/Valeur&gt;&lt;Valeur name="datevaleur"&gt;2020/03/31&lt;/Valeur&gt;&lt;Valeur name="datecompta"&gt;2020/03/01&lt;/Valeur&gt;&lt;Valeur name="compte"&gt;4&lt;/Valeur&gt;&lt;Valeur name="description"&gt;&lt;/Valeur&gt;&lt;Valeur name="valeur"&gt;0&lt;/Valeur&gt;&lt;Valeur name="tvapct"&gt;20&lt;/Valeur&gt;&lt;Valeur name="tva"&gt;0&lt;/Valeur&gt;&lt;/Insert&gt;</v>
      </c>
    </row>
    <row r="28" spans="1:34" hidden="1" x14ac:dyDescent="0.25">
      <c r="A28" s="9">
        <v>43585</v>
      </c>
      <c r="B28" s="1">
        <v>43615</v>
      </c>
      <c r="C28" t="str">
        <f>INDEX(Balance!A:A,MATCH(D28,Balance!B:B,0))</f>
        <v>Client</v>
      </c>
      <c r="D28" t="s">
        <v>370</v>
      </c>
      <c r="E28" t="s">
        <v>699</v>
      </c>
      <c r="F28">
        <v>0</v>
      </c>
      <c r="G28">
        <v>8808.2999999999993</v>
      </c>
      <c r="H28" s="3">
        <f t="shared" si="0"/>
        <v>-1468.0499999999993</v>
      </c>
      <c r="K28">
        <v>27</v>
      </c>
      <c r="L28">
        <v>1</v>
      </c>
      <c r="M28">
        <v>1</v>
      </c>
      <c r="N28" s="16" t="s">
        <v>897</v>
      </c>
      <c r="O28" s="16" t="s">
        <v>882</v>
      </c>
      <c r="P28">
        <f>IFERROR(VLOOKUP(D28,tab!A:B,2,FALSE),1)</f>
        <v>9</v>
      </c>
      <c r="Q28" s="14" t="str">
        <f t="shared" si="2"/>
        <v>AF241-6 Thery situation 6 / Solde</v>
      </c>
      <c r="R28">
        <f t="shared" si="3"/>
        <v>8808.2999999999993</v>
      </c>
      <c r="S28">
        <v>20</v>
      </c>
      <c r="T28" s="13">
        <f t="shared" si="4"/>
        <v>-1468.0499999999993</v>
      </c>
      <c r="V28" t="s">
        <v>872</v>
      </c>
      <c r="W28" t="str">
        <f t="shared" si="16"/>
        <v>&lt;Valeur name="no"&gt;27&lt;/Valeur&gt;</v>
      </c>
      <c r="X28" t="str">
        <f t="shared" si="17"/>
        <v>&lt;Valeur name="societe"&gt;1&lt;/Valeur&gt;</v>
      </c>
      <c r="Y28" t="str">
        <f t="shared" si="18"/>
        <v>&lt;Valeur name="pointer"&gt;1&lt;/Valeur&gt;</v>
      </c>
      <c r="Z28" s="15" t="str">
        <f t="shared" si="19"/>
        <v>&lt;Valeur name="datevaleur"&gt;2019/05/30&lt;/Valeur&gt;</v>
      </c>
      <c r="AA28" s="15" t="str">
        <f t="shared" si="20"/>
        <v>&lt;Valeur name="datecompta"&gt;2019/04/30&lt;/Valeur&gt;</v>
      </c>
      <c r="AB28" s="15" t="str">
        <f t="shared" si="21"/>
        <v>&lt;Valeur name="compte"&gt;9&lt;/Valeur&gt;</v>
      </c>
      <c r="AC28" s="15" t="str">
        <f t="shared" si="22"/>
        <v>&lt;Valeur name="description"&gt;AF241-6 Thery situation 6 / Solde&lt;/Valeur&gt;</v>
      </c>
      <c r="AD28" s="15" t="str">
        <f t="shared" si="23"/>
        <v>&lt;Valeur name="valeur"&gt;8808.3&lt;/Valeur&gt;</v>
      </c>
      <c r="AE28" s="15" t="str">
        <f t="shared" si="24"/>
        <v>&lt;Valeur name="tvapct"&gt;20&lt;/Valeur&gt;</v>
      </c>
      <c r="AF28" s="15" t="str">
        <f t="shared" si="25"/>
        <v>&lt;Valeur name="tva"&gt;-1468.05&lt;/Valeur&gt;</v>
      </c>
      <c r="AG28" s="15" t="s">
        <v>873</v>
      </c>
      <c r="AH28" s="15" t="str">
        <f t="shared" si="26"/>
        <v>&lt;Insert&gt;&lt;Valeur name="no"&gt;27&lt;/Valeur&gt;&lt;Valeur name="societe"&gt;1&lt;/Valeur&gt;&lt;Valeur name="pointer"&gt;1&lt;/Valeur&gt;&lt;Valeur name="datevaleur"&gt;2019/05/30&lt;/Valeur&gt;&lt;Valeur name="datecompta"&gt;2019/04/30&lt;/Valeur&gt;&lt;Valeur name="compte"&gt;9&lt;/Valeur&gt;&lt;Valeur name="description"&gt;AF241-6 Thery situation 6 / Solde&lt;/Valeur&gt;&lt;Valeur name="valeur"&gt;8808.3&lt;/Valeur&gt;&lt;Valeur name="tvapct"&gt;20&lt;/Valeur&gt;&lt;Valeur name="tva"&gt;-1468.05&lt;/Valeur&gt;&lt;/Insert&gt;</v>
      </c>
    </row>
    <row r="29" spans="1:34" hidden="1" x14ac:dyDescent="0.25">
      <c r="A29" s="9">
        <v>43585</v>
      </c>
      <c r="B29" s="1">
        <v>43615</v>
      </c>
      <c r="C29" t="str">
        <f>INDEX(Balance!A:A,MATCH(D29,Balance!B:B,0))</f>
        <v>Client</v>
      </c>
      <c r="D29" t="s">
        <v>379</v>
      </c>
      <c r="E29" t="s">
        <v>710</v>
      </c>
      <c r="G29">
        <v>38785.919999999998</v>
      </c>
      <c r="H29" s="3">
        <f t="shared" si="0"/>
        <v>-6464.32</v>
      </c>
      <c r="K29">
        <v>28</v>
      </c>
      <c r="L29">
        <v>1</v>
      </c>
      <c r="M29">
        <v>1</v>
      </c>
      <c r="N29" s="16" t="s">
        <v>897</v>
      </c>
      <c r="O29" s="16" t="s">
        <v>882</v>
      </c>
      <c r="P29">
        <f>IFERROR(VLOOKUP(D29,tab!A:B,2,FALSE),1)</f>
        <v>4</v>
      </c>
      <c r="Q29" s="14" t="str">
        <f t="shared" si="2"/>
        <v>AF233-8  Arras Portails + cloture + BAL + porte vide sanitaire</v>
      </c>
      <c r="R29">
        <f t="shared" si="3"/>
        <v>38785.919999999998</v>
      </c>
      <c r="S29">
        <v>20</v>
      </c>
      <c r="T29" s="13">
        <f t="shared" si="4"/>
        <v>-6464.32</v>
      </c>
      <c r="V29" t="s">
        <v>872</v>
      </c>
      <c r="W29" t="str">
        <f t="shared" si="16"/>
        <v>&lt;Valeur name="no"&gt;28&lt;/Valeur&gt;</v>
      </c>
      <c r="X29" t="str">
        <f t="shared" si="17"/>
        <v>&lt;Valeur name="societe"&gt;1&lt;/Valeur&gt;</v>
      </c>
      <c r="Y29" t="str">
        <f t="shared" si="18"/>
        <v>&lt;Valeur name="pointer"&gt;1&lt;/Valeur&gt;</v>
      </c>
      <c r="Z29" s="15" t="str">
        <f t="shared" si="19"/>
        <v>&lt;Valeur name="datevaleur"&gt;2019/05/30&lt;/Valeur&gt;</v>
      </c>
      <c r="AA29" s="15" t="str">
        <f t="shared" si="20"/>
        <v>&lt;Valeur name="datecompta"&gt;2019/04/30&lt;/Valeur&gt;</v>
      </c>
      <c r="AB29" s="15" t="str">
        <f t="shared" si="21"/>
        <v>&lt;Valeur name="compte"&gt;4&lt;/Valeur&gt;</v>
      </c>
      <c r="AC29" s="15" t="str">
        <f t="shared" si="22"/>
        <v>&lt;Valeur name="description"&gt;AF233-8  Arras Portails + cloture + BAL + porte vide sanitaire&lt;/Valeur&gt;</v>
      </c>
      <c r="AD29" s="15" t="str">
        <f t="shared" si="23"/>
        <v>&lt;Valeur name="valeur"&gt;38785.92&lt;/Valeur&gt;</v>
      </c>
      <c r="AE29" s="15" t="str">
        <f t="shared" si="24"/>
        <v>&lt;Valeur name="tvapct"&gt;20&lt;/Valeur&gt;</v>
      </c>
      <c r="AF29" s="15" t="str">
        <f t="shared" si="25"/>
        <v>&lt;Valeur name="tva"&gt;-6464.32&lt;/Valeur&gt;</v>
      </c>
      <c r="AG29" s="15" t="s">
        <v>873</v>
      </c>
      <c r="AH29" s="15" t="str">
        <f t="shared" si="26"/>
        <v>&lt;Insert&gt;&lt;Valeur name="no"&gt;28&lt;/Valeur&gt;&lt;Valeur name="societe"&gt;1&lt;/Valeur&gt;&lt;Valeur name="pointer"&gt;1&lt;/Valeur&gt;&lt;Valeur name="datevaleur"&gt;2019/05/30&lt;/Valeur&gt;&lt;Valeur name="datecompta"&gt;2019/04/30&lt;/Valeur&gt;&lt;Valeur name="compte"&gt;4&lt;/Valeur&gt;&lt;Valeur name="description"&gt;AF233-8  Arras Portails + cloture + BAL + porte vide sanitaire&lt;/Valeur&gt;&lt;Valeur name="valeur"&gt;38785.92&lt;/Valeur&gt;&lt;Valeur name="tvapct"&gt;20&lt;/Valeur&gt;&lt;Valeur name="tva"&gt;-6464.32&lt;/Valeur&gt;&lt;/Insert&gt;</v>
      </c>
    </row>
    <row r="30" spans="1:34" hidden="1" x14ac:dyDescent="0.25">
      <c r="A30" s="9">
        <v>43615</v>
      </c>
      <c r="B30" s="1">
        <v>43646</v>
      </c>
      <c r="C30" t="str">
        <f>INDEX(Balance!A:A,MATCH(D30,Balance!B:B,0))</f>
        <v>Client</v>
      </c>
      <c r="D30" t="s">
        <v>366</v>
      </c>
      <c r="E30" t="s">
        <v>825</v>
      </c>
      <c r="G30">
        <v>1344</v>
      </c>
      <c r="H30" s="3">
        <f t="shared" si="0"/>
        <v>-224</v>
      </c>
      <c r="K30">
        <v>29</v>
      </c>
      <c r="L30">
        <v>1</v>
      </c>
      <c r="M30">
        <v>1</v>
      </c>
      <c r="N30" s="16" t="s">
        <v>883</v>
      </c>
      <c r="O30" s="16" t="s">
        <v>897</v>
      </c>
      <c r="P30">
        <f>IFERROR(VLOOKUP(D30,tab!A:B,2,FALSE),1)</f>
        <v>5</v>
      </c>
      <c r="Q30" s="14" t="str">
        <f t="shared" si="2"/>
        <v>AF264-1 formation paris x2</v>
      </c>
      <c r="R30">
        <f t="shared" si="3"/>
        <v>1344</v>
      </c>
      <c r="S30">
        <v>20</v>
      </c>
      <c r="T30" s="13">
        <f t="shared" si="4"/>
        <v>-224</v>
      </c>
      <c r="V30" t="s">
        <v>872</v>
      </c>
      <c r="W30" t="str">
        <f t="shared" si="16"/>
        <v>&lt;Valeur name="no"&gt;29&lt;/Valeur&gt;</v>
      </c>
      <c r="X30" t="str">
        <f t="shared" si="17"/>
        <v>&lt;Valeur name="societe"&gt;1&lt;/Valeur&gt;</v>
      </c>
      <c r="Y30" t="str">
        <f t="shared" si="18"/>
        <v>&lt;Valeur name="pointer"&gt;1&lt;/Valeur&gt;</v>
      </c>
      <c r="Z30" s="15" t="str">
        <f t="shared" si="19"/>
        <v>&lt;Valeur name="datevaleur"&gt;2019/06/30&lt;/Valeur&gt;</v>
      </c>
      <c r="AA30" s="15" t="str">
        <f t="shared" si="20"/>
        <v>&lt;Valeur name="datecompta"&gt;2019/05/30&lt;/Valeur&gt;</v>
      </c>
      <c r="AB30" s="15" t="str">
        <f t="shared" si="21"/>
        <v>&lt;Valeur name="compte"&gt;5&lt;/Valeur&gt;</v>
      </c>
      <c r="AC30" s="15" t="str">
        <f t="shared" si="22"/>
        <v>&lt;Valeur name="description"&gt;AF264-1 formation paris x2&lt;/Valeur&gt;</v>
      </c>
      <c r="AD30" s="15" t="str">
        <f t="shared" si="23"/>
        <v>&lt;Valeur name="valeur"&gt;1344&lt;/Valeur&gt;</v>
      </c>
      <c r="AE30" s="15" t="str">
        <f t="shared" si="24"/>
        <v>&lt;Valeur name="tvapct"&gt;20&lt;/Valeur&gt;</v>
      </c>
      <c r="AF30" s="15" t="str">
        <f t="shared" si="25"/>
        <v>&lt;Valeur name="tva"&gt;-224&lt;/Valeur&gt;</v>
      </c>
      <c r="AG30" s="15" t="s">
        <v>873</v>
      </c>
      <c r="AH30" s="15" t="str">
        <f t="shared" si="26"/>
        <v>&lt;Insert&gt;&lt;Valeur name="no"&gt;29&lt;/Valeur&gt;&lt;Valeur name="societe"&gt;1&lt;/Valeur&gt;&lt;Valeur name="pointer"&gt;1&lt;/Valeur&gt;&lt;Valeur name="datevaleur"&gt;2019/06/30&lt;/Valeur&gt;&lt;Valeur name="datecompta"&gt;2019/05/30&lt;/Valeur&gt;&lt;Valeur name="compte"&gt;5&lt;/Valeur&gt;&lt;Valeur name="description"&gt;AF264-1 formation paris x2&lt;/Valeur&gt;&lt;Valeur name="valeur"&gt;1344&lt;/Valeur&gt;&lt;Valeur name="tvapct"&gt;20&lt;/Valeur&gt;&lt;Valeur name="tva"&gt;-224&lt;/Valeur&gt;&lt;/Insert&gt;</v>
      </c>
    </row>
    <row r="31" spans="1:34" hidden="1" x14ac:dyDescent="0.25">
      <c r="A31" s="9">
        <v>43525</v>
      </c>
      <c r="B31" s="1">
        <v>43535</v>
      </c>
      <c r="C31" t="str">
        <f>INDEX(Balance!A:A,MATCH(D31,Balance!B:B,0))</f>
        <v>Depense</v>
      </c>
      <c r="D31" t="s">
        <v>255</v>
      </c>
      <c r="E31" t="s">
        <v>113</v>
      </c>
      <c r="F31">
        <v>1300</v>
      </c>
      <c r="H31" s="3">
        <f t="shared" si="0"/>
        <v>216.66666666666652</v>
      </c>
      <c r="K31">
        <v>30</v>
      </c>
      <c r="L31">
        <v>1</v>
      </c>
      <c r="M31">
        <v>1</v>
      </c>
      <c r="N31" s="16" t="s">
        <v>898</v>
      </c>
      <c r="O31" s="16" t="s">
        <v>891</v>
      </c>
      <c r="P31">
        <f>IFERROR(VLOOKUP(D31,tab!A:B,2,FALSE),1)</f>
        <v>20</v>
      </c>
      <c r="Q31" s="14" t="str">
        <f t="shared" si="2"/>
        <v>VIR SEPA SCI LT DECO</v>
      </c>
      <c r="R31">
        <f t="shared" si="3"/>
        <v>-1300</v>
      </c>
      <c r="S31">
        <v>20</v>
      </c>
      <c r="T31" s="13">
        <f t="shared" si="4"/>
        <v>216.66666666666652</v>
      </c>
      <c r="V31" t="s">
        <v>872</v>
      </c>
      <c r="W31" t="str">
        <f t="shared" si="16"/>
        <v>&lt;Valeur name="no"&gt;30&lt;/Valeur&gt;</v>
      </c>
      <c r="X31" t="str">
        <f t="shared" si="17"/>
        <v>&lt;Valeur name="societe"&gt;1&lt;/Valeur&gt;</v>
      </c>
      <c r="Y31" t="str">
        <f t="shared" si="18"/>
        <v>&lt;Valeur name="pointer"&gt;1&lt;/Valeur&gt;</v>
      </c>
      <c r="Z31" s="15" t="str">
        <f t="shared" si="19"/>
        <v>&lt;Valeur name="datevaleur"&gt;2019/03/11&lt;/Valeur&gt;</v>
      </c>
      <c r="AA31" s="15" t="str">
        <f t="shared" si="20"/>
        <v>&lt;Valeur name="datecompta"&gt;2019/03/01&lt;/Valeur&gt;</v>
      </c>
      <c r="AB31" s="15" t="str">
        <f t="shared" si="21"/>
        <v>&lt;Valeur name="compte"&gt;20&lt;/Valeur&gt;</v>
      </c>
      <c r="AC31" s="15" t="str">
        <f t="shared" si="22"/>
        <v>&lt;Valeur name="description"&gt;VIR SEPA SCI LT DECO&lt;/Valeur&gt;</v>
      </c>
      <c r="AD31" s="15" t="str">
        <f t="shared" si="23"/>
        <v>&lt;Valeur name="valeur"&gt;-1300&lt;/Valeur&gt;</v>
      </c>
      <c r="AE31" s="15" t="str">
        <f t="shared" si="24"/>
        <v>&lt;Valeur name="tvapct"&gt;20&lt;/Valeur&gt;</v>
      </c>
      <c r="AF31" s="15" t="str">
        <f t="shared" si="25"/>
        <v>&lt;Valeur name="tva"&gt;216.666666666667&lt;/Valeur&gt;</v>
      </c>
      <c r="AG31" s="15" t="s">
        <v>873</v>
      </c>
      <c r="AH31" s="15" t="str">
        <f t="shared" si="26"/>
        <v>&lt;Insert&gt;&lt;Valeur name="no"&gt;30&lt;/Valeur&gt;&lt;Valeur name="societe"&gt;1&lt;/Valeur&gt;&lt;Valeur name="pointer"&gt;1&lt;/Valeur&gt;&lt;Valeur name="datevaleur"&gt;2019/03/11&lt;/Valeur&gt;&lt;Valeur name="datecompta"&gt;2019/03/01&lt;/Valeur&gt;&lt;Valeur name="compte"&gt;20&lt;/Valeur&gt;&lt;Valeur name="description"&gt;VIR SEPA SCI LT DECO&lt;/Valeur&gt;&lt;Valeur name="valeur"&gt;-1300&lt;/Valeur&gt;&lt;Valeur name="tvapct"&gt;20&lt;/Valeur&gt;&lt;Valeur name="tva"&gt;216.666666666667&lt;/Valeur&gt;&lt;/Insert&gt;</v>
      </c>
    </row>
    <row r="32" spans="1:34" hidden="1" x14ac:dyDescent="0.25">
      <c r="A32" s="9">
        <v>43435</v>
      </c>
      <c r="B32" s="1">
        <v>43500</v>
      </c>
      <c r="C32" t="str">
        <f>INDEX(Balance!A:A,MATCH(D32,Balance!B:B,0))</f>
        <v>Fournisseurs</v>
      </c>
      <c r="D32" t="s">
        <v>535</v>
      </c>
      <c r="F32">
        <v>10487.7</v>
      </c>
      <c r="H32" s="3">
        <f t="shared" si="0"/>
        <v>1747.9499999999989</v>
      </c>
      <c r="K32">
        <v>31</v>
      </c>
      <c r="L32">
        <v>1</v>
      </c>
      <c r="M32">
        <v>1</v>
      </c>
      <c r="N32" s="16" t="s">
        <v>899</v>
      </c>
      <c r="O32" s="16" t="s">
        <v>876</v>
      </c>
      <c r="P32">
        <f>IFERROR(VLOOKUP(D32,tab!A:B,2,FALSE),1)</f>
        <v>110</v>
      </c>
      <c r="Q32" s="14" t="str">
        <f t="shared" si="2"/>
        <v/>
      </c>
      <c r="R32">
        <f t="shared" si="3"/>
        <v>-10487.7</v>
      </c>
      <c r="S32">
        <v>20</v>
      </c>
      <c r="T32" s="13">
        <f t="shared" si="4"/>
        <v>1747.9499999999989</v>
      </c>
      <c r="V32" t="s">
        <v>872</v>
      </c>
      <c r="W32" t="str">
        <f t="shared" si="16"/>
        <v>&lt;Valeur name="no"&gt;31&lt;/Valeur&gt;</v>
      </c>
      <c r="X32" t="str">
        <f t="shared" si="17"/>
        <v>&lt;Valeur name="societe"&gt;1&lt;/Valeur&gt;</v>
      </c>
      <c r="Y32" t="str">
        <f t="shared" si="18"/>
        <v>&lt;Valeur name="pointer"&gt;1&lt;/Valeur&gt;</v>
      </c>
      <c r="Z32" s="15" t="str">
        <f t="shared" si="19"/>
        <v>&lt;Valeur name="datevaleur"&gt;2019/02/04&lt;/Valeur&gt;</v>
      </c>
      <c r="AA32" s="15" t="str">
        <f t="shared" si="20"/>
        <v>&lt;Valeur name="datecompta"&gt;2018/12/01&lt;/Valeur&gt;</v>
      </c>
      <c r="AB32" s="15" t="str">
        <f t="shared" si="21"/>
        <v>&lt;Valeur name="compte"&gt;110&lt;/Valeur&gt;</v>
      </c>
      <c r="AC32" s="15" t="str">
        <f t="shared" si="22"/>
        <v>&lt;Valeur name="description"&gt;&lt;/Valeur&gt;</v>
      </c>
      <c r="AD32" s="15" t="str">
        <f t="shared" si="23"/>
        <v>&lt;Valeur name="valeur"&gt;-10487.7&lt;/Valeur&gt;</v>
      </c>
      <c r="AE32" s="15" t="str">
        <f t="shared" si="24"/>
        <v>&lt;Valeur name="tvapct"&gt;20&lt;/Valeur&gt;</v>
      </c>
      <c r="AF32" s="15" t="str">
        <f t="shared" si="25"/>
        <v>&lt;Valeur name="tva"&gt;1747.95&lt;/Valeur&gt;</v>
      </c>
      <c r="AG32" s="15" t="s">
        <v>873</v>
      </c>
      <c r="AH32" s="15" t="str">
        <f t="shared" si="26"/>
        <v>&lt;Insert&gt;&lt;Valeur name="no"&gt;31&lt;/Valeur&gt;&lt;Valeur name="societe"&gt;1&lt;/Valeur&gt;&lt;Valeur name="pointer"&gt;1&lt;/Valeur&gt;&lt;Valeur name="datevaleur"&gt;2019/02/04&lt;/Valeur&gt;&lt;Valeur name="datecompta"&gt;2018/12/01&lt;/Valeur&gt;&lt;Valeur name="compte"&gt;110&lt;/Valeur&gt;&lt;Valeur name="description"&gt;&lt;/Valeur&gt;&lt;Valeur name="valeur"&gt;-10487.7&lt;/Valeur&gt;&lt;Valeur name="tvapct"&gt;20&lt;/Valeur&gt;&lt;Valeur name="tva"&gt;1747.95&lt;/Valeur&gt;&lt;/Insert&gt;</v>
      </c>
    </row>
    <row r="33" spans="1:34" hidden="1" x14ac:dyDescent="0.25">
      <c r="A33" s="9">
        <v>43435</v>
      </c>
      <c r="B33" s="1">
        <v>43500</v>
      </c>
      <c r="C33" t="str">
        <f>INDEX(Balance!A:A,MATCH(D33,Balance!B:B,0))</f>
        <v>Fournisseurs</v>
      </c>
      <c r="D33" t="s">
        <v>277</v>
      </c>
      <c r="F33">
        <v>307.69</v>
      </c>
      <c r="H33" s="3">
        <f t="shared" si="0"/>
        <v>51.281666666666638</v>
      </c>
      <c r="K33">
        <v>32</v>
      </c>
      <c r="L33">
        <v>1</v>
      </c>
      <c r="M33">
        <v>1</v>
      </c>
      <c r="N33" s="16" t="s">
        <v>899</v>
      </c>
      <c r="O33" s="16" t="s">
        <v>876</v>
      </c>
      <c r="P33">
        <f>IFERROR(VLOOKUP(D33,tab!A:B,2,FALSE),1)</f>
        <v>62</v>
      </c>
      <c r="Q33" s="14" t="str">
        <f t="shared" si="2"/>
        <v/>
      </c>
      <c r="R33">
        <f t="shared" si="3"/>
        <v>-307.69</v>
      </c>
      <c r="S33">
        <v>20</v>
      </c>
      <c r="T33" s="13">
        <f t="shared" si="4"/>
        <v>51.281666666666638</v>
      </c>
      <c r="V33" t="s">
        <v>872</v>
      </c>
      <c r="W33" t="str">
        <f t="shared" si="16"/>
        <v>&lt;Valeur name="no"&gt;32&lt;/Valeur&gt;</v>
      </c>
      <c r="X33" t="str">
        <f t="shared" si="17"/>
        <v>&lt;Valeur name="societe"&gt;1&lt;/Valeur&gt;</v>
      </c>
      <c r="Y33" t="str">
        <f t="shared" si="18"/>
        <v>&lt;Valeur name="pointer"&gt;1&lt;/Valeur&gt;</v>
      </c>
      <c r="Z33" s="15" t="str">
        <f t="shared" si="19"/>
        <v>&lt;Valeur name="datevaleur"&gt;2019/02/04&lt;/Valeur&gt;</v>
      </c>
      <c r="AA33" s="15" t="str">
        <f t="shared" si="20"/>
        <v>&lt;Valeur name="datecompta"&gt;2018/12/01&lt;/Valeur&gt;</v>
      </c>
      <c r="AB33" s="15" t="str">
        <f t="shared" si="21"/>
        <v>&lt;Valeur name="compte"&gt;62&lt;/Valeur&gt;</v>
      </c>
      <c r="AC33" s="15" t="str">
        <f t="shared" si="22"/>
        <v>&lt;Valeur name="description"&gt;&lt;/Valeur&gt;</v>
      </c>
      <c r="AD33" s="15" t="str">
        <f t="shared" si="23"/>
        <v>&lt;Valeur name="valeur"&gt;-307.69&lt;/Valeur&gt;</v>
      </c>
      <c r="AE33" s="15" t="str">
        <f t="shared" si="24"/>
        <v>&lt;Valeur name="tvapct"&gt;20&lt;/Valeur&gt;</v>
      </c>
      <c r="AF33" s="15" t="str">
        <f t="shared" si="25"/>
        <v>&lt;Valeur name="tva"&gt;51.2816666666666&lt;/Valeur&gt;</v>
      </c>
      <c r="AG33" s="15" t="s">
        <v>873</v>
      </c>
      <c r="AH33" s="15" t="str">
        <f t="shared" si="26"/>
        <v>&lt;Insert&gt;&lt;Valeur name="no"&gt;32&lt;/Valeur&gt;&lt;Valeur name="societe"&gt;1&lt;/Valeur&gt;&lt;Valeur name="pointer"&gt;1&lt;/Valeur&gt;&lt;Valeur name="datevaleur"&gt;2019/02/04&lt;/Valeur&gt;&lt;Valeur name="datecompta"&gt;2018/12/01&lt;/Valeur&gt;&lt;Valeur name="compte"&gt;62&lt;/Valeur&gt;&lt;Valeur name="description"&gt;&lt;/Valeur&gt;&lt;Valeur name="valeur"&gt;-307.69&lt;/Valeur&gt;&lt;Valeur name="tvapct"&gt;20&lt;/Valeur&gt;&lt;Valeur name="tva"&gt;51.2816666666666&lt;/Valeur&gt;&lt;/Insert&gt;</v>
      </c>
    </row>
    <row r="34" spans="1:34" hidden="1" x14ac:dyDescent="0.25">
      <c r="A34" s="9">
        <v>43435</v>
      </c>
      <c r="B34" s="1">
        <v>43514</v>
      </c>
      <c r="C34" t="str">
        <f>INDEX(Balance!A:A,MATCH(D34,Balance!B:B,0))</f>
        <v>Fournisseurs</v>
      </c>
      <c r="D34" t="s">
        <v>281</v>
      </c>
      <c r="F34">
        <v>1797.6</v>
      </c>
      <c r="H34" s="3">
        <f t="shared" si="0"/>
        <v>299.59999999999991</v>
      </c>
      <c r="K34">
        <v>33</v>
      </c>
      <c r="L34">
        <v>1</v>
      </c>
      <c r="M34">
        <v>1</v>
      </c>
      <c r="N34" s="16" t="s">
        <v>878</v>
      </c>
      <c r="O34" s="16" t="s">
        <v>876</v>
      </c>
      <c r="P34">
        <f>IFERROR(VLOOKUP(D34,tab!A:B,2,FALSE),1)</f>
        <v>77</v>
      </c>
      <c r="Q34" s="14" t="str">
        <f t="shared" si="2"/>
        <v/>
      </c>
      <c r="R34">
        <f t="shared" si="3"/>
        <v>-1797.6</v>
      </c>
      <c r="S34">
        <v>20</v>
      </c>
      <c r="T34" s="13">
        <f t="shared" si="4"/>
        <v>299.59999999999991</v>
      </c>
      <c r="V34" t="s">
        <v>872</v>
      </c>
      <c r="W34" t="str">
        <f t="shared" si="16"/>
        <v>&lt;Valeur name="no"&gt;33&lt;/Valeur&gt;</v>
      </c>
      <c r="X34" t="str">
        <f t="shared" si="17"/>
        <v>&lt;Valeur name="societe"&gt;1&lt;/Valeur&gt;</v>
      </c>
      <c r="Y34" t="str">
        <f t="shared" si="18"/>
        <v>&lt;Valeur name="pointer"&gt;1&lt;/Valeur&gt;</v>
      </c>
      <c r="Z34" s="15" t="str">
        <f t="shared" si="19"/>
        <v>&lt;Valeur name="datevaleur"&gt;2019/02/18&lt;/Valeur&gt;</v>
      </c>
      <c r="AA34" s="15" t="str">
        <f t="shared" si="20"/>
        <v>&lt;Valeur name="datecompta"&gt;2018/12/01&lt;/Valeur&gt;</v>
      </c>
      <c r="AB34" s="15" t="str">
        <f t="shared" si="21"/>
        <v>&lt;Valeur name="compte"&gt;77&lt;/Valeur&gt;</v>
      </c>
      <c r="AC34" s="15" t="str">
        <f t="shared" si="22"/>
        <v>&lt;Valeur name="description"&gt;&lt;/Valeur&gt;</v>
      </c>
      <c r="AD34" s="15" t="str">
        <f t="shared" si="23"/>
        <v>&lt;Valeur name="valeur"&gt;-1797.6&lt;/Valeur&gt;</v>
      </c>
      <c r="AE34" s="15" t="str">
        <f t="shared" si="24"/>
        <v>&lt;Valeur name="tvapct"&gt;20&lt;/Valeur&gt;</v>
      </c>
      <c r="AF34" s="15" t="str">
        <f t="shared" si="25"/>
        <v>&lt;Valeur name="tva"&gt;299.6&lt;/Valeur&gt;</v>
      </c>
      <c r="AG34" s="15" t="s">
        <v>873</v>
      </c>
      <c r="AH34" s="15" t="str">
        <f t="shared" si="26"/>
        <v>&lt;Insert&gt;&lt;Valeur name="no"&gt;33&lt;/Valeur&gt;&lt;Valeur name="societe"&gt;1&lt;/Valeur&gt;&lt;Valeur name="pointer"&gt;1&lt;/Valeur&gt;&lt;Valeur name="datevaleur"&gt;2019/02/18&lt;/Valeur&gt;&lt;Valeur name="datecompta"&gt;2018/12/01&lt;/Valeur&gt;&lt;Valeur name="compte"&gt;77&lt;/Valeur&gt;&lt;Valeur name="description"&gt;&lt;/Valeur&gt;&lt;Valeur name="valeur"&gt;-1797.6&lt;/Valeur&gt;&lt;Valeur name="tvapct"&gt;20&lt;/Valeur&gt;&lt;Valeur name="tva"&gt;299.6&lt;/Valeur&gt;&lt;/Insert&gt;</v>
      </c>
    </row>
    <row r="35" spans="1:34" hidden="1" x14ac:dyDescent="0.25">
      <c r="A35" s="9">
        <v>43435</v>
      </c>
      <c r="B35" s="1">
        <v>43516</v>
      </c>
      <c r="C35" t="str">
        <f>INDEX(Balance!A:A,MATCH(D35,Balance!B:B,0))</f>
        <v>Fournisseurs</v>
      </c>
      <c r="D35" t="s">
        <v>284</v>
      </c>
      <c r="E35" t="s">
        <v>204</v>
      </c>
      <c r="F35">
        <v>202.8</v>
      </c>
      <c r="H35" s="3">
        <f t="shared" si="0"/>
        <v>33.799999999999983</v>
      </c>
      <c r="K35">
        <v>34</v>
      </c>
      <c r="L35">
        <v>1</v>
      </c>
      <c r="M35">
        <v>1</v>
      </c>
      <c r="N35" s="16" t="s">
        <v>900</v>
      </c>
      <c r="O35" s="16" t="s">
        <v>876</v>
      </c>
      <c r="P35">
        <f>IFERROR(VLOOKUP(D35,tab!A:B,2,FALSE),1)</f>
        <v>116</v>
      </c>
      <c r="Q35" s="14" t="str">
        <f t="shared" si="2"/>
        <v>E-VIR SEPA TSR Loc poste</v>
      </c>
      <c r="R35">
        <f t="shared" si="3"/>
        <v>-202.8</v>
      </c>
      <c r="S35">
        <v>20</v>
      </c>
      <c r="T35" s="13">
        <f t="shared" si="4"/>
        <v>33.799999999999983</v>
      </c>
      <c r="V35" t="s">
        <v>872</v>
      </c>
      <c r="W35" t="str">
        <f t="shared" si="16"/>
        <v>&lt;Valeur name="no"&gt;34&lt;/Valeur&gt;</v>
      </c>
      <c r="X35" t="str">
        <f t="shared" si="17"/>
        <v>&lt;Valeur name="societe"&gt;1&lt;/Valeur&gt;</v>
      </c>
      <c r="Y35" t="str">
        <f t="shared" si="18"/>
        <v>&lt;Valeur name="pointer"&gt;1&lt;/Valeur&gt;</v>
      </c>
      <c r="Z35" s="15" t="str">
        <f t="shared" si="19"/>
        <v>&lt;Valeur name="datevaleur"&gt;2019/02/20&lt;/Valeur&gt;</v>
      </c>
      <c r="AA35" s="15" t="str">
        <f t="shared" si="20"/>
        <v>&lt;Valeur name="datecompta"&gt;2018/12/01&lt;/Valeur&gt;</v>
      </c>
      <c r="AB35" s="15" t="str">
        <f t="shared" si="21"/>
        <v>&lt;Valeur name="compte"&gt;116&lt;/Valeur&gt;</v>
      </c>
      <c r="AC35" s="15" t="str">
        <f t="shared" si="22"/>
        <v>&lt;Valeur name="description"&gt;E-VIR SEPA TSR Loc poste&lt;/Valeur&gt;</v>
      </c>
      <c r="AD35" s="15" t="str">
        <f t="shared" si="23"/>
        <v>&lt;Valeur name="valeur"&gt;-202.8&lt;/Valeur&gt;</v>
      </c>
      <c r="AE35" s="15" t="str">
        <f t="shared" si="24"/>
        <v>&lt;Valeur name="tvapct"&gt;20&lt;/Valeur&gt;</v>
      </c>
      <c r="AF35" s="15" t="str">
        <f t="shared" si="25"/>
        <v>&lt;Valeur name="tva"&gt;33.8&lt;/Valeur&gt;</v>
      </c>
      <c r="AG35" s="15" t="s">
        <v>873</v>
      </c>
      <c r="AH35" s="15" t="str">
        <f t="shared" si="26"/>
        <v>&lt;Insert&gt;&lt;Valeur name="no"&gt;34&lt;/Valeur&gt;&lt;Valeur name="societe"&gt;1&lt;/Valeur&gt;&lt;Valeur name="pointer"&gt;1&lt;/Valeur&gt;&lt;Valeur name="datevaleur"&gt;2019/02/20&lt;/Valeur&gt;&lt;Valeur name="datecompta"&gt;2018/12/01&lt;/Valeur&gt;&lt;Valeur name="compte"&gt;116&lt;/Valeur&gt;&lt;Valeur name="description"&gt;E-VIR SEPA TSR Loc poste&lt;/Valeur&gt;&lt;Valeur name="valeur"&gt;-202.8&lt;/Valeur&gt;&lt;Valeur name="tvapct"&gt;20&lt;/Valeur&gt;&lt;Valeur name="tva"&gt;33.8&lt;/Valeur&gt;&lt;/Insert&gt;</v>
      </c>
    </row>
    <row r="36" spans="1:34" hidden="1" x14ac:dyDescent="0.25">
      <c r="A36" s="9">
        <v>43435</v>
      </c>
      <c r="B36" s="1">
        <v>43516</v>
      </c>
      <c r="C36" t="str">
        <f>INDEX(Balance!A:A,MATCH(D36,Balance!B:B,0))</f>
        <v>Fournisseurs</v>
      </c>
      <c r="D36" t="s">
        <v>284</v>
      </c>
      <c r="E36" t="s">
        <v>204</v>
      </c>
      <c r="F36">
        <v>468</v>
      </c>
      <c r="H36" s="3">
        <f t="shared" si="0"/>
        <v>78</v>
      </c>
      <c r="K36">
        <v>35</v>
      </c>
      <c r="L36">
        <v>1</v>
      </c>
      <c r="M36">
        <v>1</v>
      </c>
      <c r="N36" s="16" t="s">
        <v>900</v>
      </c>
      <c r="O36" s="16" t="s">
        <v>876</v>
      </c>
      <c r="P36">
        <f>IFERROR(VLOOKUP(D36,tab!A:B,2,FALSE),1)</f>
        <v>116</v>
      </c>
      <c r="Q36" s="14" t="str">
        <f t="shared" si="2"/>
        <v>E-VIR SEPA TSR Loc poste</v>
      </c>
      <c r="R36">
        <f t="shared" si="3"/>
        <v>-468</v>
      </c>
      <c r="S36">
        <v>20</v>
      </c>
      <c r="T36" s="13">
        <f t="shared" si="4"/>
        <v>78</v>
      </c>
      <c r="V36" t="s">
        <v>872</v>
      </c>
      <c r="W36" t="str">
        <f t="shared" si="16"/>
        <v>&lt;Valeur name="no"&gt;35&lt;/Valeur&gt;</v>
      </c>
      <c r="X36" t="str">
        <f t="shared" si="17"/>
        <v>&lt;Valeur name="societe"&gt;1&lt;/Valeur&gt;</v>
      </c>
      <c r="Y36" t="str">
        <f t="shared" si="18"/>
        <v>&lt;Valeur name="pointer"&gt;1&lt;/Valeur&gt;</v>
      </c>
      <c r="Z36" s="15" t="str">
        <f t="shared" si="19"/>
        <v>&lt;Valeur name="datevaleur"&gt;2019/02/20&lt;/Valeur&gt;</v>
      </c>
      <c r="AA36" s="15" t="str">
        <f t="shared" si="20"/>
        <v>&lt;Valeur name="datecompta"&gt;2018/12/01&lt;/Valeur&gt;</v>
      </c>
      <c r="AB36" s="15" t="str">
        <f t="shared" si="21"/>
        <v>&lt;Valeur name="compte"&gt;116&lt;/Valeur&gt;</v>
      </c>
      <c r="AC36" s="15" t="str">
        <f t="shared" si="22"/>
        <v>&lt;Valeur name="description"&gt;E-VIR SEPA TSR Loc poste&lt;/Valeur&gt;</v>
      </c>
      <c r="AD36" s="15" t="str">
        <f t="shared" si="23"/>
        <v>&lt;Valeur name="valeur"&gt;-468&lt;/Valeur&gt;</v>
      </c>
      <c r="AE36" s="15" t="str">
        <f t="shared" si="24"/>
        <v>&lt;Valeur name="tvapct"&gt;20&lt;/Valeur&gt;</v>
      </c>
      <c r="AF36" s="15" t="str">
        <f t="shared" si="25"/>
        <v>&lt;Valeur name="tva"&gt;78&lt;/Valeur&gt;</v>
      </c>
      <c r="AG36" s="15" t="s">
        <v>873</v>
      </c>
      <c r="AH36" s="15" t="str">
        <f t="shared" si="26"/>
        <v>&lt;Insert&gt;&lt;Valeur name="no"&gt;35&lt;/Valeur&gt;&lt;Valeur name="societe"&gt;1&lt;/Valeur&gt;&lt;Valeur name="pointer"&gt;1&lt;/Valeur&gt;&lt;Valeur name="datevaleur"&gt;2019/02/20&lt;/Valeur&gt;&lt;Valeur name="datecompta"&gt;2018/12/01&lt;/Valeur&gt;&lt;Valeur name="compte"&gt;116&lt;/Valeur&gt;&lt;Valeur name="description"&gt;E-VIR SEPA TSR Loc poste&lt;/Valeur&gt;&lt;Valeur name="valeur"&gt;-468&lt;/Valeur&gt;&lt;Valeur name="tvapct"&gt;20&lt;/Valeur&gt;&lt;Valeur name="tva"&gt;78&lt;/Valeur&gt;&lt;/Insert&gt;</v>
      </c>
    </row>
    <row r="37" spans="1:34" hidden="1" x14ac:dyDescent="0.25">
      <c r="A37" s="9">
        <v>43435</v>
      </c>
      <c r="B37" s="1">
        <v>43535</v>
      </c>
      <c r="C37" t="str">
        <f>INDEX(Balance!A:A,MATCH(D37,Balance!B:B,0))</f>
        <v>Fournisseurs</v>
      </c>
      <c r="D37" t="s">
        <v>289</v>
      </c>
      <c r="E37" t="s">
        <v>97</v>
      </c>
      <c r="F37">
        <v>397.5</v>
      </c>
      <c r="H37" s="3">
        <f t="shared" si="0"/>
        <v>66.25</v>
      </c>
      <c r="K37">
        <v>36</v>
      </c>
      <c r="L37">
        <v>1</v>
      </c>
      <c r="M37">
        <v>1</v>
      </c>
      <c r="N37" s="16" t="s">
        <v>898</v>
      </c>
      <c r="O37" s="16" t="s">
        <v>876</v>
      </c>
      <c r="P37">
        <f>IFERROR(VLOOKUP(D37,tab!A:B,2,FALSE),1)</f>
        <v>57</v>
      </c>
      <c r="Q37" s="14" t="str">
        <f t="shared" si="2"/>
        <v>E-VIR SEPA Dimatex 11/2018</v>
      </c>
      <c r="R37">
        <f t="shared" si="3"/>
        <v>-397.5</v>
      </c>
      <c r="S37">
        <v>20</v>
      </c>
      <c r="T37" s="13">
        <f t="shared" si="4"/>
        <v>66.25</v>
      </c>
      <c r="V37" t="s">
        <v>872</v>
      </c>
      <c r="W37" t="str">
        <f t="shared" si="16"/>
        <v>&lt;Valeur name="no"&gt;36&lt;/Valeur&gt;</v>
      </c>
      <c r="X37" t="str">
        <f t="shared" si="17"/>
        <v>&lt;Valeur name="societe"&gt;1&lt;/Valeur&gt;</v>
      </c>
      <c r="Y37" t="str">
        <f t="shared" si="18"/>
        <v>&lt;Valeur name="pointer"&gt;1&lt;/Valeur&gt;</v>
      </c>
      <c r="Z37" s="15" t="str">
        <f t="shared" si="19"/>
        <v>&lt;Valeur name="datevaleur"&gt;2019/03/11&lt;/Valeur&gt;</v>
      </c>
      <c r="AA37" s="15" t="str">
        <f t="shared" si="20"/>
        <v>&lt;Valeur name="datecompta"&gt;2018/12/01&lt;/Valeur&gt;</v>
      </c>
      <c r="AB37" s="15" t="str">
        <f t="shared" si="21"/>
        <v>&lt;Valeur name="compte"&gt;57&lt;/Valeur&gt;</v>
      </c>
      <c r="AC37" s="15" t="str">
        <f t="shared" si="22"/>
        <v>&lt;Valeur name="description"&gt;E-VIR SEPA Dimatex 11/2018&lt;/Valeur&gt;</v>
      </c>
      <c r="AD37" s="15" t="str">
        <f t="shared" si="23"/>
        <v>&lt;Valeur name="valeur"&gt;-397.5&lt;/Valeur&gt;</v>
      </c>
      <c r="AE37" s="15" t="str">
        <f t="shared" si="24"/>
        <v>&lt;Valeur name="tvapct"&gt;20&lt;/Valeur&gt;</v>
      </c>
      <c r="AF37" s="15" t="str">
        <f t="shared" si="25"/>
        <v>&lt;Valeur name="tva"&gt;66.25&lt;/Valeur&gt;</v>
      </c>
      <c r="AG37" s="15" t="s">
        <v>873</v>
      </c>
      <c r="AH37" s="15" t="str">
        <f t="shared" si="26"/>
        <v>&lt;Insert&gt;&lt;Valeur name="no"&gt;36&lt;/Valeur&gt;&lt;Valeur name="societe"&gt;1&lt;/Valeur&gt;&lt;Valeur name="pointer"&gt;1&lt;/Valeur&gt;&lt;Valeur name="datevaleur"&gt;2019/03/11&lt;/Valeur&gt;&lt;Valeur name="datecompta"&gt;2018/12/01&lt;/Valeur&gt;&lt;Valeur name="compte"&gt;57&lt;/Valeur&gt;&lt;Valeur name="description"&gt;E-VIR SEPA Dimatex 11/2018&lt;/Valeur&gt;&lt;Valeur name="valeur"&gt;-397.5&lt;/Valeur&gt;&lt;Valeur name="tvapct"&gt;20&lt;/Valeur&gt;&lt;Valeur name="tva"&gt;66.25&lt;/Valeur&gt;&lt;/Insert&gt;</v>
      </c>
    </row>
    <row r="38" spans="1:34" hidden="1" x14ac:dyDescent="0.25">
      <c r="A38" s="9">
        <v>43435</v>
      </c>
      <c r="B38" s="1">
        <v>43535</v>
      </c>
      <c r="C38" t="str">
        <f>INDEX(Balance!A:A,MATCH(D38,Balance!B:B,0))</f>
        <v>Fournisseurs</v>
      </c>
      <c r="D38" t="s">
        <v>289</v>
      </c>
      <c r="E38" t="s">
        <v>99</v>
      </c>
      <c r="F38">
        <v>441.72</v>
      </c>
      <c r="H38" s="3">
        <f t="shared" si="0"/>
        <v>73.62</v>
      </c>
      <c r="K38">
        <v>37</v>
      </c>
      <c r="L38">
        <v>1</v>
      </c>
      <c r="M38">
        <v>1</v>
      </c>
      <c r="N38" s="16" t="s">
        <v>898</v>
      </c>
      <c r="O38" s="16" t="s">
        <v>876</v>
      </c>
      <c r="P38">
        <f>IFERROR(VLOOKUP(D38,tab!A:B,2,FALSE),1)</f>
        <v>57</v>
      </c>
      <c r="Q38" s="14" t="str">
        <f t="shared" si="2"/>
        <v>E-VIR SEPA Dimatex 10/2018</v>
      </c>
      <c r="R38">
        <f t="shared" si="3"/>
        <v>-441.72</v>
      </c>
      <c r="S38">
        <v>20</v>
      </c>
      <c r="T38" s="13">
        <f t="shared" si="4"/>
        <v>73.62</v>
      </c>
      <c r="V38" t="s">
        <v>872</v>
      </c>
      <c r="W38" t="str">
        <f t="shared" si="16"/>
        <v>&lt;Valeur name="no"&gt;37&lt;/Valeur&gt;</v>
      </c>
      <c r="X38" t="str">
        <f t="shared" si="17"/>
        <v>&lt;Valeur name="societe"&gt;1&lt;/Valeur&gt;</v>
      </c>
      <c r="Y38" t="str">
        <f t="shared" si="18"/>
        <v>&lt;Valeur name="pointer"&gt;1&lt;/Valeur&gt;</v>
      </c>
      <c r="Z38" s="15" t="str">
        <f t="shared" si="19"/>
        <v>&lt;Valeur name="datevaleur"&gt;2019/03/11&lt;/Valeur&gt;</v>
      </c>
      <c r="AA38" s="15" t="str">
        <f t="shared" si="20"/>
        <v>&lt;Valeur name="datecompta"&gt;2018/12/01&lt;/Valeur&gt;</v>
      </c>
      <c r="AB38" s="15" t="str">
        <f t="shared" si="21"/>
        <v>&lt;Valeur name="compte"&gt;57&lt;/Valeur&gt;</v>
      </c>
      <c r="AC38" s="15" t="str">
        <f t="shared" si="22"/>
        <v>&lt;Valeur name="description"&gt;E-VIR SEPA Dimatex 10/2018&lt;/Valeur&gt;</v>
      </c>
      <c r="AD38" s="15" t="str">
        <f t="shared" si="23"/>
        <v>&lt;Valeur name="valeur"&gt;-441.72&lt;/Valeur&gt;</v>
      </c>
      <c r="AE38" s="15" t="str">
        <f t="shared" si="24"/>
        <v>&lt;Valeur name="tvapct"&gt;20&lt;/Valeur&gt;</v>
      </c>
      <c r="AF38" s="15" t="str">
        <f t="shared" si="25"/>
        <v>&lt;Valeur name="tva"&gt;73.62&lt;/Valeur&gt;</v>
      </c>
      <c r="AG38" s="15" t="s">
        <v>873</v>
      </c>
      <c r="AH38" s="15" t="str">
        <f t="shared" si="26"/>
        <v>&lt;Insert&gt;&lt;Valeur name="no"&gt;37&lt;/Valeur&gt;&lt;Valeur name="societe"&gt;1&lt;/Valeur&gt;&lt;Valeur name="pointer"&gt;1&lt;/Valeur&gt;&lt;Valeur name="datevaleur"&gt;2019/03/11&lt;/Valeur&gt;&lt;Valeur name="datecompta"&gt;2018/12/01&lt;/Valeur&gt;&lt;Valeur name="compte"&gt;57&lt;/Valeur&gt;&lt;Valeur name="description"&gt;E-VIR SEPA Dimatex 10/2018&lt;/Valeur&gt;&lt;Valeur name="valeur"&gt;-441.72&lt;/Valeur&gt;&lt;Valeur name="tvapct"&gt;20&lt;/Valeur&gt;&lt;Valeur name="tva"&gt;73.62&lt;/Valeur&gt;&lt;/Insert&gt;</v>
      </c>
    </row>
    <row r="39" spans="1:34" hidden="1" x14ac:dyDescent="0.25">
      <c r="A39" s="9">
        <v>43435</v>
      </c>
      <c r="B39" s="1">
        <v>43536</v>
      </c>
      <c r="C39" t="str">
        <f>INDEX(Balance!A:A,MATCH(D39,Balance!B:B,0))</f>
        <v>Fournisseurs</v>
      </c>
      <c r="D39" t="s">
        <v>261</v>
      </c>
      <c r="E39" t="s">
        <v>83</v>
      </c>
      <c r="F39">
        <v>110.4</v>
      </c>
      <c r="H39" s="3">
        <f t="shared" si="0"/>
        <v>18.399999999999991</v>
      </c>
      <c r="K39">
        <v>38</v>
      </c>
      <c r="L39">
        <v>1</v>
      </c>
      <c r="M39">
        <v>1</v>
      </c>
      <c r="N39" s="16" t="s">
        <v>901</v>
      </c>
      <c r="O39" s="16" t="s">
        <v>876</v>
      </c>
      <c r="P39">
        <f>IFERROR(VLOOKUP(D39,tab!A:B,2,FALSE),1)</f>
        <v>53</v>
      </c>
      <c r="Q39" s="14" t="str">
        <f t="shared" si="2"/>
        <v>E-VIR SEPA Dessenne</v>
      </c>
      <c r="R39">
        <f t="shared" si="3"/>
        <v>-110.4</v>
      </c>
      <c r="S39">
        <v>20</v>
      </c>
      <c r="T39" s="13">
        <f t="shared" si="4"/>
        <v>18.399999999999991</v>
      </c>
      <c r="V39" t="s">
        <v>872</v>
      </c>
      <c r="W39" t="str">
        <f t="shared" si="16"/>
        <v>&lt;Valeur name="no"&gt;38&lt;/Valeur&gt;</v>
      </c>
      <c r="X39" t="str">
        <f t="shared" si="17"/>
        <v>&lt;Valeur name="societe"&gt;1&lt;/Valeur&gt;</v>
      </c>
      <c r="Y39" t="str">
        <f t="shared" si="18"/>
        <v>&lt;Valeur name="pointer"&gt;1&lt;/Valeur&gt;</v>
      </c>
      <c r="Z39" s="15" t="str">
        <f t="shared" si="19"/>
        <v>&lt;Valeur name="datevaleur"&gt;2019/03/12&lt;/Valeur&gt;</v>
      </c>
      <c r="AA39" s="15" t="str">
        <f t="shared" si="20"/>
        <v>&lt;Valeur name="datecompta"&gt;2018/12/01&lt;/Valeur&gt;</v>
      </c>
      <c r="AB39" s="15" t="str">
        <f t="shared" si="21"/>
        <v>&lt;Valeur name="compte"&gt;53&lt;/Valeur&gt;</v>
      </c>
      <c r="AC39" s="15" t="str">
        <f t="shared" si="22"/>
        <v>&lt;Valeur name="description"&gt;E-VIR SEPA Dessenne&lt;/Valeur&gt;</v>
      </c>
      <c r="AD39" s="15" t="str">
        <f t="shared" si="23"/>
        <v>&lt;Valeur name="valeur"&gt;-110.4&lt;/Valeur&gt;</v>
      </c>
      <c r="AE39" s="15" t="str">
        <f t="shared" si="24"/>
        <v>&lt;Valeur name="tvapct"&gt;20&lt;/Valeur&gt;</v>
      </c>
      <c r="AF39" s="15" t="str">
        <f t="shared" si="25"/>
        <v>&lt;Valeur name="tva"&gt;18.4&lt;/Valeur&gt;</v>
      </c>
      <c r="AG39" s="15" t="s">
        <v>873</v>
      </c>
      <c r="AH39" s="15" t="str">
        <f t="shared" si="26"/>
        <v>&lt;Insert&gt;&lt;Valeur name="no"&gt;38&lt;/Valeur&gt;&lt;Valeur name="societe"&gt;1&lt;/Valeur&gt;&lt;Valeur name="pointer"&gt;1&lt;/Valeur&gt;&lt;Valeur name="datevaleur"&gt;2019/03/12&lt;/Valeur&gt;&lt;Valeur name="datecompta"&gt;2018/12/01&lt;/Valeur&gt;&lt;Valeur name="compte"&gt;53&lt;/Valeur&gt;&lt;Valeur name="description"&gt;E-VIR SEPA Dessenne&lt;/Valeur&gt;&lt;Valeur name="valeur"&gt;-110.4&lt;/Valeur&gt;&lt;Valeur name="tvapct"&gt;20&lt;/Valeur&gt;&lt;Valeur name="tva"&gt;18.4&lt;/Valeur&gt;&lt;/Insert&gt;</v>
      </c>
    </row>
    <row r="40" spans="1:34" hidden="1" x14ac:dyDescent="0.25">
      <c r="A40" s="9">
        <v>43435</v>
      </c>
      <c r="B40" s="1">
        <v>43536</v>
      </c>
      <c r="C40" t="str">
        <f>INDEX(Balance!A:A,MATCH(D40,Balance!B:B,0))</f>
        <v>Fournisseurs</v>
      </c>
      <c r="D40" t="s">
        <v>261</v>
      </c>
      <c r="E40" t="s">
        <v>83</v>
      </c>
      <c r="F40">
        <v>168</v>
      </c>
      <c r="H40" s="3">
        <f t="shared" si="0"/>
        <v>28</v>
      </c>
      <c r="K40">
        <v>39</v>
      </c>
      <c r="L40">
        <v>1</v>
      </c>
      <c r="M40">
        <v>1</v>
      </c>
      <c r="N40" s="16" t="s">
        <v>901</v>
      </c>
      <c r="O40" s="16" t="s">
        <v>876</v>
      </c>
      <c r="P40">
        <f>IFERROR(VLOOKUP(D40,tab!A:B,2,FALSE),1)</f>
        <v>53</v>
      </c>
      <c r="Q40" s="14" t="str">
        <f t="shared" si="2"/>
        <v>E-VIR SEPA Dessenne</v>
      </c>
      <c r="R40">
        <f t="shared" si="3"/>
        <v>-168</v>
      </c>
      <c r="S40">
        <v>20</v>
      </c>
      <c r="T40" s="13">
        <f t="shared" si="4"/>
        <v>28</v>
      </c>
      <c r="V40" t="s">
        <v>872</v>
      </c>
      <c r="W40" t="str">
        <f t="shared" si="16"/>
        <v>&lt;Valeur name="no"&gt;39&lt;/Valeur&gt;</v>
      </c>
      <c r="X40" t="str">
        <f t="shared" si="17"/>
        <v>&lt;Valeur name="societe"&gt;1&lt;/Valeur&gt;</v>
      </c>
      <c r="Y40" t="str">
        <f t="shared" si="18"/>
        <v>&lt;Valeur name="pointer"&gt;1&lt;/Valeur&gt;</v>
      </c>
      <c r="Z40" s="15" t="str">
        <f t="shared" si="19"/>
        <v>&lt;Valeur name="datevaleur"&gt;2019/03/12&lt;/Valeur&gt;</v>
      </c>
      <c r="AA40" s="15" t="str">
        <f t="shared" si="20"/>
        <v>&lt;Valeur name="datecompta"&gt;2018/12/01&lt;/Valeur&gt;</v>
      </c>
      <c r="AB40" s="15" t="str">
        <f t="shared" si="21"/>
        <v>&lt;Valeur name="compte"&gt;53&lt;/Valeur&gt;</v>
      </c>
      <c r="AC40" s="15" t="str">
        <f t="shared" si="22"/>
        <v>&lt;Valeur name="description"&gt;E-VIR SEPA Dessenne&lt;/Valeur&gt;</v>
      </c>
      <c r="AD40" s="15" t="str">
        <f t="shared" si="23"/>
        <v>&lt;Valeur name="valeur"&gt;-168&lt;/Valeur&gt;</v>
      </c>
      <c r="AE40" s="15" t="str">
        <f t="shared" si="24"/>
        <v>&lt;Valeur name="tvapct"&gt;20&lt;/Valeur&gt;</v>
      </c>
      <c r="AF40" s="15" t="str">
        <f t="shared" si="25"/>
        <v>&lt;Valeur name="tva"&gt;28&lt;/Valeur&gt;</v>
      </c>
      <c r="AG40" s="15" t="s">
        <v>873</v>
      </c>
      <c r="AH40" s="15" t="str">
        <f t="shared" si="26"/>
        <v>&lt;Insert&gt;&lt;Valeur name="no"&gt;39&lt;/Valeur&gt;&lt;Valeur name="societe"&gt;1&lt;/Valeur&gt;&lt;Valeur name="pointer"&gt;1&lt;/Valeur&gt;&lt;Valeur name="datevaleur"&gt;2019/03/12&lt;/Valeur&gt;&lt;Valeur name="datecompta"&gt;2018/12/01&lt;/Valeur&gt;&lt;Valeur name="compte"&gt;53&lt;/Valeur&gt;&lt;Valeur name="description"&gt;E-VIR SEPA Dessenne&lt;/Valeur&gt;&lt;Valeur name="valeur"&gt;-168&lt;/Valeur&gt;&lt;Valeur name="tvapct"&gt;20&lt;/Valeur&gt;&lt;Valeur name="tva"&gt;28&lt;/Valeur&gt;&lt;/Insert&gt;</v>
      </c>
    </row>
    <row r="41" spans="1:34" hidden="1" x14ac:dyDescent="0.25">
      <c r="A41" s="9">
        <v>43435</v>
      </c>
      <c r="B41" s="1">
        <v>43536</v>
      </c>
      <c r="C41" t="str">
        <f>INDEX(Balance!A:A,MATCH(D41,Balance!B:B,0))</f>
        <v>Fournisseurs</v>
      </c>
      <c r="D41" t="s">
        <v>293</v>
      </c>
      <c r="E41" t="s">
        <v>86</v>
      </c>
      <c r="F41">
        <v>405</v>
      </c>
      <c r="H41" s="3">
        <f t="shared" si="0"/>
        <v>67.5</v>
      </c>
      <c r="K41">
        <v>40</v>
      </c>
      <c r="L41">
        <v>1</v>
      </c>
      <c r="M41">
        <v>1</v>
      </c>
      <c r="N41" s="16" t="s">
        <v>901</v>
      </c>
      <c r="O41" s="16" t="s">
        <v>876</v>
      </c>
      <c r="P41">
        <f>IFERROR(VLOOKUP(D41,tab!A:B,2,FALSE),1)</f>
        <v>118</v>
      </c>
      <c r="Q41" s="14" t="str">
        <f t="shared" si="2"/>
        <v>E-VIR SEPA Unsteel</v>
      </c>
      <c r="R41">
        <f t="shared" si="3"/>
        <v>-405</v>
      </c>
      <c r="S41">
        <v>20</v>
      </c>
      <c r="T41" s="13">
        <f t="shared" si="4"/>
        <v>67.5</v>
      </c>
      <c r="V41" t="s">
        <v>872</v>
      </c>
      <c r="W41" t="str">
        <f t="shared" si="16"/>
        <v>&lt;Valeur name="no"&gt;40&lt;/Valeur&gt;</v>
      </c>
      <c r="X41" t="str">
        <f t="shared" si="17"/>
        <v>&lt;Valeur name="societe"&gt;1&lt;/Valeur&gt;</v>
      </c>
      <c r="Y41" t="str">
        <f t="shared" si="18"/>
        <v>&lt;Valeur name="pointer"&gt;1&lt;/Valeur&gt;</v>
      </c>
      <c r="Z41" s="15" t="str">
        <f t="shared" si="19"/>
        <v>&lt;Valeur name="datevaleur"&gt;2019/03/12&lt;/Valeur&gt;</v>
      </c>
      <c r="AA41" s="15" t="str">
        <f t="shared" si="20"/>
        <v>&lt;Valeur name="datecompta"&gt;2018/12/01&lt;/Valeur&gt;</v>
      </c>
      <c r="AB41" s="15" t="str">
        <f t="shared" si="21"/>
        <v>&lt;Valeur name="compte"&gt;118&lt;/Valeur&gt;</v>
      </c>
      <c r="AC41" s="15" t="str">
        <f t="shared" si="22"/>
        <v>&lt;Valeur name="description"&gt;E-VIR SEPA Unsteel&lt;/Valeur&gt;</v>
      </c>
      <c r="AD41" s="15" t="str">
        <f t="shared" si="23"/>
        <v>&lt;Valeur name="valeur"&gt;-405&lt;/Valeur&gt;</v>
      </c>
      <c r="AE41" s="15" t="str">
        <f t="shared" si="24"/>
        <v>&lt;Valeur name="tvapct"&gt;20&lt;/Valeur&gt;</v>
      </c>
      <c r="AF41" s="15" t="str">
        <f t="shared" si="25"/>
        <v>&lt;Valeur name="tva"&gt;67.5&lt;/Valeur&gt;</v>
      </c>
      <c r="AG41" s="15" t="s">
        <v>873</v>
      </c>
      <c r="AH41" s="15" t="str">
        <f t="shared" si="26"/>
        <v>&lt;Insert&gt;&lt;Valeur name="no"&gt;40&lt;/Valeur&gt;&lt;Valeur name="societe"&gt;1&lt;/Valeur&gt;&lt;Valeur name="pointer"&gt;1&lt;/Valeur&gt;&lt;Valeur name="datevaleur"&gt;2019/03/12&lt;/Valeur&gt;&lt;Valeur name="datecompta"&gt;2018/12/01&lt;/Valeur&gt;&lt;Valeur name="compte"&gt;118&lt;/Valeur&gt;&lt;Valeur name="description"&gt;E-VIR SEPA Unsteel&lt;/Valeur&gt;&lt;Valeur name="valeur"&gt;-405&lt;/Valeur&gt;&lt;Valeur name="tvapct"&gt;20&lt;/Valeur&gt;&lt;Valeur name="tva"&gt;67.5&lt;/Valeur&gt;&lt;/Insert&gt;</v>
      </c>
    </row>
    <row r="42" spans="1:34" hidden="1" x14ac:dyDescent="0.25">
      <c r="A42" s="9">
        <v>43435</v>
      </c>
      <c r="B42" s="1">
        <v>43537</v>
      </c>
      <c r="C42" t="str">
        <f>INDEX(Balance!A:A,MATCH(D42,Balance!B:B,0))</f>
        <v>Fournisseurs</v>
      </c>
      <c r="D42" t="s">
        <v>289</v>
      </c>
      <c r="E42" t="s">
        <v>68</v>
      </c>
      <c r="F42">
        <v>2728.92</v>
      </c>
      <c r="H42" s="3">
        <f t="shared" si="0"/>
        <v>454.81999999999971</v>
      </c>
      <c r="K42">
        <v>41</v>
      </c>
      <c r="L42">
        <v>1</v>
      </c>
      <c r="M42">
        <v>1</v>
      </c>
      <c r="N42" s="16" t="s">
        <v>902</v>
      </c>
      <c r="O42" s="16" t="s">
        <v>876</v>
      </c>
      <c r="P42">
        <f>IFERROR(VLOOKUP(D42,tab!A:B,2,FALSE),1)</f>
        <v>57</v>
      </c>
      <c r="Q42" s="14" t="str">
        <f t="shared" si="2"/>
        <v>E-VIR SEPA Dimatex</v>
      </c>
      <c r="R42">
        <f t="shared" si="3"/>
        <v>-2728.92</v>
      </c>
      <c r="S42">
        <v>20</v>
      </c>
      <c r="T42" s="13">
        <f t="shared" si="4"/>
        <v>454.81999999999971</v>
      </c>
      <c r="V42" t="s">
        <v>872</v>
      </c>
      <c r="W42" t="str">
        <f t="shared" si="16"/>
        <v>&lt;Valeur name="no"&gt;41&lt;/Valeur&gt;</v>
      </c>
      <c r="X42" t="str">
        <f t="shared" si="17"/>
        <v>&lt;Valeur name="societe"&gt;1&lt;/Valeur&gt;</v>
      </c>
      <c r="Y42" t="str">
        <f t="shared" si="18"/>
        <v>&lt;Valeur name="pointer"&gt;1&lt;/Valeur&gt;</v>
      </c>
      <c r="Z42" s="15" t="str">
        <f t="shared" si="19"/>
        <v>&lt;Valeur name="datevaleur"&gt;2019/03/13&lt;/Valeur&gt;</v>
      </c>
      <c r="AA42" s="15" t="str">
        <f t="shared" si="20"/>
        <v>&lt;Valeur name="datecompta"&gt;2018/12/01&lt;/Valeur&gt;</v>
      </c>
      <c r="AB42" s="15" t="str">
        <f t="shared" si="21"/>
        <v>&lt;Valeur name="compte"&gt;57&lt;/Valeur&gt;</v>
      </c>
      <c r="AC42" s="15" t="str">
        <f t="shared" si="22"/>
        <v>&lt;Valeur name="description"&gt;E-VIR SEPA Dimatex&lt;/Valeur&gt;</v>
      </c>
      <c r="AD42" s="15" t="str">
        <f t="shared" si="23"/>
        <v>&lt;Valeur name="valeur"&gt;-2728.92&lt;/Valeur&gt;</v>
      </c>
      <c r="AE42" s="15" t="str">
        <f t="shared" si="24"/>
        <v>&lt;Valeur name="tvapct"&gt;20&lt;/Valeur&gt;</v>
      </c>
      <c r="AF42" s="15" t="str">
        <f t="shared" si="25"/>
        <v>&lt;Valeur name="tva"&gt;454.82&lt;/Valeur&gt;</v>
      </c>
      <c r="AG42" s="15" t="s">
        <v>873</v>
      </c>
      <c r="AH42" s="15" t="str">
        <f t="shared" si="26"/>
        <v>&lt;Insert&gt;&lt;Valeur name="no"&gt;41&lt;/Valeur&gt;&lt;Valeur name="societe"&gt;1&lt;/Valeur&gt;&lt;Valeur name="pointer"&gt;1&lt;/Valeur&gt;&lt;Valeur name="datevaleur"&gt;2019/03/13&lt;/Valeur&gt;&lt;Valeur name="datecompta"&gt;2018/12/01&lt;/Valeur&gt;&lt;Valeur name="compte"&gt;57&lt;/Valeur&gt;&lt;Valeur name="description"&gt;E-VIR SEPA Dimatex&lt;/Valeur&gt;&lt;Valeur name="valeur"&gt;-2728.92&lt;/Valeur&gt;&lt;Valeur name="tvapct"&gt;20&lt;/Valeur&gt;&lt;Valeur name="tva"&gt;454.82&lt;/Valeur&gt;&lt;/Insert&gt;</v>
      </c>
    </row>
    <row r="43" spans="1:34" hidden="1" x14ac:dyDescent="0.25">
      <c r="A43" s="9">
        <v>43435</v>
      </c>
      <c r="B43" s="1">
        <v>43542</v>
      </c>
      <c r="C43" t="str">
        <f>INDEX(Balance!A:A,MATCH(D43,Balance!B:B,0))</f>
        <v>Fournisseurs</v>
      </c>
      <c r="D43" t="s">
        <v>265</v>
      </c>
      <c r="E43" t="s">
        <v>40</v>
      </c>
      <c r="F43">
        <v>1488</v>
      </c>
      <c r="H43" s="3">
        <f t="shared" si="0"/>
        <v>248</v>
      </c>
      <c r="K43">
        <v>42</v>
      </c>
      <c r="L43">
        <v>1</v>
      </c>
      <c r="M43">
        <v>1</v>
      </c>
      <c r="N43" s="16" t="s">
        <v>903</v>
      </c>
      <c r="O43" s="16" t="s">
        <v>876</v>
      </c>
      <c r="P43">
        <f>IFERROR(VLOOKUP(D43,tab!A:B,2,FALSE),1)</f>
        <v>70</v>
      </c>
      <c r="Q43" s="14" t="str">
        <f t="shared" si="2"/>
        <v>E-VIR SEPA Hedon Vds + Thery</v>
      </c>
      <c r="R43">
        <f t="shared" si="3"/>
        <v>-1488</v>
      </c>
      <c r="S43">
        <v>20</v>
      </c>
      <c r="T43" s="13">
        <f t="shared" si="4"/>
        <v>248</v>
      </c>
      <c r="V43" t="s">
        <v>872</v>
      </c>
      <c r="W43" t="str">
        <f t="shared" si="16"/>
        <v>&lt;Valeur name="no"&gt;42&lt;/Valeur&gt;</v>
      </c>
      <c r="X43" t="str">
        <f t="shared" si="17"/>
        <v>&lt;Valeur name="societe"&gt;1&lt;/Valeur&gt;</v>
      </c>
      <c r="Y43" t="str">
        <f t="shared" si="18"/>
        <v>&lt;Valeur name="pointer"&gt;1&lt;/Valeur&gt;</v>
      </c>
      <c r="Z43" s="15" t="str">
        <f t="shared" si="19"/>
        <v>&lt;Valeur name="datevaleur"&gt;2019/03/18&lt;/Valeur&gt;</v>
      </c>
      <c r="AA43" s="15" t="str">
        <f t="shared" si="20"/>
        <v>&lt;Valeur name="datecompta"&gt;2018/12/01&lt;/Valeur&gt;</v>
      </c>
      <c r="AB43" s="15" t="str">
        <f t="shared" si="21"/>
        <v>&lt;Valeur name="compte"&gt;70&lt;/Valeur&gt;</v>
      </c>
      <c r="AC43" s="15" t="str">
        <f t="shared" si="22"/>
        <v>&lt;Valeur name="description"&gt;E-VIR SEPA Hedon Vds + Thery&lt;/Valeur&gt;</v>
      </c>
      <c r="AD43" s="15" t="str">
        <f t="shared" si="23"/>
        <v>&lt;Valeur name="valeur"&gt;-1488&lt;/Valeur&gt;</v>
      </c>
      <c r="AE43" s="15" t="str">
        <f t="shared" si="24"/>
        <v>&lt;Valeur name="tvapct"&gt;20&lt;/Valeur&gt;</v>
      </c>
      <c r="AF43" s="15" t="str">
        <f t="shared" si="25"/>
        <v>&lt;Valeur name="tva"&gt;248&lt;/Valeur&gt;</v>
      </c>
      <c r="AG43" s="15" t="s">
        <v>873</v>
      </c>
      <c r="AH43" s="15" t="str">
        <f t="shared" si="26"/>
        <v>&lt;Insert&gt;&lt;Valeur name="no"&gt;42&lt;/Valeur&gt;&lt;Valeur name="societe"&gt;1&lt;/Valeur&gt;&lt;Valeur name="pointer"&gt;1&lt;/Valeur&gt;&lt;Valeur name="datevaleur"&gt;2019/03/18&lt;/Valeur&gt;&lt;Valeur name="datecompta"&gt;2018/12/01&lt;/Valeur&gt;&lt;Valeur name="compte"&gt;70&lt;/Valeur&gt;&lt;Valeur name="description"&gt;E-VIR SEPA Hedon Vds + Thery&lt;/Valeur&gt;&lt;Valeur name="valeur"&gt;-1488&lt;/Valeur&gt;&lt;Valeur name="tvapct"&gt;20&lt;/Valeur&gt;&lt;Valeur name="tva"&gt;248&lt;/Valeur&gt;&lt;/Insert&gt;</v>
      </c>
    </row>
    <row r="44" spans="1:34" hidden="1" x14ac:dyDescent="0.25">
      <c r="A44" s="9">
        <v>43435</v>
      </c>
      <c r="B44" s="1">
        <v>43585</v>
      </c>
      <c r="C44" t="str">
        <f>INDEX(Balance!A:A,MATCH(D44,Balance!B:B,0))</f>
        <v>Fournisseurs</v>
      </c>
      <c r="D44" t="s">
        <v>286</v>
      </c>
      <c r="F44">
        <v>158.4</v>
      </c>
      <c r="H44" s="3">
        <f t="shared" si="0"/>
        <v>26.400000000000006</v>
      </c>
      <c r="K44">
        <v>43</v>
      </c>
      <c r="L44">
        <v>1</v>
      </c>
      <c r="M44">
        <v>1</v>
      </c>
      <c r="N44" s="16" t="s">
        <v>882</v>
      </c>
      <c r="O44" s="16" t="s">
        <v>876</v>
      </c>
      <c r="P44">
        <f>IFERROR(VLOOKUP(D44,tab!A:B,2,FALSE),1)</f>
        <v>33</v>
      </c>
      <c r="Q44" s="14" t="str">
        <f t="shared" si="2"/>
        <v/>
      </c>
      <c r="R44">
        <f t="shared" si="3"/>
        <v>-158.4</v>
      </c>
      <c r="S44">
        <v>20</v>
      </c>
      <c r="T44" s="13">
        <f t="shared" si="4"/>
        <v>26.400000000000006</v>
      </c>
      <c r="V44" t="s">
        <v>872</v>
      </c>
      <c r="W44" t="str">
        <f t="shared" si="16"/>
        <v>&lt;Valeur name="no"&gt;43&lt;/Valeur&gt;</v>
      </c>
      <c r="X44" t="str">
        <f t="shared" si="17"/>
        <v>&lt;Valeur name="societe"&gt;1&lt;/Valeur&gt;</v>
      </c>
      <c r="Y44" t="str">
        <f t="shared" si="18"/>
        <v>&lt;Valeur name="pointer"&gt;1&lt;/Valeur&gt;</v>
      </c>
      <c r="Z44" s="15" t="str">
        <f t="shared" si="19"/>
        <v>&lt;Valeur name="datevaleur"&gt;2019/04/30&lt;/Valeur&gt;</v>
      </c>
      <c r="AA44" s="15" t="str">
        <f t="shared" si="20"/>
        <v>&lt;Valeur name="datecompta"&gt;2018/12/01&lt;/Valeur&gt;</v>
      </c>
      <c r="AB44" s="15" t="str">
        <f t="shared" si="21"/>
        <v>&lt;Valeur name="compte"&gt;33&lt;/Valeur&gt;</v>
      </c>
      <c r="AC44" s="15" t="str">
        <f t="shared" si="22"/>
        <v>&lt;Valeur name="description"&gt;&lt;/Valeur&gt;</v>
      </c>
      <c r="AD44" s="15" t="str">
        <f t="shared" si="23"/>
        <v>&lt;Valeur name="valeur"&gt;-158.4&lt;/Valeur&gt;</v>
      </c>
      <c r="AE44" s="15" t="str">
        <f t="shared" si="24"/>
        <v>&lt;Valeur name="tvapct"&gt;20&lt;/Valeur&gt;</v>
      </c>
      <c r="AF44" s="15" t="str">
        <f t="shared" si="25"/>
        <v>&lt;Valeur name="tva"&gt;26.4&lt;/Valeur&gt;</v>
      </c>
      <c r="AG44" s="15" t="s">
        <v>873</v>
      </c>
      <c r="AH44" s="15" t="str">
        <f t="shared" si="26"/>
        <v>&lt;Insert&gt;&lt;Valeur name="no"&gt;43&lt;/Valeur&gt;&lt;Valeur name="societe"&gt;1&lt;/Valeur&gt;&lt;Valeur name="pointer"&gt;1&lt;/Valeur&gt;&lt;Valeur name="datevaleur"&gt;2019/04/30&lt;/Valeur&gt;&lt;Valeur name="datecompta"&gt;2018/12/01&lt;/Valeur&gt;&lt;Valeur name="compte"&gt;33&lt;/Valeur&gt;&lt;Valeur name="description"&gt;&lt;/Valeur&gt;&lt;Valeur name="valeur"&gt;-158.4&lt;/Valeur&gt;&lt;Valeur name="tvapct"&gt;20&lt;/Valeur&gt;&lt;Valeur name="tva"&gt;26.4&lt;/Valeur&gt;&lt;/Insert&gt;</v>
      </c>
    </row>
    <row r="45" spans="1:34" hidden="1" x14ac:dyDescent="0.25">
      <c r="A45" s="9">
        <v>43435</v>
      </c>
      <c r="B45" s="1">
        <v>43585</v>
      </c>
      <c r="C45" t="str">
        <f>INDEX(Balance!A:A,MATCH(D45,Balance!B:B,0))</f>
        <v>Fournisseurs</v>
      </c>
      <c r="D45" t="s">
        <v>261</v>
      </c>
      <c r="F45">
        <v>4680</v>
      </c>
      <c r="H45" s="3">
        <f t="shared" si="0"/>
        <v>780</v>
      </c>
      <c r="K45">
        <v>44</v>
      </c>
      <c r="L45">
        <v>1</v>
      </c>
      <c r="M45">
        <v>1</v>
      </c>
      <c r="N45" s="16" t="s">
        <v>882</v>
      </c>
      <c r="O45" s="16" t="s">
        <v>876</v>
      </c>
      <c r="P45">
        <f>IFERROR(VLOOKUP(D45,tab!A:B,2,FALSE),1)</f>
        <v>53</v>
      </c>
      <c r="Q45" s="14" t="str">
        <f t="shared" si="2"/>
        <v/>
      </c>
      <c r="R45">
        <f t="shared" si="3"/>
        <v>-4680</v>
      </c>
      <c r="S45">
        <v>20</v>
      </c>
      <c r="T45" s="13">
        <f t="shared" si="4"/>
        <v>780</v>
      </c>
      <c r="V45" t="s">
        <v>872</v>
      </c>
      <c r="W45" t="str">
        <f t="shared" si="16"/>
        <v>&lt;Valeur name="no"&gt;44&lt;/Valeur&gt;</v>
      </c>
      <c r="X45" t="str">
        <f t="shared" si="17"/>
        <v>&lt;Valeur name="societe"&gt;1&lt;/Valeur&gt;</v>
      </c>
      <c r="Y45" t="str">
        <f t="shared" si="18"/>
        <v>&lt;Valeur name="pointer"&gt;1&lt;/Valeur&gt;</v>
      </c>
      <c r="Z45" s="15" t="str">
        <f t="shared" si="19"/>
        <v>&lt;Valeur name="datevaleur"&gt;2019/04/30&lt;/Valeur&gt;</v>
      </c>
      <c r="AA45" s="15" t="str">
        <f t="shared" si="20"/>
        <v>&lt;Valeur name="datecompta"&gt;2018/12/01&lt;/Valeur&gt;</v>
      </c>
      <c r="AB45" s="15" t="str">
        <f t="shared" si="21"/>
        <v>&lt;Valeur name="compte"&gt;53&lt;/Valeur&gt;</v>
      </c>
      <c r="AC45" s="15" t="str">
        <f t="shared" si="22"/>
        <v>&lt;Valeur name="description"&gt;&lt;/Valeur&gt;</v>
      </c>
      <c r="AD45" s="15" t="str">
        <f t="shared" si="23"/>
        <v>&lt;Valeur name="valeur"&gt;-4680&lt;/Valeur&gt;</v>
      </c>
      <c r="AE45" s="15" t="str">
        <f t="shared" si="24"/>
        <v>&lt;Valeur name="tvapct"&gt;20&lt;/Valeur&gt;</v>
      </c>
      <c r="AF45" s="15" t="str">
        <f t="shared" si="25"/>
        <v>&lt;Valeur name="tva"&gt;780&lt;/Valeur&gt;</v>
      </c>
      <c r="AG45" s="15" t="s">
        <v>873</v>
      </c>
      <c r="AH45" s="15" t="str">
        <f t="shared" si="26"/>
        <v>&lt;Insert&gt;&lt;Valeur name="no"&gt;44&lt;/Valeur&gt;&lt;Valeur name="societe"&gt;1&lt;/Valeur&gt;&lt;Valeur name="pointer"&gt;1&lt;/Valeur&gt;&lt;Valeur name="datevaleur"&gt;2019/04/30&lt;/Valeur&gt;&lt;Valeur name="datecompta"&gt;2018/12/01&lt;/Valeur&gt;&lt;Valeur name="compte"&gt;53&lt;/Valeur&gt;&lt;Valeur name="description"&gt;&lt;/Valeur&gt;&lt;Valeur name="valeur"&gt;-4680&lt;/Valeur&gt;&lt;Valeur name="tvapct"&gt;20&lt;/Valeur&gt;&lt;Valeur name="tva"&gt;780&lt;/Valeur&gt;&lt;/Insert&gt;</v>
      </c>
    </row>
    <row r="46" spans="1:34" hidden="1" x14ac:dyDescent="0.25">
      <c r="A46" s="9">
        <v>43466</v>
      </c>
      <c r="B46" s="1">
        <v>43511</v>
      </c>
      <c r="C46" t="str">
        <f>INDEX(Balance!A:A,MATCH(D46,Balance!B:B,0))</f>
        <v>Fournisseurs</v>
      </c>
      <c r="D46" t="s">
        <v>262</v>
      </c>
      <c r="F46">
        <v>4249.74</v>
      </c>
      <c r="H46" s="3">
        <f t="shared" si="0"/>
        <v>708.29</v>
      </c>
      <c r="K46">
        <v>45</v>
      </c>
      <c r="L46">
        <v>1</v>
      </c>
      <c r="M46">
        <v>1</v>
      </c>
      <c r="N46" s="16" t="s">
        <v>904</v>
      </c>
      <c r="O46" s="16" t="s">
        <v>885</v>
      </c>
      <c r="P46">
        <f>IFERROR(VLOOKUP(D46,tab!A:B,2,FALSE),1)</f>
        <v>65</v>
      </c>
      <c r="Q46" s="14" t="str">
        <f t="shared" si="2"/>
        <v/>
      </c>
      <c r="R46">
        <f t="shared" si="3"/>
        <v>-4249.74</v>
      </c>
      <c r="S46">
        <v>20</v>
      </c>
      <c r="T46" s="13">
        <f t="shared" si="4"/>
        <v>708.29</v>
      </c>
      <c r="V46" t="s">
        <v>872</v>
      </c>
      <c r="W46" t="str">
        <f t="shared" si="16"/>
        <v>&lt;Valeur name="no"&gt;45&lt;/Valeur&gt;</v>
      </c>
      <c r="X46" t="str">
        <f t="shared" si="17"/>
        <v>&lt;Valeur name="societe"&gt;1&lt;/Valeur&gt;</v>
      </c>
      <c r="Y46" t="str">
        <f t="shared" si="18"/>
        <v>&lt;Valeur name="pointer"&gt;1&lt;/Valeur&gt;</v>
      </c>
      <c r="Z46" s="15" t="str">
        <f t="shared" si="19"/>
        <v>&lt;Valeur name="datevaleur"&gt;2019/02/15&lt;/Valeur&gt;</v>
      </c>
      <c r="AA46" s="15" t="str">
        <f t="shared" si="20"/>
        <v>&lt;Valeur name="datecompta"&gt;2019/01/01&lt;/Valeur&gt;</v>
      </c>
      <c r="AB46" s="15" t="str">
        <f t="shared" si="21"/>
        <v>&lt;Valeur name="compte"&gt;65&lt;/Valeur&gt;</v>
      </c>
      <c r="AC46" s="15" t="str">
        <f t="shared" si="22"/>
        <v>&lt;Valeur name="description"&gt;&lt;/Valeur&gt;</v>
      </c>
      <c r="AD46" s="15" t="str">
        <f t="shared" si="23"/>
        <v>&lt;Valeur name="valeur"&gt;-4249.74&lt;/Valeur&gt;</v>
      </c>
      <c r="AE46" s="15" t="str">
        <f t="shared" si="24"/>
        <v>&lt;Valeur name="tvapct"&gt;20&lt;/Valeur&gt;</v>
      </c>
      <c r="AF46" s="15" t="str">
        <f t="shared" si="25"/>
        <v>&lt;Valeur name="tva"&gt;708.29&lt;/Valeur&gt;</v>
      </c>
      <c r="AG46" s="15" t="s">
        <v>873</v>
      </c>
      <c r="AH46" s="15" t="str">
        <f t="shared" si="26"/>
        <v>&lt;Insert&gt;&lt;Valeur name="no"&gt;45&lt;/Valeur&gt;&lt;Valeur name="societe"&gt;1&lt;/Valeur&gt;&lt;Valeur name="pointer"&gt;1&lt;/Valeur&gt;&lt;Valeur name="datevaleur"&gt;2019/02/15&lt;/Valeur&gt;&lt;Valeur name="datecompta"&gt;2019/01/01&lt;/Valeur&gt;&lt;Valeur name="compte"&gt;65&lt;/Valeur&gt;&lt;Valeur name="description"&gt;&lt;/Valeur&gt;&lt;Valeur name="valeur"&gt;-4249.74&lt;/Valeur&gt;&lt;Valeur name="tvapct"&gt;20&lt;/Valeur&gt;&lt;Valeur name="tva"&gt;708.29&lt;/Valeur&gt;&lt;/Insert&gt;</v>
      </c>
    </row>
    <row r="47" spans="1:34" hidden="1" x14ac:dyDescent="0.25">
      <c r="A47" s="9">
        <v>43466</v>
      </c>
      <c r="B47" s="1">
        <v>43514</v>
      </c>
      <c r="C47" t="str">
        <f>INDEX(Balance!A:A,MATCH(D47,Balance!B:B,0))</f>
        <v>Fournisseurs</v>
      </c>
      <c r="D47" t="s">
        <v>277</v>
      </c>
      <c r="F47">
        <v>816.83</v>
      </c>
      <c r="H47" s="3">
        <f t="shared" si="0"/>
        <v>136.13833333333332</v>
      </c>
      <c r="K47">
        <v>46</v>
      </c>
      <c r="L47">
        <v>1</v>
      </c>
      <c r="M47">
        <v>1</v>
      </c>
      <c r="N47" s="16" t="s">
        <v>878</v>
      </c>
      <c r="O47" s="16" t="s">
        <v>885</v>
      </c>
      <c r="P47">
        <f>IFERROR(VLOOKUP(D47,tab!A:B,2,FALSE),1)</f>
        <v>62</v>
      </c>
      <c r="Q47" s="14" t="str">
        <f t="shared" si="2"/>
        <v/>
      </c>
      <c r="R47">
        <f t="shared" si="3"/>
        <v>-816.83</v>
      </c>
      <c r="S47">
        <v>20</v>
      </c>
      <c r="T47" s="13">
        <f t="shared" si="4"/>
        <v>136.13833333333332</v>
      </c>
      <c r="V47" t="s">
        <v>872</v>
      </c>
      <c r="W47" t="str">
        <f t="shared" si="16"/>
        <v>&lt;Valeur name="no"&gt;46&lt;/Valeur&gt;</v>
      </c>
      <c r="X47" t="str">
        <f t="shared" si="17"/>
        <v>&lt;Valeur name="societe"&gt;1&lt;/Valeur&gt;</v>
      </c>
      <c r="Y47" t="str">
        <f t="shared" si="18"/>
        <v>&lt;Valeur name="pointer"&gt;1&lt;/Valeur&gt;</v>
      </c>
      <c r="Z47" s="15" t="str">
        <f t="shared" si="19"/>
        <v>&lt;Valeur name="datevaleur"&gt;2019/02/18&lt;/Valeur&gt;</v>
      </c>
      <c r="AA47" s="15" t="str">
        <f t="shared" si="20"/>
        <v>&lt;Valeur name="datecompta"&gt;2019/01/01&lt;/Valeur&gt;</v>
      </c>
      <c r="AB47" s="15" t="str">
        <f t="shared" si="21"/>
        <v>&lt;Valeur name="compte"&gt;62&lt;/Valeur&gt;</v>
      </c>
      <c r="AC47" s="15" t="str">
        <f t="shared" si="22"/>
        <v>&lt;Valeur name="description"&gt;&lt;/Valeur&gt;</v>
      </c>
      <c r="AD47" s="15" t="str">
        <f t="shared" si="23"/>
        <v>&lt;Valeur name="valeur"&gt;-816.83&lt;/Valeur&gt;</v>
      </c>
      <c r="AE47" s="15" t="str">
        <f t="shared" si="24"/>
        <v>&lt;Valeur name="tvapct"&gt;20&lt;/Valeur&gt;</v>
      </c>
      <c r="AF47" s="15" t="str">
        <f t="shared" si="25"/>
        <v>&lt;Valeur name="tva"&gt;136.138333333333&lt;/Valeur&gt;</v>
      </c>
      <c r="AG47" s="15" t="s">
        <v>873</v>
      </c>
      <c r="AH47" s="15" t="str">
        <f t="shared" si="26"/>
        <v>&lt;Insert&gt;&lt;Valeur name="no"&gt;46&lt;/Valeur&gt;&lt;Valeur name="societe"&gt;1&lt;/Valeur&gt;&lt;Valeur name="pointer"&gt;1&lt;/Valeur&gt;&lt;Valeur name="datevaleur"&gt;2019/02/18&lt;/Valeur&gt;&lt;Valeur name="datecompta"&gt;2019/01/01&lt;/Valeur&gt;&lt;Valeur name="compte"&gt;62&lt;/Valeur&gt;&lt;Valeur name="description"&gt;&lt;/Valeur&gt;&lt;Valeur name="valeur"&gt;-816.83&lt;/Valeur&gt;&lt;Valeur name="tvapct"&gt;20&lt;/Valeur&gt;&lt;Valeur name="tva"&gt;136.138333333333&lt;/Valeur&gt;&lt;/Insert&gt;</v>
      </c>
    </row>
    <row r="48" spans="1:34" hidden="1" x14ac:dyDescent="0.25">
      <c r="A48" s="9">
        <v>43466</v>
      </c>
      <c r="B48" s="1">
        <v>43524</v>
      </c>
      <c r="C48" t="str">
        <f>INDEX(Balance!A:A,MATCH(D48,Balance!B:B,0))</f>
        <v>Fournisseurs</v>
      </c>
      <c r="D48" t="s">
        <v>276</v>
      </c>
      <c r="F48">
        <v>429.54</v>
      </c>
      <c r="H48" s="3">
        <f t="shared" si="0"/>
        <v>71.589999999999975</v>
      </c>
      <c r="K48">
        <v>47</v>
      </c>
      <c r="L48">
        <v>1</v>
      </c>
      <c r="M48">
        <v>1</v>
      </c>
      <c r="N48" s="16" t="s">
        <v>889</v>
      </c>
      <c r="O48" s="16" t="s">
        <v>885</v>
      </c>
      <c r="P48">
        <f>IFERROR(VLOOKUP(D48,tab!A:B,2,FALSE),1)</f>
        <v>114</v>
      </c>
      <c r="Q48" s="14" t="str">
        <f t="shared" si="2"/>
        <v/>
      </c>
      <c r="R48">
        <f t="shared" si="3"/>
        <v>-429.54</v>
      </c>
      <c r="S48">
        <v>20</v>
      </c>
      <c r="T48" s="13">
        <f t="shared" si="4"/>
        <v>71.589999999999975</v>
      </c>
      <c r="V48" t="s">
        <v>872</v>
      </c>
      <c r="W48" t="str">
        <f t="shared" si="16"/>
        <v>&lt;Valeur name="no"&gt;47&lt;/Valeur&gt;</v>
      </c>
      <c r="X48" t="str">
        <f t="shared" si="17"/>
        <v>&lt;Valeur name="societe"&gt;1&lt;/Valeur&gt;</v>
      </c>
      <c r="Y48" t="str">
        <f t="shared" si="18"/>
        <v>&lt;Valeur name="pointer"&gt;1&lt;/Valeur&gt;</v>
      </c>
      <c r="Z48" s="15" t="str">
        <f t="shared" si="19"/>
        <v>&lt;Valeur name="datevaleur"&gt;2019/02/28&lt;/Valeur&gt;</v>
      </c>
      <c r="AA48" s="15" t="str">
        <f t="shared" si="20"/>
        <v>&lt;Valeur name="datecompta"&gt;2019/01/01&lt;/Valeur&gt;</v>
      </c>
      <c r="AB48" s="15" t="str">
        <f t="shared" si="21"/>
        <v>&lt;Valeur name="compte"&gt;114&lt;/Valeur&gt;</v>
      </c>
      <c r="AC48" s="15" t="str">
        <f t="shared" si="22"/>
        <v>&lt;Valeur name="description"&gt;&lt;/Valeur&gt;</v>
      </c>
      <c r="AD48" s="15" t="str">
        <f t="shared" si="23"/>
        <v>&lt;Valeur name="valeur"&gt;-429.54&lt;/Valeur&gt;</v>
      </c>
      <c r="AE48" s="15" t="str">
        <f t="shared" si="24"/>
        <v>&lt;Valeur name="tvapct"&gt;20&lt;/Valeur&gt;</v>
      </c>
      <c r="AF48" s="15" t="str">
        <f t="shared" si="25"/>
        <v>&lt;Valeur name="tva"&gt;71.59&lt;/Valeur&gt;</v>
      </c>
      <c r="AG48" s="15" t="s">
        <v>873</v>
      </c>
      <c r="AH48" s="15" t="str">
        <f t="shared" si="26"/>
        <v>&lt;Insert&gt;&lt;Valeur name="no"&gt;47&lt;/Valeur&gt;&lt;Valeur name="societe"&gt;1&lt;/Valeur&gt;&lt;Valeur name="pointer"&gt;1&lt;/Valeur&gt;&lt;Valeur name="datevaleur"&gt;2019/02/28&lt;/Valeur&gt;&lt;Valeur name="datecompta"&gt;2019/01/01&lt;/Valeur&gt;&lt;Valeur name="compte"&gt;114&lt;/Valeur&gt;&lt;Valeur name="description"&gt;&lt;/Valeur&gt;&lt;Valeur name="valeur"&gt;-429.54&lt;/Valeur&gt;&lt;Valeur name="tvapct"&gt;20&lt;/Valeur&gt;&lt;Valeur name="tva"&gt;71.59&lt;/Valeur&gt;&lt;/Insert&gt;</v>
      </c>
    </row>
    <row r="49" spans="1:34" hidden="1" x14ac:dyDescent="0.25">
      <c r="A49" s="9">
        <v>43466</v>
      </c>
      <c r="B49" s="1">
        <v>43524</v>
      </c>
      <c r="C49" t="str">
        <f>INDEX(Balance!A:A,MATCH(D49,Balance!B:B,0))</f>
        <v>Fournisseurs</v>
      </c>
      <c r="D49" t="s">
        <v>286</v>
      </c>
      <c r="F49">
        <v>444</v>
      </c>
      <c r="H49" s="3">
        <f t="shared" si="0"/>
        <v>74</v>
      </c>
      <c r="K49">
        <v>48</v>
      </c>
      <c r="L49">
        <v>1</v>
      </c>
      <c r="M49">
        <v>1</v>
      </c>
      <c r="N49" s="16" t="s">
        <v>889</v>
      </c>
      <c r="O49" s="16" t="s">
        <v>885</v>
      </c>
      <c r="P49">
        <f>IFERROR(VLOOKUP(D49,tab!A:B,2,FALSE),1)</f>
        <v>33</v>
      </c>
      <c r="Q49" s="14" t="str">
        <f t="shared" si="2"/>
        <v/>
      </c>
      <c r="R49">
        <f t="shared" si="3"/>
        <v>-444</v>
      </c>
      <c r="S49">
        <v>20</v>
      </c>
      <c r="T49" s="13">
        <f t="shared" si="4"/>
        <v>74</v>
      </c>
      <c r="V49" t="s">
        <v>872</v>
      </c>
      <c r="W49" t="str">
        <f t="shared" si="16"/>
        <v>&lt;Valeur name="no"&gt;48&lt;/Valeur&gt;</v>
      </c>
      <c r="X49" t="str">
        <f t="shared" si="17"/>
        <v>&lt;Valeur name="societe"&gt;1&lt;/Valeur&gt;</v>
      </c>
      <c r="Y49" t="str">
        <f t="shared" si="18"/>
        <v>&lt;Valeur name="pointer"&gt;1&lt;/Valeur&gt;</v>
      </c>
      <c r="Z49" s="15" t="str">
        <f t="shared" si="19"/>
        <v>&lt;Valeur name="datevaleur"&gt;2019/02/28&lt;/Valeur&gt;</v>
      </c>
      <c r="AA49" s="15" t="str">
        <f t="shared" si="20"/>
        <v>&lt;Valeur name="datecompta"&gt;2019/01/01&lt;/Valeur&gt;</v>
      </c>
      <c r="AB49" s="15" t="str">
        <f t="shared" si="21"/>
        <v>&lt;Valeur name="compte"&gt;33&lt;/Valeur&gt;</v>
      </c>
      <c r="AC49" s="15" t="str">
        <f t="shared" si="22"/>
        <v>&lt;Valeur name="description"&gt;&lt;/Valeur&gt;</v>
      </c>
      <c r="AD49" s="15" t="str">
        <f t="shared" si="23"/>
        <v>&lt;Valeur name="valeur"&gt;-444&lt;/Valeur&gt;</v>
      </c>
      <c r="AE49" s="15" t="str">
        <f t="shared" si="24"/>
        <v>&lt;Valeur name="tvapct"&gt;20&lt;/Valeur&gt;</v>
      </c>
      <c r="AF49" s="15" t="str">
        <f t="shared" si="25"/>
        <v>&lt;Valeur name="tva"&gt;74&lt;/Valeur&gt;</v>
      </c>
      <c r="AG49" s="15" t="s">
        <v>873</v>
      </c>
      <c r="AH49" s="15" t="str">
        <f t="shared" si="26"/>
        <v>&lt;Insert&gt;&lt;Valeur name="no"&gt;48&lt;/Valeur&gt;&lt;Valeur name="societe"&gt;1&lt;/Valeur&gt;&lt;Valeur name="pointer"&gt;1&lt;/Valeur&gt;&lt;Valeur name="datevaleur"&gt;2019/02/28&lt;/Valeur&gt;&lt;Valeur name="datecompta"&gt;2019/01/01&lt;/Valeur&gt;&lt;Valeur name="compte"&gt;33&lt;/Valeur&gt;&lt;Valeur name="description"&gt;&lt;/Valeur&gt;&lt;Valeur name="valeur"&gt;-444&lt;/Valeur&gt;&lt;Valeur name="tvapct"&gt;20&lt;/Valeur&gt;&lt;Valeur name="tva"&gt;74&lt;/Valeur&gt;&lt;/Insert&gt;</v>
      </c>
    </row>
    <row r="50" spans="1:34" hidden="1" x14ac:dyDescent="0.25">
      <c r="A50" s="9">
        <v>43466</v>
      </c>
      <c r="B50" s="1">
        <v>43524</v>
      </c>
      <c r="C50" t="str">
        <f>INDEX(Balance!A:A,MATCH(D50,Balance!B:B,0))</f>
        <v>Fournisseurs</v>
      </c>
      <c r="D50" t="s">
        <v>274</v>
      </c>
      <c r="F50">
        <v>455.24</v>
      </c>
      <c r="H50" s="3">
        <f t="shared" si="0"/>
        <v>75.873333333333335</v>
      </c>
      <c r="K50">
        <v>49</v>
      </c>
      <c r="L50">
        <v>1</v>
      </c>
      <c r="M50">
        <v>1</v>
      </c>
      <c r="N50" s="16" t="s">
        <v>889</v>
      </c>
      <c r="O50" s="16" t="s">
        <v>885</v>
      </c>
      <c r="P50">
        <f>IFERROR(VLOOKUP(D50,tab!A:B,2,FALSE),1)</f>
        <v>63</v>
      </c>
      <c r="Q50" s="14" t="str">
        <f t="shared" si="2"/>
        <v/>
      </c>
      <c r="R50">
        <f t="shared" si="3"/>
        <v>-455.24</v>
      </c>
      <c r="S50">
        <v>20</v>
      </c>
      <c r="T50" s="13">
        <f t="shared" si="4"/>
        <v>75.873333333333335</v>
      </c>
      <c r="V50" t="s">
        <v>872</v>
      </c>
      <c r="W50" t="str">
        <f t="shared" si="16"/>
        <v>&lt;Valeur name="no"&gt;49&lt;/Valeur&gt;</v>
      </c>
      <c r="X50" t="str">
        <f t="shared" si="17"/>
        <v>&lt;Valeur name="societe"&gt;1&lt;/Valeur&gt;</v>
      </c>
      <c r="Y50" t="str">
        <f t="shared" si="18"/>
        <v>&lt;Valeur name="pointer"&gt;1&lt;/Valeur&gt;</v>
      </c>
      <c r="Z50" s="15" t="str">
        <f t="shared" si="19"/>
        <v>&lt;Valeur name="datevaleur"&gt;2019/02/28&lt;/Valeur&gt;</v>
      </c>
      <c r="AA50" s="15" t="str">
        <f t="shared" si="20"/>
        <v>&lt;Valeur name="datecompta"&gt;2019/01/01&lt;/Valeur&gt;</v>
      </c>
      <c r="AB50" s="15" t="str">
        <f t="shared" si="21"/>
        <v>&lt;Valeur name="compte"&gt;63&lt;/Valeur&gt;</v>
      </c>
      <c r="AC50" s="15" t="str">
        <f t="shared" si="22"/>
        <v>&lt;Valeur name="description"&gt;&lt;/Valeur&gt;</v>
      </c>
      <c r="AD50" s="15" t="str">
        <f t="shared" si="23"/>
        <v>&lt;Valeur name="valeur"&gt;-455.24&lt;/Valeur&gt;</v>
      </c>
      <c r="AE50" s="15" t="str">
        <f t="shared" si="24"/>
        <v>&lt;Valeur name="tvapct"&gt;20&lt;/Valeur&gt;</v>
      </c>
      <c r="AF50" s="15" t="str">
        <f t="shared" si="25"/>
        <v>&lt;Valeur name="tva"&gt;75.8733333333333&lt;/Valeur&gt;</v>
      </c>
      <c r="AG50" s="15" t="s">
        <v>873</v>
      </c>
      <c r="AH50" s="15" t="str">
        <f t="shared" si="26"/>
        <v>&lt;Insert&gt;&lt;Valeur name="no"&gt;49&lt;/Valeur&gt;&lt;Valeur name="societe"&gt;1&lt;/Valeur&gt;&lt;Valeur name="pointer"&gt;1&lt;/Valeur&gt;&lt;Valeur name="datevaleur"&gt;2019/02/28&lt;/Valeur&gt;&lt;Valeur name="datecompta"&gt;2019/01/01&lt;/Valeur&gt;&lt;Valeur name="compte"&gt;63&lt;/Valeur&gt;&lt;Valeur name="description"&gt;&lt;/Valeur&gt;&lt;Valeur name="valeur"&gt;-455.24&lt;/Valeur&gt;&lt;Valeur name="tvapct"&gt;20&lt;/Valeur&gt;&lt;Valeur name="tva"&gt;75.8733333333333&lt;/Valeur&gt;&lt;/Insert&gt;</v>
      </c>
    </row>
    <row r="51" spans="1:34" hidden="1" x14ac:dyDescent="0.25">
      <c r="A51" s="9">
        <v>43466</v>
      </c>
      <c r="B51" s="1">
        <v>43524</v>
      </c>
      <c r="C51" t="str">
        <f>INDEX(Balance!A:A,MATCH(D51,Balance!B:B,0))</f>
        <v>Fournisseurs</v>
      </c>
      <c r="D51" t="s">
        <v>259</v>
      </c>
      <c r="F51">
        <v>1936.09</v>
      </c>
      <c r="H51" s="3">
        <f t="shared" si="0"/>
        <v>322.68166666666662</v>
      </c>
      <c r="K51">
        <v>50</v>
      </c>
      <c r="L51">
        <v>1</v>
      </c>
      <c r="M51">
        <v>1</v>
      </c>
      <c r="N51" s="16" t="s">
        <v>889</v>
      </c>
      <c r="O51" s="16" t="s">
        <v>885</v>
      </c>
      <c r="P51">
        <f>IFERROR(VLOOKUP(D51,tab!A:B,2,FALSE),1)</f>
        <v>72</v>
      </c>
      <c r="Q51" s="14" t="str">
        <f t="shared" si="2"/>
        <v/>
      </c>
      <c r="R51">
        <f t="shared" si="3"/>
        <v>-1936.09</v>
      </c>
      <c r="S51">
        <v>20</v>
      </c>
      <c r="T51" s="13">
        <f t="shared" si="4"/>
        <v>322.68166666666662</v>
      </c>
      <c r="V51" t="s">
        <v>872</v>
      </c>
      <c r="W51" t="str">
        <f t="shared" si="16"/>
        <v>&lt;Valeur name="no"&gt;50&lt;/Valeur&gt;</v>
      </c>
      <c r="X51" t="str">
        <f t="shared" si="17"/>
        <v>&lt;Valeur name="societe"&gt;1&lt;/Valeur&gt;</v>
      </c>
      <c r="Y51" t="str">
        <f t="shared" si="18"/>
        <v>&lt;Valeur name="pointer"&gt;1&lt;/Valeur&gt;</v>
      </c>
      <c r="Z51" s="15" t="str">
        <f t="shared" si="19"/>
        <v>&lt;Valeur name="datevaleur"&gt;2019/02/28&lt;/Valeur&gt;</v>
      </c>
      <c r="AA51" s="15" t="str">
        <f t="shared" si="20"/>
        <v>&lt;Valeur name="datecompta"&gt;2019/01/01&lt;/Valeur&gt;</v>
      </c>
      <c r="AB51" s="15" t="str">
        <f t="shared" si="21"/>
        <v>&lt;Valeur name="compte"&gt;72&lt;/Valeur&gt;</v>
      </c>
      <c r="AC51" s="15" t="str">
        <f t="shared" si="22"/>
        <v>&lt;Valeur name="description"&gt;&lt;/Valeur&gt;</v>
      </c>
      <c r="AD51" s="15" t="str">
        <f t="shared" si="23"/>
        <v>&lt;Valeur name="valeur"&gt;-1936.09&lt;/Valeur&gt;</v>
      </c>
      <c r="AE51" s="15" t="str">
        <f t="shared" si="24"/>
        <v>&lt;Valeur name="tvapct"&gt;20&lt;/Valeur&gt;</v>
      </c>
      <c r="AF51" s="15" t="str">
        <f t="shared" si="25"/>
        <v>&lt;Valeur name="tva"&gt;322.681666666667&lt;/Valeur&gt;</v>
      </c>
      <c r="AG51" s="15" t="s">
        <v>873</v>
      </c>
      <c r="AH51" s="15" t="str">
        <f t="shared" si="26"/>
        <v>&lt;Insert&gt;&lt;Valeur name="no"&gt;50&lt;/Valeur&gt;&lt;Valeur name="societe"&gt;1&lt;/Valeur&gt;&lt;Valeur name="pointer"&gt;1&lt;/Valeur&gt;&lt;Valeur name="datevaleur"&gt;2019/02/28&lt;/Valeur&gt;&lt;Valeur name="datecompta"&gt;2019/01/01&lt;/Valeur&gt;&lt;Valeur name="compte"&gt;72&lt;/Valeur&gt;&lt;Valeur name="description"&gt;&lt;/Valeur&gt;&lt;Valeur name="valeur"&gt;-1936.09&lt;/Valeur&gt;&lt;Valeur name="tvapct"&gt;20&lt;/Valeur&gt;&lt;Valeur name="tva"&gt;322.681666666667&lt;/Valeur&gt;&lt;/Insert&gt;</v>
      </c>
    </row>
    <row r="52" spans="1:34" hidden="1" x14ac:dyDescent="0.25">
      <c r="A52" s="9">
        <v>43466</v>
      </c>
      <c r="B52" s="1">
        <v>43535</v>
      </c>
      <c r="C52" t="str">
        <f>INDEX(Balance!A:A,MATCH(D52,Balance!B:B,0))</f>
        <v>Fournisseurs</v>
      </c>
      <c r="D52" t="s">
        <v>288</v>
      </c>
      <c r="F52">
        <v>260.35000000000002</v>
      </c>
      <c r="H52" s="3">
        <f t="shared" si="0"/>
        <v>43.391666666666652</v>
      </c>
      <c r="K52">
        <v>51</v>
      </c>
      <c r="L52">
        <v>1</v>
      </c>
      <c r="M52">
        <v>1</v>
      </c>
      <c r="N52" s="16" t="s">
        <v>898</v>
      </c>
      <c r="O52" s="16" t="s">
        <v>885</v>
      </c>
      <c r="P52">
        <f>IFERROR(VLOOKUP(D52,tab!A:B,2,FALSE),1)</f>
        <v>120</v>
      </c>
      <c r="Q52" s="14" t="str">
        <f t="shared" si="2"/>
        <v/>
      </c>
      <c r="R52">
        <f t="shared" si="3"/>
        <v>-260.35000000000002</v>
      </c>
      <c r="S52">
        <v>20</v>
      </c>
      <c r="T52" s="13">
        <f t="shared" si="4"/>
        <v>43.391666666666652</v>
      </c>
      <c r="V52" t="s">
        <v>872</v>
      </c>
      <c r="W52" t="str">
        <f t="shared" si="16"/>
        <v>&lt;Valeur name="no"&gt;51&lt;/Valeur&gt;</v>
      </c>
      <c r="X52" t="str">
        <f t="shared" si="17"/>
        <v>&lt;Valeur name="societe"&gt;1&lt;/Valeur&gt;</v>
      </c>
      <c r="Y52" t="str">
        <f t="shared" si="18"/>
        <v>&lt;Valeur name="pointer"&gt;1&lt;/Valeur&gt;</v>
      </c>
      <c r="Z52" s="15" t="str">
        <f t="shared" si="19"/>
        <v>&lt;Valeur name="datevaleur"&gt;2019/03/11&lt;/Valeur&gt;</v>
      </c>
      <c r="AA52" s="15" t="str">
        <f t="shared" si="20"/>
        <v>&lt;Valeur name="datecompta"&gt;2019/01/01&lt;/Valeur&gt;</v>
      </c>
      <c r="AB52" s="15" t="str">
        <f t="shared" si="21"/>
        <v>&lt;Valeur name="compte"&gt;120&lt;/Valeur&gt;</v>
      </c>
      <c r="AC52" s="15" t="str">
        <f t="shared" si="22"/>
        <v>&lt;Valeur name="description"&gt;&lt;/Valeur&gt;</v>
      </c>
      <c r="AD52" s="15" t="str">
        <f t="shared" si="23"/>
        <v>&lt;Valeur name="valeur"&gt;-260.35&lt;/Valeur&gt;</v>
      </c>
      <c r="AE52" s="15" t="str">
        <f t="shared" si="24"/>
        <v>&lt;Valeur name="tvapct"&gt;20&lt;/Valeur&gt;</v>
      </c>
      <c r="AF52" s="15" t="str">
        <f t="shared" si="25"/>
        <v>&lt;Valeur name="tva"&gt;43.3916666666667&lt;/Valeur&gt;</v>
      </c>
      <c r="AG52" s="15" t="s">
        <v>873</v>
      </c>
      <c r="AH52" s="15" t="str">
        <f t="shared" si="26"/>
        <v>&lt;Insert&gt;&lt;Valeur name="no"&gt;51&lt;/Valeur&gt;&lt;Valeur name="societe"&gt;1&lt;/Valeur&gt;&lt;Valeur name="pointer"&gt;1&lt;/Valeur&gt;&lt;Valeur name="datevaleur"&gt;2019/03/11&lt;/Valeur&gt;&lt;Valeur name="datecompta"&gt;2019/01/01&lt;/Valeur&gt;&lt;Valeur name="compte"&gt;120&lt;/Valeur&gt;&lt;Valeur name="description"&gt;&lt;/Valeur&gt;&lt;Valeur name="valeur"&gt;-260.35&lt;/Valeur&gt;&lt;Valeur name="tvapct"&gt;20&lt;/Valeur&gt;&lt;Valeur name="tva"&gt;43.3916666666667&lt;/Valeur&gt;&lt;/Insert&gt;</v>
      </c>
    </row>
    <row r="53" spans="1:34" hidden="1" x14ac:dyDescent="0.25">
      <c r="A53" s="9">
        <v>43466</v>
      </c>
      <c r="B53" s="1">
        <v>43535</v>
      </c>
      <c r="C53" t="str">
        <f>INDEX(Balance!A:A,MATCH(D53,Balance!B:B,0))</f>
        <v>Fournisseurs</v>
      </c>
      <c r="D53" t="s">
        <v>270</v>
      </c>
      <c r="F53">
        <v>2097.84</v>
      </c>
      <c r="H53" s="3">
        <f t="shared" si="0"/>
        <v>349.63999999999987</v>
      </c>
      <c r="K53">
        <v>52</v>
      </c>
      <c r="L53">
        <v>1</v>
      </c>
      <c r="M53">
        <v>1</v>
      </c>
      <c r="N53" s="16" t="s">
        <v>898</v>
      </c>
      <c r="O53" s="16" t="s">
        <v>885</v>
      </c>
      <c r="P53">
        <f>IFERROR(VLOOKUP(D53,tab!A:B,2,FALSE),1)</f>
        <v>110</v>
      </c>
      <c r="Q53" s="14" t="str">
        <f t="shared" si="2"/>
        <v/>
      </c>
      <c r="R53">
        <f t="shared" si="3"/>
        <v>-2097.84</v>
      </c>
      <c r="S53">
        <v>20</v>
      </c>
      <c r="T53" s="13">
        <f t="shared" si="4"/>
        <v>349.63999999999987</v>
      </c>
      <c r="V53" t="s">
        <v>872</v>
      </c>
      <c r="W53" t="str">
        <f t="shared" si="16"/>
        <v>&lt;Valeur name="no"&gt;52&lt;/Valeur&gt;</v>
      </c>
      <c r="X53" t="str">
        <f t="shared" si="17"/>
        <v>&lt;Valeur name="societe"&gt;1&lt;/Valeur&gt;</v>
      </c>
      <c r="Y53" t="str">
        <f t="shared" si="18"/>
        <v>&lt;Valeur name="pointer"&gt;1&lt;/Valeur&gt;</v>
      </c>
      <c r="Z53" s="15" t="str">
        <f t="shared" si="19"/>
        <v>&lt;Valeur name="datevaleur"&gt;2019/03/11&lt;/Valeur&gt;</v>
      </c>
      <c r="AA53" s="15" t="str">
        <f t="shared" si="20"/>
        <v>&lt;Valeur name="datecompta"&gt;2019/01/01&lt;/Valeur&gt;</v>
      </c>
      <c r="AB53" s="15" t="str">
        <f t="shared" si="21"/>
        <v>&lt;Valeur name="compte"&gt;110&lt;/Valeur&gt;</v>
      </c>
      <c r="AC53" s="15" t="str">
        <f t="shared" si="22"/>
        <v>&lt;Valeur name="description"&gt;&lt;/Valeur&gt;</v>
      </c>
      <c r="AD53" s="15" t="str">
        <f t="shared" si="23"/>
        <v>&lt;Valeur name="valeur"&gt;-2097.84&lt;/Valeur&gt;</v>
      </c>
      <c r="AE53" s="15" t="str">
        <f t="shared" si="24"/>
        <v>&lt;Valeur name="tvapct"&gt;20&lt;/Valeur&gt;</v>
      </c>
      <c r="AF53" s="15" t="str">
        <f t="shared" si="25"/>
        <v>&lt;Valeur name="tva"&gt;349.64&lt;/Valeur&gt;</v>
      </c>
      <c r="AG53" s="15" t="s">
        <v>873</v>
      </c>
      <c r="AH53" s="15" t="str">
        <f t="shared" si="26"/>
        <v>&lt;Insert&gt;&lt;Valeur name="no"&gt;52&lt;/Valeur&gt;&lt;Valeur name="societe"&gt;1&lt;/Valeur&gt;&lt;Valeur name="pointer"&gt;1&lt;/Valeur&gt;&lt;Valeur name="datevaleur"&gt;2019/03/11&lt;/Valeur&gt;&lt;Valeur name="datecompta"&gt;2019/01/01&lt;/Valeur&gt;&lt;Valeur name="compte"&gt;110&lt;/Valeur&gt;&lt;Valeur name="description"&gt;&lt;/Valeur&gt;&lt;Valeur name="valeur"&gt;-2097.84&lt;/Valeur&gt;&lt;Valeur name="tvapct"&gt;20&lt;/Valeur&gt;&lt;Valeur name="tva"&gt;349.64&lt;/Valeur&gt;&lt;/Insert&gt;</v>
      </c>
    </row>
    <row r="54" spans="1:34" hidden="1" x14ac:dyDescent="0.25">
      <c r="A54" s="9">
        <v>43466</v>
      </c>
      <c r="B54" s="1">
        <v>43536</v>
      </c>
      <c r="C54" t="str">
        <f>INDEX(Balance!A:A,MATCH(D54,Balance!B:B,0))</f>
        <v>Fournisseurs</v>
      </c>
      <c r="D54" t="s">
        <v>291</v>
      </c>
      <c r="E54" t="s">
        <v>79</v>
      </c>
      <c r="F54">
        <v>55.2</v>
      </c>
      <c r="H54" s="3">
        <f t="shared" si="0"/>
        <v>9.1999999999999957</v>
      </c>
      <c r="K54">
        <v>53</v>
      </c>
      <c r="L54">
        <v>1</v>
      </c>
      <c r="M54">
        <v>1</v>
      </c>
      <c r="N54" s="16" t="s">
        <v>901</v>
      </c>
      <c r="O54" s="16" t="s">
        <v>885</v>
      </c>
      <c r="P54">
        <f>IFERROR(VLOOKUP(D54,tab!A:B,2,FALSE),1)</f>
        <v>71</v>
      </c>
      <c r="Q54" s="14" t="str">
        <f t="shared" si="2"/>
        <v>E-VIR SEPA Hoorneart</v>
      </c>
      <c r="R54">
        <f t="shared" si="3"/>
        <v>-55.2</v>
      </c>
      <c r="S54">
        <v>20</v>
      </c>
      <c r="T54" s="13">
        <f t="shared" si="4"/>
        <v>9.1999999999999957</v>
      </c>
      <c r="V54" t="s">
        <v>872</v>
      </c>
      <c r="W54" t="str">
        <f t="shared" si="16"/>
        <v>&lt;Valeur name="no"&gt;53&lt;/Valeur&gt;</v>
      </c>
      <c r="X54" t="str">
        <f t="shared" si="17"/>
        <v>&lt;Valeur name="societe"&gt;1&lt;/Valeur&gt;</v>
      </c>
      <c r="Y54" t="str">
        <f t="shared" si="18"/>
        <v>&lt;Valeur name="pointer"&gt;1&lt;/Valeur&gt;</v>
      </c>
      <c r="Z54" s="15" t="str">
        <f t="shared" si="19"/>
        <v>&lt;Valeur name="datevaleur"&gt;2019/03/12&lt;/Valeur&gt;</v>
      </c>
      <c r="AA54" s="15" t="str">
        <f t="shared" si="20"/>
        <v>&lt;Valeur name="datecompta"&gt;2019/01/01&lt;/Valeur&gt;</v>
      </c>
      <c r="AB54" s="15" t="str">
        <f t="shared" si="21"/>
        <v>&lt;Valeur name="compte"&gt;71&lt;/Valeur&gt;</v>
      </c>
      <c r="AC54" s="15" t="str">
        <f t="shared" si="22"/>
        <v>&lt;Valeur name="description"&gt;E-VIR SEPA Hoorneart&lt;/Valeur&gt;</v>
      </c>
      <c r="AD54" s="15" t="str">
        <f t="shared" si="23"/>
        <v>&lt;Valeur name="valeur"&gt;-55.2&lt;/Valeur&gt;</v>
      </c>
      <c r="AE54" s="15" t="str">
        <f t="shared" si="24"/>
        <v>&lt;Valeur name="tvapct"&gt;20&lt;/Valeur&gt;</v>
      </c>
      <c r="AF54" s="15" t="str">
        <f t="shared" si="25"/>
        <v>&lt;Valeur name="tva"&gt;9.2&lt;/Valeur&gt;</v>
      </c>
      <c r="AG54" s="15" t="s">
        <v>873</v>
      </c>
      <c r="AH54" s="15" t="str">
        <f t="shared" si="26"/>
        <v>&lt;Insert&gt;&lt;Valeur name="no"&gt;53&lt;/Valeur&gt;&lt;Valeur name="societe"&gt;1&lt;/Valeur&gt;&lt;Valeur name="pointer"&gt;1&lt;/Valeur&gt;&lt;Valeur name="datevaleur"&gt;2019/03/12&lt;/Valeur&gt;&lt;Valeur name="datecompta"&gt;2019/01/01&lt;/Valeur&gt;&lt;Valeur name="compte"&gt;71&lt;/Valeur&gt;&lt;Valeur name="description"&gt;E-VIR SEPA Hoorneart&lt;/Valeur&gt;&lt;Valeur name="valeur"&gt;-55.2&lt;/Valeur&gt;&lt;Valeur name="tvapct"&gt;20&lt;/Valeur&gt;&lt;Valeur name="tva"&gt;9.2&lt;/Valeur&gt;&lt;/Insert&gt;</v>
      </c>
    </row>
    <row r="55" spans="1:34" hidden="1" x14ac:dyDescent="0.25">
      <c r="A55" s="9">
        <v>43466</v>
      </c>
      <c r="B55" s="1">
        <v>43536</v>
      </c>
      <c r="C55" t="str">
        <f>INDEX(Balance!A:A,MATCH(D55,Balance!B:B,0))</f>
        <v>Fournisseurs</v>
      </c>
      <c r="D55" t="s">
        <v>261</v>
      </c>
      <c r="E55" t="s">
        <v>83</v>
      </c>
      <c r="F55">
        <v>660</v>
      </c>
      <c r="H55" s="3">
        <f t="shared" si="0"/>
        <v>110</v>
      </c>
      <c r="K55">
        <v>54</v>
      </c>
      <c r="L55">
        <v>1</v>
      </c>
      <c r="M55">
        <v>1</v>
      </c>
      <c r="N55" s="16" t="s">
        <v>901</v>
      </c>
      <c r="O55" s="16" t="s">
        <v>885</v>
      </c>
      <c r="P55">
        <f>IFERROR(VLOOKUP(D55,tab!A:B,2,FALSE),1)</f>
        <v>53</v>
      </c>
      <c r="Q55" s="14" t="str">
        <f t="shared" si="2"/>
        <v>E-VIR SEPA Dessenne</v>
      </c>
      <c r="R55">
        <f t="shared" si="3"/>
        <v>-660</v>
      </c>
      <c r="S55">
        <v>20</v>
      </c>
      <c r="T55" s="13">
        <f t="shared" si="4"/>
        <v>110</v>
      </c>
      <c r="V55" t="s">
        <v>872</v>
      </c>
      <c r="W55" t="str">
        <f t="shared" si="16"/>
        <v>&lt;Valeur name="no"&gt;54&lt;/Valeur&gt;</v>
      </c>
      <c r="X55" t="str">
        <f t="shared" si="17"/>
        <v>&lt;Valeur name="societe"&gt;1&lt;/Valeur&gt;</v>
      </c>
      <c r="Y55" t="str">
        <f t="shared" si="18"/>
        <v>&lt;Valeur name="pointer"&gt;1&lt;/Valeur&gt;</v>
      </c>
      <c r="Z55" s="15" t="str">
        <f t="shared" si="19"/>
        <v>&lt;Valeur name="datevaleur"&gt;2019/03/12&lt;/Valeur&gt;</v>
      </c>
      <c r="AA55" s="15" t="str">
        <f t="shared" si="20"/>
        <v>&lt;Valeur name="datecompta"&gt;2019/01/01&lt;/Valeur&gt;</v>
      </c>
      <c r="AB55" s="15" t="str">
        <f t="shared" si="21"/>
        <v>&lt;Valeur name="compte"&gt;53&lt;/Valeur&gt;</v>
      </c>
      <c r="AC55" s="15" t="str">
        <f t="shared" si="22"/>
        <v>&lt;Valeur name="description"&gt;E-VIR SEPA Dessenne&lt;/Valeur&gt;</v>
      </c>
      <c r="AD55" s="15" t="str">
        <f t="shared" si="23"/>
        <v>&lt;Valeur name="valeur"&gt;-660&lt;/Valeur&gt;</v>
      </c>
      <c r="AE55" s="15" t="str">
        <f t="shared" si="24"/>
        <v>&lt;Valeur name="tvapct"&gt;20&lt;/Valeur&gt;</v>
      </c>
      <c r="AF55" s="15" t="str">
        <f t="shared" si="25"/>
        <v>&lt;Valeur name="tva"&gt;110&lt;/Valeur&gt;</v>
      </c>
      <c r="AG55" s="15" t="s">
        <v>873</v>
      </c>
      <c r="AH55" s="15" t="str">
        <f t="shared" si="26"/>
        <v>&lt;Insert&gt;&lt;Valeur name="no"&gt;54&lt;/Valeur&gt;&lt;Valeur name="societe"&gt;1&lt;/Valeur&gt;&lt;Valeur name="pointer"&gt;1&lt;/Valeur&gt;&lt;Valeur name="datevaleur"&gt;2019/03/12&lt;/Valeur&gt;&lt;Valeur name="datecompta"&gt;2019/01/01&lt;/Valeur&gt;&lt;Valeur name="compte"&gt;53&lt;/Valeur&gt;&lt;Valeur name="description"&gt;E-VIR SEPA Dessenne&lt;/Valeur&gt;&lt;Valeur name="valeur"&gt;-660&lt;/Valeur&gt;&lt;Valeur name="tvapct"&gt;20&lt;/Valeur&gt;&lt;Valeur name="tva"&gt;110&lt;/Valeur&gt;&lt;/Insert&gt;</v>
      </c>
    </row>
    <row r="56" spans="1:34" hidden="1" x14ac:dyDescent="0.25">
      <c r="A56" s="9">
        <v>43466</v>
      </c>
      <c r="B56" s="1">
        <v>43539</v>
      </c>
      <c r="C56" t="str">
        <f>INDEX(Balance!A:A,MATCH(D56,Balance!B:B,0))</f>
        <v>Fournisseurs</v>
      </c>
      <c r="D56" t="s">
        <v>295</v>
      </c>
      <c r="F56">
        <v>2170.4</v>
      </c>
      <c r="H56" s="3">
        <f t="shared" si="0"/>
        <v>361.73333333333335</v>
      </c>
      <c r="K56">
        <v>55</v>
      </c>
      <c r="L56">
        <v>1</v>
      </c>
      <c r="M56">
        <v>1</v>
      </c>
      <c r="N56" s="16" t="s">
        <v>905</v>
      </c>
      <c r="O56" s="16" t="s">
        <v>885</v>
      </c>
      <c r="P56">
        <f>IFERROR(VLOOKUP(D56,tab!A:B,2,FALSE),1)</f>
        <v>117</v>
      </c>
      <c r="Q56" s="14" t="str">
        <f t="shared" si="2"/>
        <v/>
      </c>
      <c r="R56">
        <f t="shared" si="3"/>
        <v>-2170.4</v>
      </c>
      <c r="S56">
        <v>20</v>
      </c>
      <c r="T56" s="13">
        <f t="shared" si="4"/>
        <v>361.73333333333335</v>
      </c>
      <c r="V56" t="s">
        <v>872</v>
      </c>
      <c r="W56" t="str">
        <f t="shared" si="16"/>
        <v>&lt;Valeur name="no"&gt;55&lt;/Valeur&gt;</v>
      </c>
      <c r="X56" t="str">
        <f t="shared" si="17"/>
        <v>&lt;Valeur name="societe"&gt;1&lt;/Valeur&gt;</v>
      </c>
      <c r="Y56" t="str">
        <f t="shared" si="18"/>
        <v>&lt;Valeur name="pointer"&gt;1&lt;/Valeur&gt;</v>
      </c>
      <c r="Z56" s="15" t="str">
        <f t="shared" si="19"/>
        <v>&lt;Valeur name="datevaleur"&gt;2019/03/15&lt;/Valeur&gt;</v>
      </c>
      <c r="AA56" s="15" t="str">
        <f t="shared" si="20"/>
        <v>&lt;Valeur name="datecompta"&gt;2019/01/01&lt;/Valeur&gt;</v>
      </c>
      <c r="AB56" s="15" t="str">
        <f t="shared" si="21"/>
        <v>&lt;Valeur name="compte"&gt;117&lt;/Valeur&gt;</v>
      </c>
      <c r="AC56" s="15" t="str">
        <f t="shared" si="22"/>
        <v>&lt;Valeur name="description"&gt;&lt;/Valeur&gt;</v>
      </c>
      <c r="AD56" s="15" t="str">
        <f t="shared" si="23"/>
        <v>&lt;Valeur name="valeur"&gt;-2170.4&lt;/Valeur&gt;</v>
      </c>
      <c r="AE56" s="15" t="str">
        <f t="shared" si="24"/>
        <v>&lt;Valeur name="tvapct"&gt;20&lt;/Valeur&gt;</v>
      </c>
      <c r="AF56" s="15" t="str">
        <f t="shared" si="25"/>
        <v>&lt;Valeur name="tva"&gt;361.733333333333&lt;/Valeur&gt;</v>
      </c>
      <c r="AG56" s="15" t="s">
        <v>873</v>
      </c>
      <c r="AH56" s="15" t="str">
        <f t="shared" si="26"/>
        <v>&lt;Insert&gt;&lt;Valeur name="no"&gt;55&lt;/Valeur&gt;&lt;Valeur name="societe"&gt;1&lt;/Valeur&gt;&lt;Valeur name="pointer"&gt;1&lt;/Valeur&gt;&lt;Valeur name="datevaleur"&gt;2019/03/15&lt;/Valeur&gt;&lt;Valeur name="datecompta"&gt;2019/01/01&lt;/Valeur&gt;&lt;Valeur name="compte"&gt;117&lt;/Valeur&gt;&lt;Valeur name="description"&gt;&lt;/Valeur&gt;&lt;Valeur name="valeur"&gt;-2170.4&lt;/Valeur&gt;&lt;Valeur name="tvapct"&gt;20&lt;/Valeur&gt;&lt;Valeur name="tva"&gt;361.733333333333&lt;/Valeur&gt;&lt;/Insert&gt;</v>
      </c>
    </row>
    <row r="57" spans="1:34" hidden="1" x14ac:dyDescent="0.25">
      <c r="A57" s="9">
        <v>43466</v>
      </c>
      <c r="B57" s="1">
        <v>43543</v>
      </c>
      <c r="C57" t="str">
        <f>INDEX(Balance!A:A,MATCH(D57,Balance!B:B,0))</f>
        <v>Fournisseurs</v>
      </c>
      <c r="D57" t="s">
        <v>281</v>
      </c>
      <c r="F57">
        <v>1268.4000000000001</v>
      </c>
      <c r="H57" s="3">
        <f t="shared" si="0"/>
        <v>211.39999999999986</v>
      </c>
      <c r="K57">
        <v>56</v>
      </c>
      <c r="L57">
        <v>1</v>
      </c>
      <c r="M57">
        <v>1</v>
      </c>
      <c r="N57" s="16" t="s">
        <v>880</v>
      </c>
      <c r="O57" s="16" t="s">
        <v>885</v>
      </c>
      <c r="P57">
        <f>IFERROR(VLOOKUP(D57,tab!A:B,2,FALSE),1)</f>
        <v>77</v>
      </c>
      <c r="Q57" s="14" t="str">
        <f t="shared" si="2"/>
        <v/>
      </c>
      <c r="R57">
        <f t="shared" si="3"/>
        <v>-1268.4000000000001</v>
      </c>
      <c r="S57">
        <v>20</v>
      </c>
      <c r="T57" s="13">
        <f t="shared" si="4"/>
        <v>211.39999999999986</v>
      </c>
      <c r="V57" t="s">
        <v>872</v>
      </c>
      <c r="W57" t="str">
        <f t="shared" si="16"/>
        <v>&lt;Valeur name="no"&gt;56&lt;/Valeur&gt;</v>
      </c>
      <c r="X57" t="str">
        <f t="shared" si="17"/>
        <v>&lt;Valeur name="societe"&gt;1&lt;/Valeur&gt;</v>
      </c>
      <c r="Y57" t="str">
        <f t="shared" si="18"/>
        <v>&lt;Valeur name="pointer"&gt;1&lt;/Valeur&gt;</v>
      </c>
      <c r="Z57" s="15" t="str">
        <f t="shared" si="19"/>
        <v>&lt;Valeur name="datevaleur"&gt;2019/03/19&lt;/Valeur&gt;</v>
      </c>
      <c r="AA57" s="15" t="str">
        <f t="shared" si="20"/>
        <v>&lt;Valeur name="datecompta"&gt;2019/01/01&lt;/Valeur&gt;</v>
      </c>
      <c r="AB57" s="15" t="str">
        <f t="shared" si="21"/>
        <v>&lt;Valeur name="compte"&gt;77&lt;/Valeur&gt;</v>
      </c>
      <c r="AC57" s="15" t="str">
        <f t="shared" si="22"/>
        <v>&lt;Valeur name="description"&gt;&lt;/Valeur&gt;</v>
      </c>
      <c r="AD57" s="15" t="str">
        <f t="shared" si="23"/>
        <v>&lt;Valeur name="valeur"&gt;-1268.4&lt;/Valeur&gt;</v>
      </c>
      <c r="AE57" s="15" t="str">
        <f t="shared" si="24"/>
        <v>&lt;Valeur name="tvapct"&gt;20&lt;/Valeur&gt;</v>
      </c>
      <c r="AF57" s="15" t="str">
        <f t="shared" si="25"/>
        <v>&lt;Valeur name="tva"&gt;211.4&lt;/Valeur&gt;</v>
      </c>
      <c r="AG57" s="15" t="s">
        <v>873</v>
      </c>
      <c r="AH57" s="15" t="str">
        <f t="shared" si="26"/>
        <v>&lt;Insert&gt;&lt;Valeur name="no"&gt;56&lt;/Valeur&gt;&lt;Valeur name="societe"&gt;1&lt;/Valeur&gt;&lt;Valeur name="pointer"&gt;1&lt;/Valeur&gt;&lt;Valeur name="datevaleur"&gt;2019/03/19&lt;/Valeur&gt;&lt;Valeur name="datecompta"&gt;2019/01/01&lt;/Valeur&gt;&lt;Valeur name="compte"&gt;77&lt;/Valeur&gt;&lt;Valeur name="description"&gt;&lt;/Valeur&gt;&lt;Valeur name="valeur"&gt;-1268.4&lt;/Valeur&gt;&lt;Valeur name="tvapct"&gt;20&lt;/Valeur&gt;&lt;Valeur name="tva"&gt;211.4&lt;/Valeur&gt;&lt;/Insert&gt;</v>
      </c>
    </row>
    <row r="58" spans="1:34" hidden="1" x14ac:dyDescent="0.25">
      <c r="A58" s="9">
        <v>43466</v>
      </c>
      <c r="B58" s="1">
        <v>43543</v>
      </c>
      <c r="C58" t="str">
        <f>INDEX(Balance!A:A,MATCH(D58,Balance!B:B,0))</f>
        <v>Fournisseurs</v>
      </c>
      <c r="D58" t="s">
        <v>270</v>
      </c>
      <c r="F58">
        <v>1969.9</v>
      </c>
      <c r="H58" s="3">
        <f t="shared" si="0"/>
        <v>328.31666666666661</v>
      </c>
      <c r="K58">
        <v>57</v>
      </c>
      <c r="L58">
        <v>1</v>
      </c>
      <c r="M58">
        <v>1</v>
      </c>
      <c r="N58" s="16" t="s">
        <v>880</v>
      </c>
      <c r="O58" s="16" t="s">
        <v>885</v>
      </c>
      <c r="P58">
        <f>IFERROR(VLOOKUP(D58,tab!A:B,2,FALSE),1)</f>
        <v>110</v>
      </c>
      <c r="Q58" s="14" t="str">
        <f t="shared" si="2"/>
        <v/>
      </c>
      <c r="R58">
        <f t="shared" si="3"/>
        <v>-1969.9</v>
      </c>
      <c r="S58">
        <v>20</v>
      </c>
      <c r="T58" s="13">
        <f t="shared" si="4"/>
        <v>328.31666666666661</v>
      </c>
      <c r="V58" t="s">
        <v>872</v>
      </c>
      <c r="W58" t="str">
        <f t="shared" si="16"/>
        <v>&lt;Valeur name="no"&gt;57&lt;/Valeur&gt;</v>
      </c>
      <c r="X58" t="str">
        <f t="shared" si="17"/>
        <v>&lt;Valeur name="societe"&gt;1&lt;/Valeur&gt;</v>
      </c>
      <c r="Y58" t="str">
        <f t="shared" si="18"/>
        <v>&lt;Valeur name="pointer"&gt;1&lt;/Valeur&gt;</v>
      </c>
      <c r="Z58" s="15" t="str">
        <f t="shared" si="19"/>
        <v>&lt;Valeur name="datevaleur"&gt;2019/03/19&lt;/Valeur&gt;</v>
      </c>
      <c r="AA58" s="15" t="str">
        <f t="shared" si="20"/>
        <v>&lt;Valeur name="datecompta"&gt;2019/01/01&lt;/Valeur&gt;</v>
      </c>
      <c r="AB58" s="15" t="str">
        <f t="shared" si="21"/>
        <v>&lt;Valeur name="compte"&gt;110&lt;/Valeur&gt;</v>
      </c>
      <c r="AC58" s="15" t="str">
        <f t="shared" si="22"/>
        <v>&lt;Valeur name="description"&gt;&lt;/Valeur&gt;</v>
      </c>
      <c r="AD58" s="15" t="str">
        <f t="shared" si="23"/>
        <v>&lt;Valeur name="valeur"&gt;-1969.9&lt;/Valeur&gt;</v>
      </c>
      <c r="AE58" s="15" t="str">
        <f t="shared" si="24"/>
        <v>&lt;Valeur name="tvapct"&gt;20&lt;/Valeur&gt;</v>
      </c>
      <c r="AF58" s="15" t="str">
        <f t="shared" si="25"/>
        <v>&lt;Valeur name="tva"&gt;328.316666666667&lt;/Valeur&gt;</v>
      </c>
      <c r="AG58" s="15" t="s">
        <v>873</v>
      </c>
      <c r="AH58" s="15" t="str">
        <f t="shared" si="26"/>
        <v>&lt;Insert&gt;&lt;Valeur name="no"&gt;57&lt;/Valeur&gt;&lt;Valeur name="societe"&gt;1&lt;/Valeur&gt;&lt;Valeur name="pointer"&gt;1&lt;/Valeur&gt;&lt;Valeur name="datevaleur"&gt;2019/03/19&lt;/Valeur&gt;&lt;Valeur name="datecompta"&gt;2019/01/01&lt;/Valeur&gt;&lt;Valeur name="compte"&gt;110&lt;/Valeur&gt;&lt;Valeur name="description"&gt;&lt;/Valeur&gt;&lt;Valeur name="valeur"&gt;-1969.9&lt;/Valeur&gt;&lt;Valeur name="tvapct"&gt;20&lt;/Valeur&gt;&lt;Valeur name="tva"&gt;328.316666666667&lt;/Valeur&gt;&lt;/Insert&gt;</v>
      </c>
    </row>
    <row r="59" spans="1:34" hidden="1" x14ac:dyDescent="0.25">
      <c r="A59" s="9">
        <v>43497</v>
      </c>
      <c r="B59" s="1">
        <v>43511</v>
      </c>
      <c r="C59" t="str">
        <f>INDEX(Balance!A:A,MATCH(D59,Balance!B:B,0))</f>
        <v>Fournisseurs</v>
      </c>
      <c r="D59" t="s">
        <v>268</v>
      </c>
      <c r="F59">
        <v>797.12</v>
      </c>
      <c r="H59" s="3">
        <f t="shared" si="0"/>
        <v>132.85333333333335</v>
      </c>
      <c r="K59">
        <v>58</v>
      </c>
      <c r="L59">
        <v>1</v>
      </c>
      <c r="M59">
        <v>1</v>
      </c>
      <c r="N59" s="16" t="s">
        <v>904</v>
      </c>
      <c r="O59" s="16" t="s">
        <v>887</v>
      </c>
      <c r="P59">
        <f>IFERROR(VLOOKUP(D59,tab!A:B,2,FALSE),1)</f>
        <v>106</v>
      </c>
      <c r="Q59" s="14" t="str">
        <f t="shared" si="2"/>
        <v/>
      </c>
      <c r="R59">
        <f t="shared" si="3"/>
        <v>-797.12</v>
      </c>
      <c r="S59">
        <v>20</v>
      </c>
      <c r="T59" s="13">
        <f t="shared" si="4"/>
        <v>132.85333333333335</v>
      </c>
      <c r="V59" t="s">
        <v>872</v>
      </c>
      <c r="W59" t="str">
        <f t="shared" si="16"/>
        <v>&lt;Valeur name="no"&gt;58&lt;/Valeur&gt;</v>
      </c>
      <c r="X59" t="str">
        <f t="shared" si="17"/>
        <v>&lt;Valeur name="societe"&gt;1&lt;/Valeur&gt;</v>
      </c>
      <c r="Y59" t="str">
        <f t="shared" si="18"/>
        <v>&lt;Valeur name="pointer"&gt;1&lt;/Valeur&gt;</v>
      </c>
      <c r="Z59" s="15" t="str">
        <f t="shared" si="19"/>
        <v>&lt;Valeur name="datevaleur"&gt;2019/02/15&lt;/Valeur&gt;</v>
      </c>
      <c r="AA59" s="15" t="str">
        <f t="shared" si="20"/>
        <v>&lt;Valeur name="datecompta"&gt;2019/02/01&lt;/Valeur&gt;</v>
      </c>
      <c r="AB59" s="15" t="str">
        <f t="shared" si="21"/>
        <v>&lt;Valeur name="compte"&gt;106&lt;/Valeur&gt;</v>
      </c>
      <c r="AC59" s="15" t="str">
        <f t="shared" si="22"/>
        <v>&lt;Valeur name="description"&gt;&lt;/Valeur&gt;</v>
      </c>
      <c r="AD59" s="15" t="str">
        <f t="shared" si="23"/>
        <v>&lt;Valeur name="valeur"&gt;-797.12&lt;/Valeur&gt;</v>
      </c>
      <c r="AE59" s="15" t="str">
        <f t="shared" si="24"/>
        <v>&lt;Valeur name="tvapct"&gt;20&lt;/Valeur&gt;</v>
      </c>
      <c r="AF59" s="15" t="str">
        <f t="shared" si="25"/>
        <v>&lt;Valeur name="tva"&gt;132.853333333333&lt;/Valeur&gt;</v>
      </c>
      <c r="AG59" s="15" t="s">
        <v>873</v>
      </c>
      <c r="AH59" s="15" t="str">
        <f t="shared" si="26"/>
        <v>&lt;Insert&gt;&lt;Valeur name="no"&gt;58&lt;/Valeur&gt;&lt;Valeur name="societe"&gt;1&lt;/Valeur&gt;&lt;Valeur name="pointer"&gt;1&lt;/Valeur&gt;&lt;Valeur name="datevaleur"&gt;2019/02/15&lt;/Valeur&gt;&lt;Valeur name="datecompta"&gt;2019/02/01&lt;/Valeur&gt;&lt;Valeur name="compte"&gt;106&lt;/Valeur&gt;&lt;Valeur name="description"&gt;&lt;/Valeur&gt;&lt;Valeur name="valeur"&gt;-797.12&lt;/Valeur&gt;&lt;Valeur name="tvapct"&gt;20&lt;/Valeur&gt;&lt;Valeur name="tva"&gt;132.853333333333&lt;/Valeur&gt;&lt;/Insert&gt;</v>
      </c>
    </row>
    <row r="60" spans="1:34" hidden="1" x14ac:dyDescent="0.25">
      <c r="A60" s="9">
        <v>43497</v>
      </c>
      <c r="B60" s="1">
        <v>43511</v>
      </c>
      <c r="C60" t="str">
        <f>INDEX(Balance!A:A,MATCH(D60,Balance!B:B,0))</f>
        <v>Fournisseurs</v>
      </c>
      <c r="D60" t="s">
        <v>279</v>
      </c>
      <c r="F60">
        <v>1330.73</v>
      </c>
      <c r="H60" s="3">
        <f t="shared" si="0"/>
        <v>221.78833333333318</v>
      </c>
      <c r="K60">
        <v>59</v>
      </c>
      <c r="L60">
        <v>1</v>
      </c>
      <c r="M60">
        <v>1</v>
      </c>
      <c r="N60" s="16" t="s">
        <v>904</v>
      </c>
      <c r="O60" s="16" t="s">
        <v>887</v>
      </c>
      <c r="P60">
        <f>IFERROR(VLOOKUP(D60,tab!A:B,2,FALSE),1)</f>
        <v>54</v>
      </c>
      <c r="Q60" s="14" t="str">
        <f t="shared" si="2"/>
        <v/>
      </c>
      <c r="R60">
        <f t="shared" si="3"/>
        <v>-1330.73</v>
      </c>
      <c r="S60">
        <v>20</v>
      </c>
      <c r="T60" s="13">
        <f t="shared" si="4"/>
        <v>221.78833333333318</v>
      </c>
      <c r="V60" t="s">
        <v>872</v>
      </c>
      <c r="W60" t="str">
        <f t="shared" si="16"/>
        <v>&lt;Valeur name="no"&gt;59&lt;/Valeur&gt;</v>
      </c>
      <c r="X60" t="str">
        <f t="shared" si="17"/>
        <v>&lt;Valeur name="societe"&gt;1&lt;/Valeur&gt;</v>
      </c>
      <c r="Y60" t="str">
        <f t="shared" si="18"/>
        <v>&lt;Valeur name="pointer"&gt;1&lt;/Valeur&gt;</v>
      </c>
      <c r="Z60" s="15" t="str">
        <f t="shared" si="19"/>
        <v>&lt;Valeur name="datevaleur"&gt;2019/02/15&lt;/Valeur&gt;</v>
      </c>
      <c r="AA60" s="15" t="str">
        <f t="shared" si="20"/>
        <v>&lt;Valeur name="datecompta"&gt;2019/02/01&lt;/Valeur&gt;</v>
      </c>
      <c r="AB60" s="15" t="str">
        <f t="shared" si="21"/>
        <v>&lt;Valeur name="compte"&gt;54&lt;/Valeur&gt;</v>
      </c>
      <c r="AC60" s="15" t="str">
        <f t="shared" si="22"/>
        <v>&lt;Valeur name="description"&gt;&lt;/Valeur&gt;</v>
      </c>
      <c r="AD60" s="15" t="str">
        <f t="shared" si="23"/>
        <v>&lt;Valeur name="valeur"&gt;-1330.73&lt;/Valeur&gt;</v>
      </c>
      <c r="AE60" s="15" t="str">
        <f t="shared" si="24"/>
        <v>&lt;Valeur name="tvapct"&gt;20&lt;/Valeur&gt;</v>
      </c>
      <c r="AF60" s="15" t="str">
        <f t="shared" si="25"/>
        <v>&lt;Valeur name="tva"&gt;221.788333333333&lt;/Valeur&gt;</v>
      </c>
      <c r="AG60" s="15" t="s">
        <v>873</v>
      </c>
      <c r="AH60" s="15" t="str">
        <f t="shared" si="26"/>
        <v>&lt;Insert&gt;&lt;Valeur name="no"&gt;59&lt;/Valeur&gt;&lt;Valeur name="societe"&gt;1&lt;/Valeur&gt;&lt;Valeur name="pointer"&gt;1&lt;/Valeur&gt;&lt;Valeur name="datevaleur"&gt;2019/02/15&lt;/Valeur&gt;&lt;Valeur name="datecompta"&gt;2019/02/01&lt;/Valeur&gt;&lt;Valeur name="compte"&gt;54&lt;/Valeur&gt;&lt;Valeur name="description"&gt;&lt;/Valeur&gt;&lt;Valeur name="valeur"&gt;-1330.73&lt;/Valeur&gt;&lt;Valeur name="tvapct"&gt;20&lt;/Valeur&gt;&lt;Valeur name="tva"&gt;221.788333333333&lt;/Valeur&gt;&lt;/Insert&gt;</v>
      </c>
    </row>
    <row r="61" spans="1:34" hidden="1" x14ac:dyDescent="0.25">
      <c r="A61" s="9">
        <v>43497</v>
      </c>
      <c r="B61" s="1">
        <v>43514</v>
      </c>
      <c r="C61" t="str">
        <f>INDEX(Balance!A:A,MATCH(D61,Balance!B:B,0))</f>
        <v>Fournisseurs</v>
      </c>
      <c r="D61" t="s">
        <v>280</v>
      </c>
      <c r="E61" t="s">
        <v>217</v>
      </c>
      <c r="F61">
        <v>961.2</v>
      </c>
      <c r="H61" s="3">
        <f t="shared" si="0"/>
        <v>160.19999999999993</v>
      </c>
      <c r="K61">
        <v>60</v>
      </c>
      <c r="L61">
        <v>1</v>
      </c>
      <c r="M61">
        <v>1</v>
      </c>
      <c r="N61" s="16" t="s">
        <v>878</v>
      </c>
      <c r="O61" s="16" t="s">
        <v>887</v>
      </c>
      <c r="P61">
        <f>IFERROR(VLOOKUP(D61,tab!A:B,2,FALSE),1)</f>
        <v>43</v>
      </c>
      <c r="Q61" s="14" t="str">
        <f t="shared" si="2"/>
        <v>E-VIR SEPA CIR Caillebotis Thery</v>
      </c>
      <c r="R61">
        <f t="shared" si="3"/>
        <v>-961.2</v>
      </c>
      <c r="S61">
        <v>20</v>
      </c>
      <c r="T61" s="13">
        <f t="shared" si="4"/>
        <v>160.19999999999993</v>
      </c>
      <c r="V61" t="s">
        <v>872</v>
      </c>
      <c r="W61" t="str">
        <f t="shared" si="16"/>
        <v>&lt;Valeur name="no"&gt;60&lt;/Valeur&gt;</v>
      </c>
      <c r="X61" t="str">
        <f t="shared" si="17"/>
        <v>&lt;Valeur name="societe"&gt;1&lt;/Valeur&gt;</v>
      </c>
      <c r="Y61" t="str">
        <f t="shared" si="18"/>
        <v>&lt;Valeur name="pointer"&gt;1&lt;/Valeur&gt;</v>
      </c>
      <c r="Z61" s="15" t="str">
        <f t="shared" si="19"/>
        <v>&lt;Valeur name="datevaleur"&gt;2019/02/18&lt;/Valeur&gt;</v>
      </c>
      <c r="AA61" s="15" t="str">
        <f t="shared" si="20"/>
        <v>&lt;Valeur name="datecompta"&gt;2019/02/01&lt;/Valeur&gt;</v>
      </c>
      <c r="AB61" s="15" t="str">
        <f t="shared" si="21"/>
        <v>&lt;Valeur name="compte"&gt;43&lt;/Valeur&gt;</v>
      </c>
      <c r="AC61" s="15" t="str">
        <f t="shared" si="22"/>
        <v>&lt;Valeur name="description"&gt;E-VIR SEPA CIR Caillebotis Thery&lt;/Valeur&gt;</v>
      </c>
      <c r="AD61" s="15" t="str">
        <f t="shared" si="23"/>
        <v>&lt;Valeur name="valeur"&gt;-961.2&lt;/Valeur&gt;</v>
      </c>
      <c r="AE61" s="15" t="str">
        <f t="shared" si="24"/>
        <v>&lt;Valeur name="tvapct"&gt;20&lt;/Valeur&gt;</v>
      </c>
      <c r="AF61" s="15" t="str">
        <f t="shared" si="25"/>
        <v>&lt;Valeur name="tva"&gt;160.2&lt;/Valeur&gt;</v>
      </c>
      <c r="AG61" s="15" t="s">
        <v>873</v>
      </c>
      <c r="AH61" s="15" t="str">
        <f t="shared" si="26"/>
        <v>&lt;Insert&gt;&lt;Valeur name="no"&gt;60&lt;/Valeur&gt;&lt;Valeur name="societe"&gt;1&lt;/Valeur&gt;&lt;Valeur name="pointer"&gt;1&lt;/Valeur&gt;&lt;Valeur name="datevaleur"&gt;2019/02/18&lt;/Valeur&gt;&lt;Valeur name="datecompta"&gt;2019/02/01&lt;/Valeur&gt;&lt;Valeur name="compte"&gt;43&lt;/Valeur&gt;&lt;Valeur name="description"&gt;E-VIR SEPA CIR Caillebotis Thery&lt;/Valeur&gt;&lt;Valeur name="valeur"&gt;-961.2&lt;/Valeur&gt;&lt;Valeur name="tvapct"&gt;20&lt;/Valeur&gt;&lt;Valeur name="tva"&gt;160.2&lt;/Valeur&gt;&lt;/Insert&gt;</v>
      </c>
    </row>
    <row r="62" spans="1:34" hidden="1" x14ac:dyDescent="0.25">
      <c r="A62" s="9">
        <v>43497</v>
      </c>
      <c r="B62" s="1">
        <v>43516</v>
      </c>
      <c r="C62" t="str">
        <f>INDEX(Balance!A:A,MATCH(D62,Balance!B:B,0))</f>
        <v>Fournisseurs</v>
      </c>
      <c r="D62" t="s">
        <v>282</v>
      </c>
      <c r="E62" t="s">
        <v>200</v>
      </c>
      <c r="F62">
        <v>19.78</v>
      </c>
      <c r="H62" s="3">
        <f t="shared" si="0"/>
        <v>3.2966666666666669</v>
      </c>
      <c r="K62">
        <v>61</v>
      </c>
      <c r="L62">
        <v>1</v>
      </c>
      <c r="M62">
        <v>1</v>
      </c>
      <c r="N62" s="16" t="s">
        <v>900</v>
      </c>
      <c r="O62" s="16" t="s">
        <v>887</v>
      </c>
      <c r="P62">
        <f>IFERROR(VLOOKUP(D62,tab!A:B,2,FALSE),1)</f>
        <v>82</v>
      </c>
      <c r="Q62" s="14" t="str">
        <f t="shared" si="2"/>
        <v>E-VIR SEPA LeLorrain buse chalum</v>
      </c>
      <c r="R62">
        <f t="shared" si="3"/>
        <v>-19.78</v>
      </c>
      <c r="S62">
        <v>20</v>
      </c>
      <c r="T62" s="13">
        <f t="shared" si="4"/>
        <v>3.2966666666666669</v>
      </c>
      <c r="V62" t="s">
        <v>872</v>
      </c>
      <c r="W62" t="str">
        <f t="shared" si="16"/>
        <v>&lt;Valeur name="no"&gt;61&lt;/Valeur&gt;</v>
      </c>
      <c r="X62" t="str">
        <f t="shared" si="17"/>
        <v>&lt;Valeur name="societe"&gt;1&lt;/Valeur&gt;</v>
      </c>
      <c r="Y62" t="str">
        <f t="shared" si="18"/>
        <v>&lt;Valeur name="pointer"&gt;1&lt;/Valeur&gt;</v>
      </c>
      <c r="Z62" s="15" t="str">
        <f t="shared" si="19"/>
        <v>&lt;Valeur name="datevaleur"&gt;2019/02/20&lt;/Valeur&gt;</v>
      </c>
      <c r="AA62" s="15" t="str">
        <f t="shared" si="20"/>
        <v>&lt;Valeur name="datecompta"&gt;2019/02/01&lt;/Valeur&gt;</v>
      </c>
      <c r="AB62" s="15" t="str">
        <f t="shared" si="21"/>
        <v>&lt;Valeur name="compte"&gt;82&lt;/Valeur&gt;</v>
      </c>
      <c r="AC62" s="15" t="str">
        <f t="shared" si="22"/>
        <v>&lt;Valeur name="description"&gt;E-VIR SEPA LeLorrain buse chalum&lt;/Valeur&gt;</v>
      </c>
      <c r="AD62" s="15" t="str">
        <f t="shared" si="23"/>
        <v>&lt;Valeur name="valeur"&gt;-19.78&lt;/Valeur&gt;</v>
      </c>
      <c r="AE62" s="15" t="str">
        <f t="shared" si="24"/>
        <v>&lt;Valeur name="tvapct"&gt;20&lt;/Valeur&gt;</v>
      </c>
      <c r="AF62" s="15" t="str">
        <f t="shared" si="25"/>
        <v>&lt;Valeur name="tva"&gt;3.29666666666667&lt;/Valeur&gt;</v>
      </c>
      <c r="AG62" s="15" t="s">
        <v>873</v>
      </c>
      <c r="AH62" s="15" t="str">
        <f t="shared" si="26"/>
        <v>&lt;Insert&gt;&lt;Valeur name="no"&gt;61&lt;/Valeur&gt;&lt;Valeur name="societe"&gt;1&lt;/Valeur&gt;&lt;Valeur name="pointer"&gt;1&lt;/Valeur&gt;&lt;Valeur name="datevaleur"&gt;2019/02/20&lt;/Valeur&gt;&lt;Valeur name="datecompta"&gt;2019/02/01&lt;/Valeur&gt;&lt;Valeur name="compte"&gt;82&lt;/Valeur&gt;&lt;Valeur name="description"&gt;E-VIR SEPA LeLorrain buse chalum&lt;/Valeur&gt;&lt;Valeur name="valeur"&gt;-19.78&lt;/Valeur&gt;&lt;Valeur name="tvapct"&gt;20&lt;/Valeur&gt;&lt;Valeur name="tva"&gt;3.29666666666667&lt;/Valeur&gt;&lt;/Insert&gt;</v>
      </c>
    </row>
    <row r="63" spans="1:34" hidden="1" x14ac:dyDescent="0.25">
      <c r="A63" s="9">
        <v>43497</v>
      </c>
      <c r="B63" s="1">
        <v>43521</v>
      </c>
      <c r="C63" t="str">
        <f>INDEX(Balance!A:A,MATCH(D63,Balance!B:B,0))</f>
        <v>Fournisseurs</v>
      </c>
      <c r="D63" t="s">
        <v>285</v>
      </c>
      <c r="E63" t="s">
        <v>185</v>
      </c>
      <c r="F63">
        <v>1252.92</v>
      </c>
      <c r="H63" s="3">
        <f t="shared" si="0"/>
        <v>208.81999999999994</v>
      </c>
      <c r="K63">
        <v>62</v>
      </c>
      <c r="L63">
        <v>1</v>
      </c>
      <c r="M63">
        <v>1</v>
      </c>
      <c r="N63" s="16" t="s">
        <v>906</v>
      </c>
      <c r="O63" s="16" t="s">
        <v>887</v>
      </c>
      <c r="P63">
        <f>IFERROR(VLOOKUP(D63,tab!A:B,2,FALSE),1)</f>
        <v>122</v>
      </c>
      <c r="Q63" s="14" t="str">
        <f t="shared" si="2"/>
        <v>CHEQUE  N 1000064</v>
      </c>
      <c r="R63">
        <f t="shared" si="3"/>
        <v>-1252.92</v>
      </c>
      <c r="S63">
        <v>20</v>
      </c>
      <c r="T63" s="13">
        <f t="shared" si="4"/>
        <v>208.81999999999994</v>
      </c>
      <c r="V63" t="s">
        <v>872</v>
      </c>
      <c r="W63" t="str">
        <f t="shared" si="16"/>
        <v>&lt;Valeur name="no"&gt;62&lt;/Valeur&gt;</v>
      </c>
      <c r="X63" t="str">
        <f t="shared" si="17"/>
        <v>&lt;Valeur name="societe"&gt;1&lt;/Valeur&gt;</v>
      </c>
      <c r="Y63" t="str">
        <f t="shared" si="18"/>
        <v>&lt;Valeur name="pointer"&gt;1&lt;/Valeur&gt;</v>
      </c>
      <c r="Z63" s="15" t="str">
        <f t="shared" si="19"/>
        <v>&lt;Valeur name="datevaleur"&gt;2019/02/25&lt;/Valeur&gt;</v>
      </c>
      <c r="AA63" s="15" t="str">
        <f t="shared" si="20"/>
        <v>&lt;Valeur name="datecompta"&gt;2019/02/01&lt;/Valeur&gt;</v>
      </c>
      <c r="AB63" s="15" t="str">
        <f t="shared" si="21"/>
        <v>&lt;Valeur name="compte"&gt;122&lt;/Valeur&gt;</v>
      </c>
      <c r="AC63" s="15" t="str">
        <f t="shared" si="22"/>
        <v>&lt;Valeur name="description"&gt;CHEQUE  N 1000064&lt;/Valeur&gt;</v>
      </c>
      <c r="AD63" s="15" t="str">
        <f t="shared" si="23"/>
        <v>&lt;Valeur name="valeur"&gt;-1252.92&lt;/Valeur&gt;</v>
      </c>
      <c r="AE63" s="15" t="str">
        <f t="shared" si="24"/>
        <v>&lt;Valeur name="tvapct"&gt;20&lt;/Valeur&gt;</v>
      </c>
      <c r="AF63" s="15" t="str">
        <f t="shared" si="25"/>
        <v>&lt;Valeur name="tva"&gt;208.82&lt;/Valeur&gt;</v>
      </c>
      <c r="AG63" s="15" t="s">
        <v>873</v>
      </c>
      <c r="AH63" s="15" t="str">
        <f t="shared" si="26"/>
        <v>&lt;Insert&gt;&lt;Valeur name="no"&gt;62&lt;/Valeur&gt;&lt;Valeur name="societe"&gt;1&lt;/Valeur&gt;&lt;Valeur name="pointer"&gt;1&lt;/Valeur&gt;&lt;Valeur name="datevaleur"&gt;2019/02/25&lt;/Valeur&gt;&lt;Valeur name="datecompta"&gt;2019/02/01&lt;/Valeur&gt;&lt;Valeur name="compte"&gt;122&lt;/Valeur&gt;&lt;Valeur name="description"&gt;CHEQUE  N 1000064&lt;/Valeur&gt;&lt;Valeur name="valeur"&gt;-1252.92&lt;/Valeur&gt;&lt;Valeur name="tvapct"&gt;20&lt;/Valeur&gt;&lt;Valeur name="tva"&gt;208.82&lt;/Valeur&gt;&lt;/Insert&gt;</v>
      </c>
    </row>
    <row r="64" spans="1:34" hidden="1" x14ac:dyDescent="0.25">
      <c r="A64" s="9">
        <v>43497</v>
      </c>
      <c r="B64" s="1">
        <v>43536</v>
      </c>
      <c r="C64" t="str">
        <f>INDEX(Balance!A:A,MATCH(D64,Balance!B:B,0))</f>
        <v>Fournisseurs</v>
      </c>
      <c r="D64" t="s">
        <v>261</v>
      </c>
      <c r="E64" t="s">
        <v>83</v>
      </c>
      <c r="F64">
        <v>576</v>
      </c>
      <c r="H64" s="3">
        <f t="shared" si="0"/>
        <v>96</v>
      </c>
      <c r="K64">
        <v>63</v>
      </c>
      <c r="L64">
        <v>1</v>
      </c>
      <c r="M64">
        <v>1</v>
      </c>
      <c r="N64" s="16" t="s">
        <v>901</v>
      </c>
      <c r="O64" s="16" t="s">
        <v>887</v>
      </c>
      <c r="P64">
        <f>IFERROR(VLOOKUP(D64,tab!A:B,2,FALSE),1)</f>
        <v>53</v>
      </c>
      <c r="Q64" s="14" t="str">
        <f t="shared" si="2"/>
        <v>E-VIR SEPA Dessenne</v>
      </c>
      <c r="R64">
        <f t="shared" si="3"/>
        <v>-576</v>
      </c>
      <c r="S64">
        <v>20</v>
      </c>
      <c r="T64" s="13">
        <f t="shared" si="4"/>
        <v>96</v>
      </c>
      <c r="V64" t="s">
        <v>872</v>
      </c>
      <c r="W64" t="str">
        <f t="shared" si="16"/>
        <v>&lt;Valeur name="no"&gt;63&lt;/Valeur&gt;</v>
      </c>
      <c r="X64" t="str">
        <f t="shared" si="17"/>
        <v>&lt;Valeur name="societe"&gt;1&lt;/Valeur&gt;</v>
      </c>
      <c r="Y64" t="str">
        <f t="shared" si="18"/>
        <v>&lt;Valeur name="pointer"&gt;1&lt;/Valeur&gt;</v>
      </c>
      <c r="Z64" s="15" t="str">
        <f t="shared" si="19"/>
        <v>&lt;Valeur name="datevaleur"&gt;2019/03/12&lt;/Valeur&gt;</v>
      </c>
      <c r="AA64" s="15" t="str">
        <f t="shared" si="20"/>
        <v>&lt;Valeur name="datecompta"&gt;2019/02/01&lt;/Valeur&gt;</v>
      </c>
      <c r="AB64" s="15" t="str">
        <f t="shared" si="21"/>
        <v>&lt;Valeur name="compte"&gt;53&lt;/Valeur&gt;</v>
      </c>
      <c r="AC64" s="15" t="str">
        <f t="shared" si="22"/>
        <v>&lt;Valeur name="description"&gt;E-VIR SEPA Dessenne&lt;/Valeur&gt;</v>
      </c>
      <c r="AD64" s="15" t="str">
        <f t="shared" si="23"/>
        <v>&lt;Valeur name="valeur"&gt;-576&lt;/Valeur&gt;</v>
      </c>
      <c r="AE64" s="15" t="str">
        <f t="shared" si="24"/>
        <v>&lt;Valeur name="tvapct"&gt;20&lt;/Valeur&gt;</v>
      </c>
      <c r="AF64" s="15" t="str">
        <f t="shared" si="25"/>
        <v>&lt;Valeur name="tva"&gt;96&lt;/Valeur&gt;</v>
      </c>
      <c r="AG64" s="15" t="s">
        <v>873</v>
      </c>
      <c r="AH64" s="15" t="str">
        <f t="shared" si="26"/>
        <v>&lt;Insert&gt;&lt;Valeur name="no"&gt;63&lt;/Valeur&gt;&lt;Valeur name="societe"&gt;1&lt;/Valeur&gt;&lt;Valeur name="pointer"&gt;1&lt;/Valeur&gt;&lt;Valeur name="datevaleur"&gt;2019/03/12&lt;/Valeur&gt;&lt;Valeur name="datecompta"&gt;2019/02/01&lt;/Valeur&gt;&lt;Valeur name="compte"&gt;53&lt;/Valeur&gt;&lt;Valeur name="description"&gt;E-VIR SEPA Dessenne&lt;/Valeur&gt;&lt;Valeur name="valeur"&gt;-576&lt;/Valeur&gt;&lt;Valeur name="tvapct"&gt;20&lt;/Valeur&gt;&lt;Valeur name="tva"&gt;96&lt;/Valeur&gt;&lt;/Insert&gt;</v>
      </c>
    </row>
    <row r="65" spans="1:34" hidden="1" x14ac:dyDescent="0.25">
      <c r="A65" s="9">
        <v>43497</v>
      </c>
      <c r="B65" s="1">
        <v>43539</v>
      </c>
      <c r="C65" t="str">
        <f>INDEX(Balance!A:A,MATCH(D65,Balance!B:B,0))</f>
        <v>Fournisseurs</v>
      </c>
      <c r="D65" t="s">
        <v>268</v>
      </c>
      <c r="F65">
        <v>666.31</v>
      </c>
      <c r="H65" s="3">
        <f t="shared" si="0"/>
        <v>111.05166666666662</v>
      </c>
      <c r="K65">
        <v>64</v>
      </c>
      <c r="L65">
        <v>1</v>
      </c>
      <c r="M65">
        <v>1</v>
      </c>
      <c r="N65" s="16" t="s">
        <v>905</v>
      </c>
      <c r="O65" s="16" t="s">
        <v>887</v>
      </c>
      <c r="P65">
        <f>IFERROR(VLOOKUP(D65,tab!A:B,2,FALSE),1)</f>
        <v>106</v>
      </c>
      <c r="Q65" s="14" t="str">
        <f t="shared" si="2"/>
        <v/>
      </c>
      <c r="R65">
        <f t="shared" si="3"/>
        <v>-666.31</v>
      </c>
      <c r="S65">
        <v>20</v>
      </c>
      <c r="T65" s="13">
        <f t="shared" si="4"/>
        <v>111.05166666666662</v>
      </c>
      <c r="V65" t="s">
        <v>872</v>
      </c>
      <c r="W65" t="str">
        <f t="shared" si="16"/>
        <v>&lt;Valeur name="no"&gt;64&lt;/Valeur&gt;</v>
      </c>
      <c r="X65" t="str">
        <f t="shared" si="17"/>
        <v>&lt;Valeur name="societe"&gt;1&lt;/Valeur&gt;</v>
      </c>
      <c r="Y65" t="str">
        <f t="shared" si="18"/>
        <v>&lt;Valeur name="pointer"&gt;1&lt;/Valeur&gt;</v>
      </c>
      <c r="Z65" s="15" t="str">
        <f t="shared" si="19"/>
        <v>&lt;Valeur name="datevaleur"&gt;2019/03/15&lt;/Valeur&gt;</v>
      </c>
      <c r="AA65" s="15" t="str">
        <f t="shared" si="20"/>
        <v>&lt;Valeur name="datecompta"&gt;2019/02/01&lt;/Valeur&gt;</v>
      </c>
      <c r="AB65" s="15" t="str">
        <f t="shared" si="21"/>
        <v>&lt;Valeur name="compte"&gt;106&lt;/Valeur&gt;</v>
      </c>
      <c r="AC65" s="15" t="str">
        <f t="shared" si="22"/>
        <v>&lt;Valeur name="description"&gt;&lt;/Valeur&gt;</v>
      </c>
      <c r="AD65" s="15" t="str">
        <f t="shared" si="23"/>
        <v>&lt;Valeur name="valeur"&gt;-666.31&lt;/Valeur&gt;</v>
      </c>
      <c r="AE65" s="15" t="str">
        <f t="shared" si="24"/>
        <v>&lt;Valeur name="tvapct"&gt;20&lt;/Valeur&gt;</v>
      </c>
      <c r="AF65" s="15" t="str">
        <f t="shared" si="25"/>
        <v>&lt;Valeur name="tva"&gt;111.051666666667&lt;/Valeur&gt;</v>
      </c>
      <c r="AG65" s="15" t="s">
        <v>873</v>
      </c>
      <c r="AH65" s="15" t="str">
        <f t="shared" si="26"/>
        <v>&lt;Insert&gt;&lt;Valeur name="no"&gt;64&lt;/Valeur&gt;&lt;Valeur name="societe"&gt;1&lt;/Valeur&gt;&lt;Valeur name="pointer"&gt;1&lt;/Valeur&gt;&lt;Valeur name="datevaleur"&gt;2019/03/15&lt;/Valeur&gt;&lt;Valeur name="datecompta"&gt;2019/02/01&lt;/Valeur&gt;&lt;Valeur name="compte"&gt;106&lt;/Valeur&gt;&lt;Valeur name="description"&gt;&lt;/Valeur&gt;&lt;Valeur name="valeur"&gt;-666.31&lt;/Valeur&gt;&lt;Valeur name="tvapct"&gt;20&lt;/Valeur&gt;&lt;Valeur name="tva"&gt;111.051666666667&lt;/Valeur&gt;&lt;/Insert&gt;</v>
      </c>
    </row>
    <row r="66" spans="1:34" hidden="1" x14ac:dyDescent="0.25">
      <c r="A66" s="9">
        <v>43497</v>
      </c>
      <c r="B66" s="1">
        <v>43556</v>
      </c>
      <c r="C66" t="str">
        <f>INDEX(Balance!A:A,MATCH(D66,Balance!B:B,0))</f>
        <v>Fournisseurs</v>
      </c>
      <c r="D66" t="s">
        <v>277</v>
      </c>
      <c r="F66">
        <v>35.81</v>
      </c>
      <c r="H66" s="3">
        <f t="shared" si="0"/>
        <v>5.9683333333333337</v>
      </c>
      <c r="K66">
        <v>65</v>
      </c>
      <c r="L66">
        <v>1</v>
      </c>
      <c r="M66">
        <v>1</v>
      </c>
      <c r="N66" s="16" t="s">
        <v>907</v>
      </c>
      <c r="O66" s="16" t="s">
        <v>887</v>
      </c>
      <c r="P66">
        <f>IFERROR(VLOOKUP(D66,tab!A:B,2,FALSE),1)</f>
        <v>62</v>
      </c>
      <c r="Q66" s="14" t="str">
        <f t="shared" si="2"/>
        <v/>
      </c>
      <c r="R66">
        <f t="shared" si="3"/>
        <v>-35.81</v>
      </c>
      <c r="S66">
        <v>20</v>
      </c>
      <c r="T66" s="13">
        <f t="shared" si="4"/>
        <v>5.9683333333333337</v>
      </c>
      <c r="V66" t="s">
        <v>872</v>
      </c>
      <c r="W66" t="str">
        <f t="shared" si="16"/>
        <v>&lt;Valeur name="no"&gt;65&lt;/Valeur&gt;</v>
      </c>
      <c r="X66" t="str">
        <f t="shared" si="17"/>
        <v>&lt;Valeur name="societe"&gt;1&lt;/Valeur&gt;</v>
      </c>
      <c r="Y66" t="str">
        <f t="shared" si="18"/>
        <v>&lt;Valeur name="pointer"&gt;1&lt;/Valeur&gt;</v>
      </c>
      <c r="Z66" s="15" t="str">
        <f t="shared" si="19"/>
        <v>&lt;Valeur name="datevaleur"&gt;2019/04/01&lt;/Valeur&gt;</v>
      </c>
      <c r="AA66" s="15" t="str">
        <f t="shared" si="20"/>
        <v>&lt;Valeur name="datecompta"&gt;2019/02/01&lt;/Valeur&gt;</v>
      </c>
      <c r="AB66" s="15" t="str">
        <f t="shared" si="21"/>
        <v>&lt;Valeur name="compte"&gt;62&lt;/Valeur&gt;</v>
      </c>
      <c r="AC66" s="15" t="str">
        <f t="shared" si="22"/>
        <v>&lt;Valeur name="description"&gt;&lt;/Valeur&gt;</v>
      </c>
      <c r="AD66" s="15" t="str">
        <f t="shared" si="23"/>
        <v>&lt;Valeur name="valeur"&gt;-35.81&lt;/Valeur&gt;</v>
      </c>
      <c r="AE66" s="15" t="str">
        <f t="shared" si="24"/>
        <v>&lt;Valeur name="tvapct"&gt;20&lt;/Valeur&gt;</v>
      </c>
      <c r="AF66" s="15" t="str">
        <f t="shared" si="25"/>
        <v>&lt;Valeur name="tva"&gt;5.96833333333333&lt;/Valeur&gt;</v>
      </c>
      <c r="AG66" s="15" t="s">
        <v>873</v>
      </c>
      <c r="AH66" s="15" t="str">
        <f t="shared" si="26"/>
        <v>&lt;Insert&gt;&lt;Valeur name="no"&gt;65&lt;/Valeur&gt;&lt;Valeur name="societe"&gt;1&lt;/Valeur&gt;&lt;Valeur name="pointer"&gt;1&lt;/Valeur&gt;&lt;Valeur name="datevaleur"&gt;2019/04/01&lt;/Valeur&gt;&lt;Valeur name="datecompta"&gt;2019/02/01&lt;/Valeur&gt;&lt;Valeur name="compte"&gt;62&lt;/Valeur&gt;&lt;Valeur name="description"&gt;&lt;/Valeur&gt;&lt;Valeur name="valeur"&gt;-35.81&lt;/Valeur&gt;&lt;Valeur name="tvapct"&gt;20&lt;/Valeur&gt;&lt;Valeur name="tva"&gt;5.96833333333333&lt;/Valeur&gt;&lt;/Insert&gt;</v>
      </c>
    </row>
    <row r="67" spans="1:34" hidden="1" x14ac:dyDescent="0.25">
      <c r="A67" s="9">
        <v>43497</v>
      </c>
      <c r="B67" s="1">
        <v>43556</v>
      </c>
      <c r="C67" t="str">
        <f>INDEX(Balance!A:A,MATCH(D67,Balance!B:B,0))</f>
        <v>Fournisseurs</v>
      </c>
      <c r="D67" t="s">
        <v>275</v>
      </c>
      <c r="F67">
        <v>79.87</v>
      </c>
      <c r="H67" s="3">
        <f t="shared" si="0"/>
        <v>13.311666666666667</v>
      </c>
      <c r="K67">
        <v>66</v>
      </c>
      <c r="L67">
        <v>1</v>
      </c>
      <c r="M67">
        <v>1</v>
      </c>
      <c r="N67" s="16" t="s">
        <v>907</v>
      </c>
      <c r="O67" s="16" t="s">
        <v>887</v>
      </c>
      <c r="P67">
        <f>IFERROR(VLOOKUP(D67,tab!A:B,2,FALSE),1)</f>
        <v>92</v>
      </c>
      <c r="Q67" s="14" t="str">
        <f t="shared" ref="Q67:Q130" si="27">IF(ISBLANK(E67),"",E67)</f>
        <v/>
      </c>
      <c r="R67">
        <f t="shared" ref="R67:R130" si="28">G67-F67</f>
        <v>-79.87</v>
      </c>
      <c r="S67">
        <v>20</v>
      </c>
      <c r="T67" s="13">
        <f t="shared" ref="T67:T130" si="29">H67</f>
        <v>13.311666666666667</v>
      </c>
      <c r="V67" t="s">
        <v>872</v>
      </c>
      <c r="W67" t="str">
        <f t="shared" si="16"/>
        <v>&lt;Valeur name="no"&gt;66&lt;/Valeur&gt;</v>
      </c>
      <c r="X67" t="str">
        <f t="shared" si="17"/>
        <v>&lt;Valeur name="societe"&gt;1&lt;/Valeur&gt;</v>
      </c>
      <c r="Y67" t="str">
        <f t="shared" si="18"/>
        <v>&lt;Valeur name="pointer"&gt;1&lt;/Valeur&gt;</v>
      </c>
      <c r="Z67" s="15" t="str">
        <f t="shared" si="19"/>
        <v>&lt;Valeur name="datevaleur"&gt;2019/04/01&lt;/Valeur&gt;</v>
      </c>
      <c r="AA67" s="15" t="str">
        <f t="shared" si="20"/>
        <v>&lt;Valeur name="datecompta"&gt;2019/02/01&lt;/Valeur&gt;</v>
      </c>
      <c r="AB67" s="15" t="str">
        <f t="shared" si="21"/>
        <v>&lt;Valeur name="compte"&gt;92&lt;/Valeur&gt;</v>
      </c>
      <c r="AC67" s="15" t="str">
        <f t="shared" si="22"/>
        <v>&lt;Valeur name="description"&gt;&lt;/Valeur&gt;</v>
      </c>
      <c r="AD67" s="15" t="str">
        <f t="shared" si="23"/>
        <v>&lt;Valeur name="valeur"&gt;-79.87&lt;/Valeur&gt;</v>
      </c>
      <c r="AE67" s="15" t="str">
        <f t="shared" si="24"/>
        <v>&lt;Valeur name="tvapct"&gt;20&lt;/Valeur&gt;</v>
      </c>
      <c r="AF67" s="15" t="str">
        <f t="shared" si="25"/>
        <v>&lt;Valeur name="tva"&gt;13.3116666666667&lt;/Valeur&gt;</v>
      </c>
      <c r="AG67" s="15" t="s">
        <v>873</v>
      </c>
      <c r="AH67" s="15" t="str">
        <f t="shared" si="26"/>
        <v>&lt;Insert&gt;&lt;Valeur name="no"&gt;66&lt;/Valeur&gt;&lt;Valeur name="societe"&gt;1&lt;/Valeur&gt;&lt;Valeur name="pointer"&gt;1&lt;/Valeur&gt;&lt;Valeur name="datevaleur"&gt;2019/04/01&lt;/Valeur&gt;&lt;Valeur name="datecompta"&gt;2019/02/01&lt;/Valeur&gt;&lt;Valeur name="compte"&gt;92&lt;/Valeur&gt;&lt;Valeur name="description"&gt;&lt;/Valeur&gt;&lt;Valeur name="valeur"&gt;-79.87&lt;/Valeur&gt;&lt;Valeur name="tvapct"&gt;20&lt;/Valeur&gt;&lt;Valeur name="tva"&gt;13.3116666666667&lt;/Valeur&gt;&lt;/Insert&gt;</v>
      </c>
    </row>
    <row r="68" spans="1:34" hidden="1" x14ac:dyDescent="0.25">
      <c r="A68" s="9">
        <v>43497</v>
      </c>
      <c r="B68" s="1">
        <v>43556</v>
      </c>
      <c r="C68" t="str">
        <f>INDEX(Balance!A:A,MATCH(D68,Balance!B:B,0))</f>
        <v>Fournisseurs</v>
      </c>
      <c r="D68" t="s">
        <v>298</v>
      </c>
      <c r="F68">
        <v>99.26</v>
      </c>
      <c r="H68" s="3">
        <f t="shared" ref="H68:H131" si="30">IF(F68&gt;0,F68-(F68/TVA),-(G68-(G68/TVA)))</f>
        <v>16.543333333333337</v>
      </c>
      <c r="K68">
        <v>67</v>
      </c>
      <c r="L68">
        <v>1</v>
      </c>
      <c r="M68">
        <v>1</v>
      </c>
      <c r="N68" s="16" t="s">
        <v>907</v>
      </c>
      <c r="O68" s="16" t="s">
        <v>887</v>
      </c>
      <c r="P68">
        <f>IFERROR(VLOOKUP(D68,tab!A:B,2,FALSE),1)</f>
        <v>81</v>
      </c>
      <c r="Q68" s="14" t="str">
        <f t="shared" si="27"/>
        <v/>
      </c>
      <c r="R68">
        <f t="shared" si="28"/>
        <v>-99.26</v>
      </c>
      <c r="S68">
        <v>20</v>
      </c>
      <c r="T68" s="13">
        <f t="shared" si="29"/>
        <v>16.543333333333337</v>
      </c>
      <c r="V68" t="s">
        <v>872</v>
      </c>
      <c r="W68" t="str">
        <f t="shared" si="16"/>
        <v>&lt;Valeur name="no"&gt;67&lt;/Valeur&gt;</v>
      </c>
      <c r="X68" t="str">
        <f t="shared" si="17"/>
        <v>&lt;Valeur name="societe"&gt;1&lt;/Valeur&gt;</v>
      </c>
      <c r="Y68" t="str">
        <f t="shared" si="18"/>
        <v>&lt;Valeur name="pointer"&gt;1&lt;/Valeur&gt;</v>
      </c>
      <c r="Z68" s="15" t="str">
        <f t="shared" si="19"/>
        <v>&lt;Valeur name="datevaleur"&gt;2019/04/01&lt;/Valeur&gt;</v>
      </c>
      <c r="AA68" s="15" t="str">
        <f t="shared" si="20"/>
        <v>&lt;Valeur name="datecompta"&gt;2019/02/01&lt;/Valeur&gt;</v>
      </c>
      <c r="AB68" s="15" t="str">
        <f t="shared" si="21"/>
        <v>&lt;Valeur name="compte"&gt;81&lt;/Valeur&gt;</v>
      </c>
      <c r="AC68" s="15" t="str">
        <f t="shared" si="22"/>
        <v>&lt;Valeur name="description"&gt;&lt;/Valeur&gt;</v>
      </c>
      <c r="AD68" s="15" t="str">
        <f t="shared" si="23"/>
        <v>&lt;Valeur name="valeur"&gt;-99.26&lt;/Valeur&gt;</v>
      </c>
      <c r="AE68" s="15" t="str">
        <f t="shared" si="24"/>
        <v>&lt;Valeur name="tvapct"&gt;20&lt;/Valeur&gt;</v>
      </c>
      <c r="AF68" s="15" t="str">
        <f t="shared" si="25"/>
        <v>&lt;Valeur name="tva"&gt;16.5433333333333&lt;/Valeur&gt;</v>
      </c>
      <c r="AG68" s="15" t="s">
        <v>873</v>
      </c>
      <c r="AH68" s="15" t="str">
        <f t="shared" si="26"/>
        <v>&lt;Insert&gt;&lt;Valeur name="no"&gt;67&lt;/Valeur&gt;&lt;Valeur name="societe"&gt;1&lt;/Valeur&gt;&lt;Valeur name="pointer"&gt;1&lt;/Valeur&gt;&lt;Valeur name="datevaleur"&gt;2019/04/01&lt;/Valeur&gt;&lt;Valeur name="datecompta"&gt;2019/02/01&lt;/Valeur&gt;&lt;Valeur name="compte"&gt;81&lt;/Valeur&gt;&lt;Valeur name="description"&gt;&lt;/Valeur&gt;&lt;Valeur name="valeur"&gt;-99.26&lt;/Valeur&gt;&lt;Valeur name="tvapct"&gt;20&lt;/Valeur&gt;&lt;Valeur name="tva"&gt;16.5433333333333&lt;/Valeur&gt;&lt;/Insert&gt;</v>
      </c>
    </row>
    <row r="69" spans="1:34" hidden="1" x14ac:dyDescent="0.25">
      <c r="A69" s="9">
        <v>43497</v>
      </c>
      <c r="B69" s="1">
        <v>43556</v>
      </c>
      <c r="C69" t="str">
        <f>INDEX(Balance!A:A,MATCH(D69,Balance!B:B,0))</f>
        <v>Fournisseurs</v>
      </c>
      <c r="D69" t="s">
        <v>276</v>
      </c>
      <c r="F69">
        <v>236.69</v>
      </c>
      <c r="H69" s="3">
        <f t="shared" si="30"/>
        <v>39.448333333333323</v>
      </c>
      <c r="K69">
        <v>68</v>
      </c>
      <c r="L69">
        <v>1</v>
      </c>
      <c r="M69">
        <v>1</v>
      </c>
      <c r="N69" s="16" t="s">
        <v>907</v>
      </c>
      <c r="O69" s="16" t="s">
        <v>887</v>
      </c>
      <c r="P69">
        <f>IFERROR(VLOOKUP(D69,tab!A:B,2,FALSE),1)</f>
        <v>114</v>
      </c>
      <c r="Q69" s="14" t="str">
        <f t="shared" si="27"/>
        <v/>
      </c>
      <c r="R69">
        <f t="shared" si="28"/>
        <v>-236.69</v>
      </c>
      <c r="S69">
        <v>20</v>
      </c>
      <c r="T69" s="13">
        <f t="shared" si="29"/>
        <v>39.448333333333323</v>
      </c>
      <c r="V69" t="s">
        <v>872</v>
      </c>
      <c r="W69" t="str">
        <f t="shared" si="16"/>
        <v>&lt;Valeur name="no"&gt;68&lt;/Valeur&gt;</v>
      </c>
      <c r="X69" t="str">
        <f t="shared" si="17"/>
        <v>&lt;Valeur name="societe"&gt;1&lt;/Valeur&gt;</v>
      </c>
      <c r="Y69" t="str">
        <f t="shared" si="18"/>
        <v>&lt;Valeur name="pointer"&gt;1&lt;/Valeur&gt;</v>
      </c>
      <c r="Z69" s="15" t="str">
        <f t="shared" si="19"/>
        <v>&lt;Valeur name="datevaleur"&gt;2019/04/01&lt;/Valeur&gt;</v>
      </c>
      <c r="AA69" s="15" t="str">
        <f t="shared" si="20"/>
        <v>&lt;Valeur name="datecompta"&gt;2019/02/01&lt;/Valeur&gt;</v>
      </c>
      <c r="AB69" s="15" t="str">
        <f t="shared" si="21"/>
        <v>&lt;Valeur name="compte"&gt;114&lt;/Valeur&gt;</v>
      </c>
      <c r="AC69" s="15" t="str">
        <f t="shared" si="22"/>
        <v>&lt;Valeur name="description"&gt;&lt;/Valeur&gt;</v>
      </c>
      <c r="AD69" s="15" t="str">
        <f t="shared" si="23"/>
        <v>&lt;Valeur name="valeur"&gt;-236.69&lt;/Valeur&gt;</v>
      </c>
      <c r="AE69" s="15" t="str">
        <f t="shared" si="24"/>
        <v>&lt;Valeur name="tvapct"&gt;20&lt;/Valeur&gt;</v>
      </c>
      <c r="AF69" s="15" t="str">
        <f t="shared" si="25"/>
        <v>&lt;Valeur name="tva"&gt;39.4483333333333&lt;/Valeur&gt;</v>
      </c>
      <c r="AG69" s="15" t="s">
        <v>873</v>
      </c>
      <c r="AH69" s="15" t="str">
        <f t="shared" si="26"/>
        <v>&lt;Insert&gt;&lt;Valeur name="no"&gt;68&lt;/Valeur&gt;&lt;Valeur name="societe"&gt;1&lt;/Valeur&gt;&lt;Valeur name="pointer"&gt;1&lt;/Valeur&gt;&lt;Valeur name="datevaleur"&gt;2019/04/01&lt;/Valeur&gt;&lt;Valeur name="datecompta"&gt;2019/02/01&lt;/Valeur&gt;&lt;Valeur name="compte"&gt;114&lt;/Valeur&gt;&lt;Valeur name="description"&gt;&lt;/Valeur&gt;&lt;Valeur name="valeur"&gt;-236.69&lt;/Valeur&gt;&lt;Valeur name="tvapct"&gt;20&lt;/Valeur&gt;&lt;Valeur name="tva"&gt;39.4483333333333&lt;/Valeur&gt;&lt;/Insert&gt;</v>
      </c>
    </row>
    <row r="70" spans="1:34" hidden="1" x14ac:dyDescent="0.25">
      <c r="A70" s="9">
        <v>43497</v>
      </c>
      <c r="B70" s="1">
        <v>43556</v>
      </c>
      <c r="C70" t="str">
        <f>INDEX(Balance!A:A,MATCH(D70,Balance!B:B,0))</f>
        <v>Fournisseurs</v>
      </c>
      <c r="D70" t="s">
        <v>273</v>
      </c>
      <c r="F70">
        <v>285.91000000000003</v>
      </c>
      <c r="H70" s="3">
        <f t="shared" si="30"/>
        <v>47.651666666666671</v>
      </c>
      <c r="K70">
        <v>69</v>
      </c>
      <c r="L70">
        <v>1</v>
      </c>
      <c r="M70">
        <v>1</v>
      </c>
      <c r="N70" s="16" t="s">
        <v>907</v>
      </c>
      <c r="O70" s="16" t="s">
        <v>887</v>
      </c>
      <c r="P70">
        <f>IFERROR(VLOOKUP(D70,tab!A:B,2,FALSE),1)</f>
        <v>32</v>
      </c>
      <c r="Q70" s="14" t="str">
        <f t="shared" si="27"/>
        <v/>
      </c>
      <c r="R70">
        <f t="shared" si="28"/>
        <v>-285.91000000000003</v>
      </c>
      <c r="S70">
        <v>20</v>
      </c>
      <c r="T70" s="13">
        <f t="shared" si="29"/>
        <v>47.651666666666671</v>
      </c>
      <c r="V70" t="s">
        <v>872</v>
      </c>
      <c r="W70" t="str">
        <f t="shared" si="16"/>
        <v>&lt;Valeur name="no"&gt;69&lt;/Valeur&gt;</v>
      </c>
      <c r="X70" t="str">
        <f t="shared" si="17"/>
        <v>&lt;Valeur name="societe"&gt;1&lt;/Valeur&gt;</v>
      </c>
      <c r="Y70" t="str">
        <f t="shared" si="18"/>
        <v>&lt;Valeur name="pointer"&gt;1&lt;/Valeur&gt;</v>
      </c>
      <c r="Z70" s="15" t="str">
        <f t="shared" si="19"/>
        <v>&lt;Valeur name="datevaleur"&gt;2019/04/01&lt;/Valeur&gt;</v>
      </c>
      <c r="AA70" s="15" t="str">
        <f t="shared" si="20"/>
        <v>&lt;Valeur name="datecompta"&gt;2019/02/01&lt;/Valeur&gt;</v>
      </c>
      <c r="AB70" s="15" t="str">
        <f t="shared" si="21"/>
        <v>&lt;Valeur name="compte"&gt;32&lt;/Valeur&gt;</v>
      </c>
      <c r="AC70" s="15" t="str">
        <f t="shared" si="22"/>
        <v>&lt;Valeur name="description"&gt;&lt;/Valeur&gt;</v>
      </c>
      <c r="AD70" s="15" t="str">
        <f t="shared" si="23"/>
        <v>&lt;Valeur name="valeur"&gt;-285.91&lt;/Valeur&gt;</v>
      </c>
      <c r="AE70" s="15" t="str">
        <f t="shared" si="24"/>
        <v>&lt;Valeur name="tvapct"&gt;20&lt;/Valeur&gt;</v>
      </c>
      <c r="AF70" s="15" t="str">
        <f t="shared" si="25"/>
        <v>&lt;Valeur name="tva"&gt;47.6516666666667&lt;/Valeur&gt;</v>
      </c>
      <c r="AG70" s="15" t="s">
        <v>873</v>
      </c>
      <c r="AH70" s="15" t="str">
        <f t="shared" si="26"/>
        <v>&lt;Insert&gt;&lt;Valeur name="no"&gt;69&lt;/Valeur&gt;&lt;Valeur name="societe"&gt;1&lt;/Valeur&gt;&lt;Valeur name="pointer"&gt;1&lt;/Valeur&gt;&lt;Valeur name="datevaleur"&gt;2019/04/01&lt;/Valeur&gt;&lt;Valeur name="datecompta"&gt;2019/02/01&lt;/Valeur&gt;&lt;Valeur name="compte"&gt;32&lt;/Valeur&gt;&lt;Valeur name="description"&gt;&lt;/Valeur&gt;&lt;Valeur name="valeur"&gt;-285.91&lt;/Valeur&gt;&lt;Valeur name="tvapct"&gt;20&lt;/Valeur&gt;&lt;Valeur name="tva"&gt;47.6516666666667&lt;/Valeur&gt;&lt;/Insert&gt;</v>
      </c>
    </row>
    <row r="71" spans="1:34" hidden="1" x14ac:dyDescent="0.25">
      <c r="A71" s="9">
        <v>43497</v>
      </c>
      <c r="B71" s="1">
        <v>43556</v>
      </c>
      <c r="C71" t="str">
        <f>INDEX(Balance!A:A,MATCH(D71,Balance!B:B,0))</f>
        <v>Fournisseurs</v>
      </c>
      <c r="D71" t="s">
        <v>274</v>
      </c>
      <c r="F71">
        <v>753.74</v>
      </c>
      <c r="H71" s="3">
        <f t="shared" si="30"/>
        <v>125.62333333333333</v>
      </c>
      <c r="K71">
        <v>70</v>
      </c>
      <c r="L71">
        <v>1</v>
      </c>
      <c r="M71">
        <v>1</v>
      </c>
      <c r="N71" s="16" t="s">
        <v>907</v>
      </c>
      <c r="O71" s="16" t="s">
        <v>887</v>
      </c>
      <c r="P71">
        <f>IFERROR(VLOOKUP(D71,tab!A:B,2,FALSE),1)</f>
        <v>63</v>
      </c>
      <c r="Q71" s="14" t="str">
        <f t="shared" si="27"/>
        <v/>
      </c>
      <c r="R71">
        <f t="shared" si="28"/>
        <v>-753.74</v>
      </c>
      <c r="S71">
        <v>20</v>
      </c>
      <c r="T71" s="13">
        <f t="shared" si="29"/>
        <v>125.62333333333333</v>
      </c>
      <c r="V71" t="s">
        <v>872</v>
      </c>
      <c r="W71" t="str">
        <f t="shared" si="16"/>
        <v>&lt;Valeur name="no"&gt;70&lt;/Valeur&gt;</v>
      </c>
      <c r="X71" t="str">
        <f t="shared" si="17"/>
        <v>&lt;Valeur name="societe"&gt;1&lt;/Valeur&gt;</v>
      </c>
      <c r="Y71" t="str">
        <f t="shared" si="18"/>
        <v>&lt;Valeur name="pointer"&gt;1&lt;/Valeur&gt;</v>
      </c>
      <c r="Z71" s="15" t="str">
        <f t="shared" si="19"/>
        <v>&lt;Valeur name="datevaleur"&gt;2019/04/01&lt;/Valeur&gt;</v>
      </c>
      <c r="AA71" s="15" t="str">
        <f t="shared" si="20"/>
        <v>&lt;Valeur name="datecompta"&gt;2019/02/01&lt;/Valeur&gt;</v>
      </c>
      <c r="AB71" s="15" t="str">
        <f t="shared" si="21"/>
        <v>&lt;Valeur name="compte"&gt;63&lt;/Valeur&gt;</v>
      </c>
      <c r="AC71" s="15" t="str">
        <f t="shared" si="22"/>
        <v>&lt;Valeur name="description"&gt;&lt;/Valeur&gt;</v>
      </c>
      <c r="AD71" s="15" t="str">
        <f t="shared" si="23"/>
        <v>&lt;Valeur name="valeur"&gt;-753.74&lt;/Valeur&gt;</v>
      </c>
      <c r="AE71" s="15" t="str">
        <f t="shared" si="24"/>
        <v>&lt;Valeur name="tvapct"&gt;20&lt;/Valeur&gt;</v>
      </c>
      <c r="AF71" s="15" t="str">
        <f t="shared" si="25"/>
        <v>&lt;Valeur name="tva"&gt;125.623333333333&lt;/Valeur&gt;</v>
      </c>
      <c r="AG71" s="15" t="s">
        <v>873</v>
      </c>
      <c r="AH71" s="15" t="str">
        <f t="shared" si="26"/>
        <v>&lt;Insert&gt;&lt;Valeur name="no"&gt;70&lt;/Valeur&gt;&lt;Valeur name="societe"&gt;1&lt;/Valeur&gt;&lt;Valeur name="pointer"&gt;1&lt;/Valeur&gt;&lt;Valeur name="datevaleur"&gt;2019/04/01&lt;/Valeur&gt;&lt;Valeur name="datecompta"&gt;2019/02/01&lt;/Valeur&gt;&lt;Valeur name="compte"&gt;63&lt;/Valeur&gt;&lt;Valeur name="description"&gt;&lt;/Valeur&gt;&lt;Valeur name="valeur"&gt;-753.74&lt;/Valeur&gt;&lt;Valeur name="tvapct"&gt;20&lt;/Valeur&gt;&lt;Valeur name="tva"&gt;125.623333333333&lt;/Valeur&gt;&lt;/Insert&gt;</v>
      </c>
    </row>
    <row r="72" spans="1:34" hidden="1" x14ac:dyDescent="0.25">
      <c r="A72" s="9">
        <v>43497</v>
      </c>
      <c r="B72" s="1">
        <v>43556</v>
      </c>
      <c r="C72" t="str">
        <f>INDEX(Balance!A:A,MATCH(D72,Balance!B:B,0))</f>
        <v>Fournisseurs</v>
      </c>
      <c r="D72" t="s">
        <v>259</v>
      </c>
      <c r="F72">
        <v>1871.94</v>
      </c>
      <c r="H72" s="3">
        <f t="shared" si="30"/>
        <v>311.99</v>
      </c>
      <c r="K72">
        <v>71</v>
      </c>
      <c r="L72">
        <v>1</v>
      </c>
      <c r="M72">
        <v>1</v>
      </c>
      <c r="N72" s="16" t="s">
        <v>907</v>
      </c>
      <c r="O72" s="16" t="s">
        <v>887</v>
      </c>
      <c r="P72">
        <f>IFERROR(VLOOKUP(D72,tab!A:B,2,FALSE),1)</f>
        <v>72</v>
      </c>
      <c r="Q72" s="14" t="str">
        <f t="shared" si="27"/>
        <v/>
      </c>
      <c r="R72">
        <f t="shared" si="28"/>
        <v>-1871.94</v>
      </c>
      <c r="S72">
        <v>20</v>
      </c>
      <c r="T72" s="13">
        <f t="shared" si="29"/>
        <v>311.99</v>
      </c>
      <c r="V72" t="s">
        <v>872</v>
      </c>
      <c r="W72" t="str">
        <f t="shared" si="16"/>
        <v>&lt;Valeur name="no"&gt;71&lt;/Valeur&gt;</v>
      </c>
      <c r="X72" t="str">
        <f t="shared" si="17"/>
        <v>&lt;Valeur name="societe"&gt;1&lt;/Valeur&gt;</v>
      </c>
      <c r="Y72" t="str">
        <f t="shared" si="18"/>
        <v>&lt;Valeur name="pointer"&gt;1&lt;/Valeur&gt;</v>
      </c>
      <c r="Z72" s="15" t="str">
        <f t="shared" si="19"/>
        <v>&lt;Valeur name="datevaleur"&gt;2019/04/01&lt;/Valeur&gt;</v>
      </c>
      <c r="AA72" s="15" t="str">
        <f t="shared" si="20"/>
        <v>&lt;Valeur name="datecompta"&gt;2019/02/01&lt;/Valeur&gt;</v>
      </c>
      <c r="AB72" s="15" t="str">
        <f t="shared" si="21"/>
        <v>&lt;Valeur name="compte"&gt;72&lt;/Valeur&gt;</v>
      </c>
      <c r="AC72" s="15" t="str">
        <f t="shared" si="22"/>
        <v>&lt;Valeur name="description"&gt;&lt;/Valeur&gt;</v>
      </c>
      <c r="AD72" s="15" t="str">
        <f t="shared" si="23"/>
        <v>&lt;Valeur name="valeur"&gt;-1871.94&lt;/Valeur&gt;</v>
      </c>
      <c r="AE72" s="15" t="str">
        <f t="shared" si="24"/>
        <v>&lt;Valeur name="tvapct"&gt;20&lt;/Valeur&gt;</v>
      </c>
      <c r="AF72" s="15" t="str">
        <f t="shared" si="25"/>
        <v>&lt;Valeur name="tva"&gt;311.99&lt;/Valeur&gt;</v>
      </c>
      <c r="AG72" s="15" t="s">
        <v>873</v>
      </c>
      <c r="AH72" s="15" t="str">
        <f t="shared" si="26"/>
        <v>&lt;Insert&gt;&lt;Valeur name="no"&gt;71&lt;/Valeur&gt;&lt;Valeur name="societe"&gt;1&lt;/Valeur&gt;&lt;Valeur name="pointer"&gt;1&lt;/Valeur&gt;&lt;Valeur name="datevaleur"&gt;2019/04/01&lt;/Valeur&gt;&lt;Valeur name="datecompta"&gt;2019/02/01&lt;/Valeur&gt;&lt;Valeur name="compte"&gt;72&lt;/Valeur&gt;&lt;Valeur name="description"&gt;&lt;/Valeur&gt;&lt;Valeur name="valeur"&gt;-1871.94&lt;/Valeur&gt;&lt;Valeur name="tvapct"&gt;20&lt;/Valeur&gt;&lt;Valeur name="tva"&gt;311.99&lt;/Valeur&gt;&lt;/Insert&gt;</v>
      </c>
    </row>
    <row r="73" spans="1:34" hidden="1" x14ac:dyDescent="0.25">
      <c r="A73" s="9">
        <v>43497</v>
      </c>
      <c r="B73" s="1">
        <v>43565</v>
      </c>
      <c r="C73" t="str">
        <f>INDEX(Balance!A:A,MATCH(D73,Balance!B:B,0))</f>
        <v>Fournisseurs</v>
      </c>
      <c r="D73" t="s">
        <v>288</v>
      </c>
      <c r="F73">
        <v>464.4</v>
      </c>
      <c r="H73" s="3">
        <f t="shared" si="30"/>
        <v>77.399999999999977</v>
      </c>
      <c r="K73">
        <v>72</v>
      </c>
      <c r="L73">
        <v>1</v>
      </c>
      <c r="M73">
        <v>1</v>
      </c>
      <c r="N73" s="16" t="s">
        <v>908</v>
      </c>
      <c r="O73" s="16" t="s">
        <v>887</v>
      </c>
      <c r="P73">
        <f>IFERROR(VLOOKUP(D73,tab!A:B,2,FALSE),1)</f>
        <v>120</v>
      </c>
      <c r="Q73" s="14" t="str">
        <f t="shared" si="27"/>
        <v/>
      </c>
      <c r="R73">
        <f t="shared" si="28"/>
        <v>-464.4</v>
      </c>
      <c r="S73">
        <v>20</v>
      </c>
      <c r="T73" s="13">
        <f t="shared" si="29"/>
        <v>77.399999999999977</v>
      </c>
      <c r="V73" t="s">
        <v>872</v>
      </c>
      <c r="W73" t="str">
        <f t="shared" si="16"/>
        <v>&lt;Valeur name="no"&gt;72&lt;/Valeur&gt;</v>
      </c>
      <c r="X73" t="str">
        <f t="shared" si="17"/>
        <v>&lt;Valeur name="societe"&gt;1&lt;/Valeur&gt;</v>
      </c>
      <c r="Y73" t="str">
        <f t="shared" si="18"/>
        <v>&lt;Valeur name="pointer"&gt;1&lt;/Valeur&gt;</v>
      </c>
      <c r="Z73" s="15" t="str">
        <f t="shared" si="19"/>
        <v>&lt;Valeur name="datevaleur"&gt;2019/04/10&lt;/Valeur&gt;</v>
      </c>
      <c r="AA73" s="15" t="str">
        <f t="shared" si="20"/>
        <v>&lt;Valeur name="datecompta"&gt;2019/02/01&lt;/Valeur&gt;</v>
      </c>
      <c r="AB73" s="15" t="str">
        <f t="shared" si="21"/>
        <v>&lt;Valeur name="compte"&gt;120&lt;/Valeur&gt;</v>
      </c>
      <c r="AC73" s="15" t="str">
        <f t="shared" si="22"/>
        <v>&lt;Valeur name="description"&gt;&lt;/Valeur&gt;</v>
      </c>
      <c r="AD73" s="15" t="str">
        <f t="shared" si="23"/>
        <v>&lt;Valeur name="valeur"&gt;-464.4&lt;/Valeur&gt;</v>
      </c>
      <c r="AE73" s="15" t="str">
        <f t="shared" si="24"/>
        <v>&lt;Valeur name="tvapct"&gt;20&lt;/Valeur&gt;</v>
      </c>
      <c r="AF73" s="15" t="str">
        <f t="shared" si="25"/>
        <v>&lt;Valeur name="tva"&gt;77.4&lt;/Valeur&gt;</v>
      </c>
      <c r="AG73" s="15" t="s">
        <v>873</v>
      </c>
      <c r="AH73" s="15" t="str">
        <f t="shared" si="26"/>
        <v>&lt;Insert&gt;&lt;Valeur name="no"&gt;72&lt;/Valeur&gt;&lt;Valeur name="societe"&gt;1&lt;/Valeur&gt;&lt;Valeur name="pointer"&gt;1&lt;/Valeur&gt;&lt;Valeur name="datevaleur"&gt;2019/04/10&lt;/Valeur&gt;&lt;Valeur name="datecompta"&gt;2019/02/01&lt;/Valeur&gt;&lt;Valeur name="compte"&gt;120&lt;/Valeur&gt;&lt;Valeur name="description"&gt;&lt;/Valeur&gt;&lt;Valeur name="valeur"&gt;-464.4&lt;/Valeur&gt;&lt;Valeur name="tvapct"&gt;20&lt;/Valeur&gt;&lt;Valeur name="tva"&gt;77.4&lt;/Valeur&gt;&lt;/Insert&gt;</v>
      </c>
    </row>
    <row r="74" spans="1:34" hidden="1" x14ac:dyDescent="0.25">
      <c r="A74" s="9">
        <v>43497</v>
      </c>
      <c r="B74" s="1">
        <v>43569</v>
      </c>
      <c r="C74" t="str">
        <f>INDEX(Balance!A:A,MATCH(D74,Balance!B:B,0))</f>
        <v>Fournisseurs</v>
      </c>
      <c r="D74" t="s">
        <v>281</v>
      </c>
      <c r="F74">
        <v>1864.8</v>
      </c>
      <c r="H74" s="3">
        <f t="shared" si="30"/>
        <v>310.79999999999995</v>
      </c>
      <c r="K74">
        <v>73</v>
      </c>
      <c r="L74">
        <v>1</v>
      </c>
      <c r="M74">
        <v>1</v>
      </c>
      <c r="N74" s="16" t="s">
        <v>909</v>
      </c>
      <c r="O74" s="16" t="s">
        <v>887</v>
      </c>
      <c r="P74">
        <f>IFERROR(VLOOKUP(D74,tab!A:B,2,FALSE),1)</f>
        <v>77</v>
      </c>
      <c r="Q74" s="14" t="str">
        <f t="shared" si="27"/>
        <v/>
      </c>
      <c r="R74">
        <f t="shared" si="28"/>
        <v>-1864.8</v>
      </c>
      <c r="S74">
        <v>20</v>
      </c>
      <c r="T74" s="13">
        <f t="shared" si="29"/>
        <v>310.79999999999995</v>
      </c>
      <c r="V74" t="s">
        <v>872</v>
      </c>
      <c r="W74" t="str">
        <f t="shared" si="16"/>
        <v>&lt;Valeur name="no"&gt;73&lt;/Valeur&gt;</v>
      </c>
      <c r="X74" t="str">
        <f t="shared" si="17"/>
        <v>&lt;Valeur name="societe"&gt;1&lt;/Valeur&gt;</v>
      </c>
      <c r="Y74" t="str">
        <f t="shared" si="18"/>
        <v>&lt;Valeur name="pointer"&gt;1&lt;/Valeur&gt;</v>
      </c>
      <c r="Z74" s="15" t="str">
        <f t="shared" si="19"/>
        <v>&lt;Valeur name="datevaleur"&gt;2019/04/14&lt;/Valeur&gt;</v>
      </c>
      <c r="AA74" s="15" t="str">
        <f t="shared" si="20"/>
        <v>&lt;Valeur name="datecompta"&gt;2019/02/01&lt;/Valeur&gt;</v>
      </c>
      <c r="AB74" s="15" t="str">
        <f t="shared" si="21"/>
        <v>&lt;Valeur name="compte"&gt;77&lt;/Valeur&gt;</v>
      </c>
      <c r="AC74" s="15" t="str">
        <f t="shared" si="22"/>
        <v>&lt;Valeur name="description"&gt;&lt;/Valeur&gt;</v>
      </c>
      <c r="AD74" s="15" t="str">
        <f t="shared" si="23"/>
        <v>&lt;Valeur name="valeur"&gt;-1864.8&lt;/Valeur&gt;</v>
      </c>
      <c r="AE74" s="15" t="str">
        <f t="shared" si="24"/>
        <v>&lt;Valeur name="tvapct"&gt;20&lt;/Valeur&gt;</v>
      </c>
      <c r="AF74" s="15" t="str">
        <f t="shared" si="25"/>
        <v>&lt;Valeur name="tva"&gt;310.8&lt;/Valeur&gt;</v>
      </c>
      <c r="AG74" s="15" t="s">
        <v>873</v>
      </c>
      <c r="AH74" s="15" t="str">
        <f t="shared" si="26"/>
        <v>&lt;Insert&gt;&lt;Valeur name="no"&gt;73&lt;/Valeur&gt;&lt;Valeur name="societe"&gt;1&lt;/Valeur&gt;&lt;Valeur name="pointer"&gt;1&lt;/Valeur&gt;&lt;Valeur name="datevaleur"&gt;2019/04/14&lt;/Valeur&gt;&lt;Valeur name="datecompta"&gt;2019/02/01&lt;/Valeur&gt;&lt;Valeur name="compte"&gt;77&lt;/Valeur&gt;&lt;Valeur name="description"&gt;&lt;/Valeur&gt;&lt;Valeur name="valeur"&gt;-1864.8&lt;/Valeur&gt;&lt;Valeur name="tvapct"&gt;20&lt;/Valeur&gt;&lt;Valeur name="tva"&gt;310.8&lt;/Valeur&gt;&lt;/Insert&gt;</v>
      </c>
    </row>
    <row r="75" spans="1:34" hidden="1" x14ac:dyDescent="0.25">
      <c r="A75" s="9">
        <v>43497</v>
      </c>
      <c r="B75" s="1">
        <v>43569</v>
      </c>
      <c r="C75" t="str">
        <f>INDEX(Balance!A:A,MATCH(D75,Balance!B:B,0))</f>
        <v>Fournisseurs</v>
      </c>
      <c r="D75" t="s">
        <v>270</v>
      </c>
      <c r="F75">
        <v>5042.08</v>
      </c>
      <c r="H75" s="3">
        <f t="shared" si="30"/>
        <v>840.34666666666635</v>
      </c>
      <c r="K75">
        <v>74</v>
      </c>
      <c r="L75">
        <v>1</v>
      </c>
      <c r="M75">
        <v>1</v>
      </c>
      <c r="N75" s="16" t="s">
        <v>909</v>
      </c>
      <c r="O75" s="16" t="s">
        <v>887</v>
      </c>
      <c r="P75">
        <f>IFERROR(VLOOKUP(D75,tab!A:B,2,FALSE),1)</f>
        <v>110</v>
      </c>
      <c r="Q75" s="14" t="str">
        <f t="shared" si="27"/>
        <v/>
      </c>
      <c r="R75">
        <f t="shared" si="28"/>
        <v>-5042.08</v>
      </c>
      <c r="S75">
        <v>20</v>
      </c>
      <c r="T75" s="13">
        <f t="shared" si="29"/>
        <v>840.34666666666635</v>
      </c>
      <c r="V75" t="s">
        <v>872</v>
      </c>
      <c r="W75" t="str">
        <f t="shared" si="16"/>
        <v>&lt;Valeur name="no"&gt;74&lt;/Valeur&gt;</v>
      </c>
      <c r="X75" t="str">
        <f t="shared" si="17"/>
        <v>&lt;Valeur name="societe"&gt;1&lt;/Valeur&gt;</v>
      </c>
      <c r="Y75" t="str">
        <f t="shared" si="18"/>
        <v>&lt;Valeur name="pointer"&gt;1&lt;/Valeur&gt;</v>
      </c>
      <c r="Z75" s="15" t="str">
        <f t="shared" si="19"/>
        <v>&lt;Valeur name="datevaleur"&gt;2019/04/14&lt;/Valeur&gt;</v>
      </c>
      <c r="AA75" s="15" t="str">
        <f t="shared" si="20"/>
        <v>&lt;Valeur name="datecompta"&gt;2019/02/01&lt;/Valeur&gt;</v>
      </c>
      <c r="AB75" s="15" t="str">
        <f t="shared" si="21"/>
        <v>&lt;Valeur name="compte"&gt;110&lt;/Valeur&gt;</v>
      </c>
      <c r="AC75" s="15" t="str">
        <f t="shared" si="22"/>
        <v>&lt;Valeur name="description"&gt;&lt;/Valeur&gt;</v>
      </c>
      <c r="AD75" s="15" t="str">
        <f t="shared" si="23"/>
        <v>&lt;Valeur name="valeur"&gt;-5042.08&lt;/Valeur&gt;</v>
      </c>
      <c r="AE75" s="15" t="str">
        <f t="shared" si="24"/>
        <v>&lt;Valeur name="tvapct"&gt;20&lt;/Valeur&gt;</v>
      </c>
      <c r="AF75" s="15" t="str">
        <f t="shared" si="25"/>
        <v>&lt;Valeur name="tva"&gt;840.346666666666&lt;/Valeur&gt;</v>
      </c>
      <c r="AG75" s="15" t="s">
        <v>873</v>
      </c>
      <c r="AH75" s="15" t="str">
        <f t="shared" si="26"/>
        <v>&lt;Insert&gt;&lt;Valeur name="no"&gt;74&lt;/Valeur&gt;&lt;Valeur name="societe"&gt;1&lt;/Valeur&gt;&lt;Valeur name="pointer"&gt;1&lt;/Valeur&gt;&lt;Valeur name="datevaleur"&gt;2019/04/14&lt;/Valeur&gt;&lt;Valeur name="datecompta"&gt;2019/02/01&lt;/Valeur&gt;&lt;Valeur name="compte"&gt;110&lt;/Valeur&gt;&lt;Valeur name="description"&gt;&lt;/Valeur&gt;&lt;Valeur name="valeur"&gt;-5042.08&lt;/Valeur&gt;&lt;Valeur name="tvapct"&gt;20&lt;/Valeur&gt;&lt;Valeur name="tva"&gt;840.346666666666&lt;/Valeur&gt;&lt;/Insert&gt;</v>
      </c>
    </row>
    <row r="76" spans="1:34" hidden="1" x14ac:dyDescent="0.25">
      <c r="A76" s="9">
        <v>43497</v>
      </c>
      <c r="B76" s="1">
        <v>43570</v>
      </c>
      <c r="C76" t="str">
        <f>INDEX(Balance!A:A,MATCH(D76,Balance!B:B,0))</f>
        <v>Fournisseurs</v>
      </c>
      <c r="D76" t="s">
        <v>262</v>
      </c>
      <c r="F76">
        <v>32.880000000000003</v>
      </c>
      <c r="H76" s="3">
        <f t="shared" si="30"/>
        <v>5.48</v>
      </c>
      <c r="K76">
        <v>75</v>
      </c>
      <c r="L76">
        <v>1</v>
      </c>
      <c r="M76">
        <v>1</v>
      </c>
      <c r="N76" s="16" t="s">
        <v>886</v>
      </c>
      <c r="O76" s="16" t="s">
        <v>887</v>
      </c>
      <c r="P76">
        <f>IFERROR(VLOOKUP(D76,tab!A:B,2,FALSE),1)</f>
        <v>65</v>
      </c>
      <c r="Q76" s="14" t="str">
        <f t="shared" si="27"/>
        <v/>
      </c>
      <c r="R76">
        <f t="shared" si="28"/>
        <v>-32.880000000000003</v>
      </c>
      <c r="S76">
        <v>20</v>
      </c>
      <c r="T76" s="13">
        <f t="shared" si="29"/>
        <v>5.48</v>
      </c>
      <c r="V76" t="s">
        <v>872</v>
      </c>
      <c r="W76" t="str">
        <f t="shared" si="16"/>
        <v>&lt;Valeur name="no"&gt;75&lt;/Valeur&gt;</v>
      </c>
      <c r="X76" t="str">
        <f t="shared" si="17"/>
        <v>&lt;Valeur name="societe"&gt;1&lt;/Valeur&gt;</v>
      </c>
      <c r="Y76" t="str">
        <f t="shared" si="18"/>
        <v>&lt;Valeur name="pointer"&gt;1&lt;/Valeur&gt;</v>
      </c>
      <c r="Z76" s="15" t="str">
        <f t="shared" si="19"/>
        <v>&lt;Valeur name="datevaleur"&gt;2019/04/15&lt;/Valeur&gt;</v>
      </c>
      <c r="AA76" s="15" t="str">
        <f t="shared" si="20"/>
        <v>&lt;Valeur name="datecompta"&gt;2019/02/01&lt;/Valeur&gt;</v>
      </c>
      <c r="AB76" s="15" t="str">
        <f t="shared" si="21"/>
        <v>&lt;Valeur name="compte"&gt;65&lt;/Valeur&gt;</v>
      </c>
      <c r="AC76" s="15" t="str">
        <f t="shared" si="22"/>
        <v>&lt;Valeur name="description"&gt;&lt;/Valeur&gt;</v>
      </c>
      <c r="AD76" s="15" t="str">
        <f t="shared" si="23"/>
        <v>&lt;Valeur name="valeur"&gt;-32.88&lt;/Valeur&gt;</v>
      </c>
      <c r="AE76" s="15" t="str">
        <f t="shared" si="24"/>
        <v>&lt;Valeur name="tvapct"&gt;20&lt;/Valeur&gt;</v>
      </c>
      <c r="AF76" s="15" t="str">
        <f t="shared" si="25"/>
        <v>&lt;Valeur name="tva"&gt;5.48&lt;/Valeur&gt;</v>
      </c>
      <c r="AG76" s="15" t="s">
        <v>873</v>
      </c>
      <c r="AH76" s="15" t="str">
        <f t="shared" si="26"/>
        <v>&lt;Insert&gt;&lt;Valeur name="no"&gt;75&lt;/Valeur&gt;&lt;Valeur name="societe"&gt;1&lt;/Valeur&gt;&lt;Valeur name="pointer"&gt;1&lt;/Valeur&gt;&lt;Valeur name="datevaleur"&gt;2019/04/15&lt;/Valeur&gt;&lt;Valeur name="datecompta"&gt;2019/02/01&lt;/Valeur&gt;&lt;Valeur name="compte"&gt;65&lt;/Valeur&gt;&lt;Valeur name="description"&gt;&lt;/Valeur&gt;&lt;Valeur name="valeur"&gt;-32.88&lt;/Valeur&gt;&lt;Valeur name="tvapct"&gt;20&lt;/Valeur&gt;&lt;Valeur name="tva"&gt;5.48&lt;/Valeur&gt;&lt;/Insert&gt;</v>
      </c>
    </row>
    <row r="77" spans="1:34" hidden="1" x14ac:dyDescent="0.25">
      <c r="A77" s="9">
        <v>43497</v>
      </c>
      <c r="B77" s="1">
        <v>43570</v>
      </c>
      <c r="C77" t="str">
        <f>INDEX(Balance!A:A,MATCH(D77,Balance!B:B,0))</f>
        <v>Fournisseurs</v>
      </c>
      <c r="D77" t="s">
        <v>289</v>
      </c>
      <c r="F77">
        <v>81.599999999999994</v>
      </c>
      <c r="H77" s="3">
        <f t="shared" si="30"/>
        <v>13.599999999999994</v>
      </c>
      <c r="K77">
        <v>76</v>
      </c>
      <c r="L77">
        <v>1</v>
      </c>
      <c r="M77">
        <v>1</v>
      </c>
      <c r="N77" s="16" t="s">
        <v>886</v>
      </c>
      <c r="O77" s="16" t="s">
        <v>887</v>
      </c>
      <c r="P77">
        <f>IFERROR(VLOOKUP(D77,tab!A:B,2,FALSE),1)</f>
        <v>57</v>
      </c>
      <c r="Q77" s="14" t="str">
        <f t="shared" si="27"/>
        <v/>
      </c>
      <c r="R77">
        <f t="shared" si="28"/>
        <v>-81.599999999999994</v>
      </c>
      <c r="S77">
        <v>20</v>
      </c>
      <c r="T77" s="13">
        <f t="shared" si="29"/>
        <v>13.599999999999994</v>
      </c>
      <c r="V77" t="s">
        <v>872</v>
      </c>
      <c r="W77" t="str">
        <f t="shared" si="16"/>
        <v>&lt;Valeur name="no"&gt;76&lt;/Valeur&gt;</v>
      </c>
      <c r="X77" t="str">
        <f t="shared" si="17"/>
        <v>&lt;Valeur name="societe"&gt;1&lt;/Valeur&gt;</v>
      </c>
      <c r="Y77" t="str">
        <f t="shared" si="18"/>
        <v>&lt;Valeur name="pointer"&gt;1&lt;/Valeur&gt;</v>
      </c>
      <c r="Z77" s="15" t="str">
        <f t="shared" si="19"/>
        <v>&lt;Valeur name="datevaleur"&gt;2019/04/15&lt;/Valeur&gt;</v>
      </c>
      <c r="AA77" s="15" t="str">
        <f t="shared" si="20"/>
        <v>&lt;Valeur name="datecompta"&gt;2019/02/01&lt;/Valeur&gt;</v>
      </c>
      <c r="AB77" s="15" t="str">
        <f t="shared" si="21"/>
        <v>&lt;Valeur name="compte"&gt;57&lt;/Valeur&gt;</v>
      </c>
      <c r="AC77" s="15" t="str">
        <f t="shared" si="22"/>
        <v>&lt;Valeur name="description"&gt;&lt;/Valeur&gt;</v>
      </c>
      <c r="AD77" s="15" t="str">
        <f t="shared" si="23"/>
        <v>&lt;Valeur name="valeur"&gt;-81.6&lt;/Valeur&gt;</v>
      </c>
      <c r="AE77" s="15" t="str">
        <f t="shared" si="24"/>
        <v>&lt;Valeur name="tvapct"&gt;20&lt;/Valeur&gt;</v>
      </c>
      <c r="AF77" s="15" t="str">
        <f t="shared" si="25"/>
        <v>&lt;Valeur name="tva"&gt;13.6&lt;/Valeur&gt;</v>
      </c>
      <c r="AG77" s="15" t="s">
        <v>873</v>
      </c>
      <c r="AH77" s="15" t="str">
        <f t="shared" si="26"/>
        <v>&lt;Insert&gt;&lt;Valeur name="no"&gt;76&lt;/Valeur&gt;&lt;Valeur name="societe"&gt;1&lt;/Valeur&gt;&lt;Valeur name="pointer"&gt;1&lt;/Valeur&gt;&lt;Valeur name="datevaleur"&gt;2019/04/15&lt;/Valeur&gt;&lt;Valeur name="datecompta"&gt;2019/02/01&lt;/Valeur&gt;&lt;Valeur name="compte"&gt;57&lt;/Valeur&gt;&lt;Valeur name="description"&gt;&lt;/Valeur&gt;&lt;Valeur name="valeur"&gt;-81.6&lt;/Valeur&gt;&lt;Valeur name="tvapct"&gt;20&lt;/Valeur&gt;&lt;Valeur name="tva"&gt;13.6&lt;/Valeur&gt;&lt;/Insert&gt;</v>
      </c>
    </row>
    <row r="78" spans="1:34" hidden="1" x14ac:dyDescent="0.25">
      <c r="A78" s="9">
        <v>43497</v>
      </c>
      <c r="B78" s="1">
        <v>43570</v>
      </c>
      <c r="C78" t="str">
        <f>INDEX(Balance!A:A,MATCH(D78,Balance!B:B,0))</f>
        <v>Fournisseurs</v>
      </c>
      <c r="D78" t="s">
        <v>262</v>
      </c>
      <c r="F78">
        <v>591.84</v>
      </c>
      <c r="H78" s="3">
        <f t="shared" si="30"/>
        <v>98.639999999999986</v>
      </c>
      <c r="K78">
        <v>77</v>
      </c>
      <c r="L78">
        <v>1</v>
      </c>
      <c r="M78">
        <v>1</v>
      </c>
      <c r="N78" s="16" t="s">
        <v>886</v>
      </c>
      <c r="O78" s="16" t="s">
        <v>887</v>
      </c>
      <c r="P78">
        <f>IFERROR(VLOOKUP(D78,tab!A:B,2,FALSE),1)</f>
        <v>65</v>
      </c>
      <c r="Q78" s="14" t="str">
        <f t="shared" si="27"/>
        <v/>
      </c>
      <c r="R78">
        <f t="shared" si="28"/>
        <v>-591.84</v>
      </c>
      <c r="S78">
        <v>20</v>
      </c>
      <c r="T78" s="13">
        <f t="shared" si="29"/>
        <v>98.639999999999986</v>
      </c>
      <c r="V78" t="s">
        <v>872</v>
      </c>
      <c r="W78" t="str">
        <f t="shared" si="16"/>
        <v>&lt;Valeur name="no"&gt;77&lt;/Valeur&gt;</v>
      </c>
      <c r="X78" t="str">
        <f t="shared" si="17"/>
        <v>&lt;Valeur name="societe"&gt;1&lt;/Valeur&gt;</v>
      </c>
      <c r="Y78" t="str">
        <f t="shared" si="18"/>
        <v>&lt;Valeur name="pointer"&gt;1&lt;/Valeur&gt;</v>
      </c>
      <c r="Z78" s="15" t="str">
        <f t="shared" si="19"/>
        <v>&lt;Valeur name="datevaleur"&gt;2019/04/15&lt;/Valeur&gt;</v>
      </c>
      <c r="AA78" s="15" t="str">
        <f t="shared" si="20"/>
        <v>&lt;Valeur name="datecompta"&gt;2019/02/01&lt;/Valeur&gt;</v>
      </c>
      <c r="AB78" s="15" t="str">
        <f t="shared" si="21"/>
        <v>&lt;Valeur name="compte"&gt;65&lt;/Valeur&gt;</v>
      </c>
      <c r="AC78" s="15" t="str">
        <f t="shared" si="22"/>
        <v>&lt;Valeur name="description"&gt;&lt;/Valeur&gt;</v>
      </c>
      <c r="AD78" s="15" t="str">
        <f t="shared" si="23"/>
        <v>&lt;Valeur name="valeur"&gt;-591.84&lt;/Valeur&gt;</v>
      </c>
      <c r="AE78" s="15" t="str">
        <f t="shared" si="24"/>
        <v>&lt;Valeur name="tvapct"&gt;20&lt;/Valeur&gt;</v>
      </c>
      <c r="AF78" s="15" t="str">
        <f t="shared" si="25"/>
        <v>&lt;Valeur name="tva"&gt;98.64&lt;/Valeur&gt;</v>
      </c>
      <c r="AG78" s="15" t="s">
        <v>873</v>
      </c>
      <c r="AH78" s="15" t="str">
        <f t="shared" si="26"/>
        <v>&lt;Insert&gt;&lt;Valeur name="no"&gt;77&lt;/Valeur&gt;&lt;Valeur name="societe"&gt;1&lt;/Valeur&gt;&lt;Valeur name="pointer"&gt;1&lt;/Valeur&gt;&lt;Valeur name="datevaleur"&gt;2019/04/15&lt;/Valeur&gt;&lt;Valeur name="datecompta"&gt;2019/02/01&lt;/Valeur&gt;&lt;Valeur name="compte"&gt;65&lt;/Valeur&gt;&lt;Valeur name="description"&gt;&lt;/Valeur&gt;&lt;Valeur name="valeur"&gt;-591.84&lt;/Valeur&gt;&lt;Valeur name="tvapct"&gt;20&lt;/Valeur&gt;&lt;Valeur name="tva"&gt;98.64&lt;/Valeur&gt;&lt;/Insert&gt;</v>
      </c>
    </row>
    <row r="79" spans="1:34" hidden="1" x14ac:dyDescent="0.25">
      <c r="A79" s="9">
        <v>43497</v>
      </c>
      <c r="B79" s="1">
        <v>43570</v>
      </c>
      <c r="C79" t="str">
        <f>INDEX(Balance!A:A,MATCH(D79,Balance!B:B,0))</f>
        <v>Fournisseurs</v>
      </c>
      <c r="D79" t="s">
        <v>262</v>
      </c>
      <c r="F79">
        <v>1191.9000000000001</v>
      </c>
      <c r="H79" s="3">
        <f t="shared" si="30"/>
        <v>198.64999999999998</v>
      </c>
      <c r="K79">
        <v>78</v>
      </c>
      <c r="L79">
        <v>1</v>
      </c>
      <c r="M79">
        <v>1</v>
      </c>
      <c r="N79" s="16" t="s">
        <v>886</v>
      </c>
      <c r="O79" s="16" t="s">
        <v>887</v>
      </c>
      <c r="P79">
        <f>IFERROR(VLOOKUP(D79,tab!A:B,2,FALSE),1)</f>
        <v>65</v>
      </c>
      <c r="Q79" s="14" t="str">
        <f t="shared" si="27"/>
        <v/>
      </c>
      <c r="R79">
        <f t="shared" si="28"/>
        <v>-1191.9000000000001</v>
      </c>
      <c r="S79">
        <v>20</v>
      </c>
      <c r="T79" s="13">
        <f t="shared" si="29"/>
        <v>198.64999999999998</v>
      </c>
      <c r="V79" t="s">
        <v>872</v>
      </c>
      <c r="W79" t="str">
        <f t="shared" si="16"/>
        <v>&lt;Valeur name="no"&gt;78&lt;/Valeur&gt;</v>
      </c>
      <c r="X79" t="str">
        <f t="shared" si="17"/>
        <v>&lt;Valeur name="societe"&gt;1&lt;/Valeur&gt;</v>
      </c>
      <c r="Y79" t="str">
        <f t="shared" si="18"/>
        <v>&lt;Valeur name="pointer"&gt;1&lt;/Valeur&gt;</v>
      </c>
      <c r="Z79" s="15" t="str">
        <f t="shared" si="19"/>
        <v>&lt;Valeur name="datevaleur"&gt;2019/04/15&lt;/Valeur&gt;</v>
      </c>
      <c r="AA79" s="15" t="str">
        <f t="shared" si="20"/>
        <v>&lt;Valeur name="datecompta"&gt;2019/02/01&lt;/Valeur&gt;</v>
      </c>
      <c r="AB79" s="15" t="str">
        <f t="shared" si="21"/>
        <v>&lt;Valeur name="compte"&gt;65&lt;/Valeur&gt;</v>
      </c>
      <c r="AC79" s="15" t="str">
        <f t="shared" si="22"/>
        <v>&lt;Valeur name="description"&gt;&lt;/Valeur&gt;</v>
      </c>
      <c r="AD79" s="15" t="str">
        <f t="shared" si="23"/>
        <v>&lt;Valeur name="valeur"&gt;-1191.9&lt;/Valeur&gt;</v>
      </c>
      <c r="AE79" s="15" t="str">
        <f t="shared" si="24"/>
        <v>&lt;Valeur name="tvapct"&gt;20&lt;/Valeur&gt;</v>
      </c>
      <c r="AF79" s="15" t="str">
        <f t="shared" si="25"/>
        <v>&lt;Valeur name="tva"&gt;198.65&lt;/Valeur&gt;</v>
      </c>
      <c r="AG79" s="15" t="s">
        <v>873</v>
      </c>
      <c r="AH79" s="15" t="str">
        <f t="shared" si="26"/>
        <v>&lt;Insert&gt;&lt;Valeur name="no"&gt;78&lt;/Valeur&gt;&lt;Valeur name="societe"&gt;1&lt;/Valeur&gt;&lt;Valeur name="pointer"&gt;1&lt;/Valeur&gt;&lt;Valeur name="datevaleur"&gt;2019/04/15&lt;/Valeur&gt;&lt;Valeur name="datecompta"&gt;2019/02/01&lt;/Valeur&gt;&lt;Valeur name="compte"&gt;65&lt;/Valeur&gt;&lt;Valeur name="description"&gt;&lt;/Valeur&gt;&lt;Valeur name="valeur"&gt;-1191.9&lt;/Valeur&gt;&lt;Valeur name="tvapct"&gt;20&lt;/Valeur&gt;&lt;Valeur name="tva"&gt;198.65&lt;/Valeur&gt;&lt;/Insert&gt;</v>
      </c>
    </row>
    <row r="80" spans="1:34" hidden="1" x14ac:dyDescent="0.25">
      <c r="A80" s="9">
        <v>43497</v>
      </c>
      <c r="B80" s="1">
        <v>43595</v>
      </c>
      <c r="C80" t="str">
        <f>INDEX(Balance!A:A,MATCH(D80,Balance!B:B,0))</f>
        <v>Fournisseurs</v>
      </c>
      <c r="D80" t="s">
        <v>288</v>
      </c>
      <c r="F80">
        <v>13.33</v>
      </c>
      <c r="H80" s="3">
        <f t="shared" si="30"/>
        <v>2.2216666666666658</v>
      </c>
      <c r="K80">
        <v>79</v>
      </c>
      <c r="L80">
        <v>1</v>
      </c>
      <c r="M80">
        <v>1</v>
      </c>
      <c r="N80" s="16" t="s">
        <v>910</v>
      </c>
      <c r="O80" s="16" t="s">
        <v>887</v>
      </c>
      <c r="P80">
        <f>IFERROR(VLOOKUP(D80,tab!A:B,2,FALSE),1)</f>
        <v>120</v>
      </c>
      <c r="Q80" s="14" t="str">
        <f t="shared" si="27"/>
        <v/>
      </c>
      <c r="R80">
        <f t="shared" si="28"/>
        <v>-13.33</v>
      </c>
      <c r="S80">
        <v>20</v>
      </c>
      <c r="T80" s="13">
        <f t="shared" si="29"/>
        <v>2.2216666666666658</v>
      </c>
      <c r="V80" t="s">
        <v>872</v>
      </c>
      <c r="W80" t="str">
        <f t="shared" si="16"/>
        <v>&lt;Valeur name="no"&gt;79&lt;/Valeur&gt;</v>
      </c>
      <c r="X80" t="str">
        <f t="shared" si="17"/>
        <v>&lt;Valeur name="societe"&gt;1&lt;/Valeur&gt;</v>
      </c>
      <c r="Y80" t="str">
        <f t="shared" si="18"/>
        <v>&lt;Valeur name="pointer"&gt;1&lt;/Valeur&gt;</v>
      </c>
      <c r="Z80" s="15" t="str">
        <f t="shared" si="19"/>
        <v>&lt;Valeur name="datevaleur"&gt;2019/05/10&lt;/Valeur&gt;</v>
      </c>
      <c r="AA80" s="15" t="str">
        <f t="shared" si="20"/>
        <v>&lt;Valeur name="datecompta"&gt;2019/02/01&lt;/Valeur&gt;</v>
      </c>
      <c r="AB80" s="15" t="str">
        <f t="shared" si="21"/>
        <v>&lt;Valeur name="compte"&gt;120&lt;/Valeur&gt;</v>
      </c>
      <c r="AC80" s="15" t="str">
        <f t="shared" si="22"/>
        <v>&lt;Valeur name="description"&gt;&lt;/Valeur&gt;</v>
      </c>
      <c r="AD80" s="15" t="str">
        <f t="shared" si="23"/>
        <v>&lt;Valeur name="valeur"&gt;-13.33&lt;/Valeur&gt;</v>
      </c>
      <c r="AE80" s="15" t="str">
        <f t="shared" si="24"/>
        <v>&lt;Valeur name="tvapct"&gt;20&lt;/Valeur&gt;</v>
      </c>
      <c r="AF80" s="15" t="str">
        <f t="shared" si="25"/>
        <v>&lt;Valeur name="tva"&gt;2.22166666666667&lt;/Valeur&gt;</v>
      </c>
      <c r="AG80" s="15" t="s">
        <v>873</v>
      </c>
      <c r="AH80" s="15" t="str">
        <f t="shared" si="26"/>
        <v>&lt;Insert&gt;&lt;Valeur name="no"&gt;79&lt;/Valeur&gt;&lt;Valeur name="societe"&gt;1&lt;/Valeur&gt;&lt;Valeur name="pointer"&gt;1&lt;/Valeur&gt;&lt;Valeur name="datevaleur"&gt;2019/05/10&lt;/Valeur&gt;&lt;Valeur name="datecompta"&gt;2019/02/01&lt;/Valeur&gt;&lt;Valeur name="compte"&gt;120&lt;/Valeur&gt;&lt;Valeur name="description"&gt;&lt;/Valeur&gt;&lt;Valeur name="valeur"&gt;-13.33&lt;/Valeur&gt;&lt;Valeur name="tvapct"&gt;20&lt;/Valeur&gt;&lt;Valeur name="tva"&gt;2.22166666666667&lt;/Valeur&gt;&lt;/Insert&gt;</v>
      </c>
    </row>
    <row r="81" spans="1:34" hidden="1" x14ac:dyDescent="0.25">
      <c r="A81" s="9">
        <v>43525</v>
      </c>
      <c r="B81" s="1">
        <v>43536</v>
      </c>
      <c r="C81" t="str">
        <f>INDEX(Balance!A:A,MATCH(D81,Balance!B:B,0))</f>
        <v>Fournisseurs</v>
      </c>
      <c r="D81" t="s">
        <v>292</v>
      </c>
      <c r="E81" t="s">
        <v>81</v>
      </c>
      <c r="F81">
        <v>78.16</v>
      </c>
      <c r="H81" s="3">
        <f t="shared" si="30"/>
        <v>13.026666666666657</v>
      </c>
      <c r="K81">
        <v>80</v>
      </c>
      <c r="L81">
        <v>1</v>
      </c>
      <c r="M81">
        <v>1</v>
      </c>
      <c r="N81" s="16" t="s">
        <v>901</v>
      </c>
      <c r="O81" s="16" t="s">
        <v>891</v>
      </c>
      <c r="P81">
        <f>IFERROR(VLOOKUP(D81,tab!A:B,2,FALSE),1)</f>
        <v>34</v>
      </c>
      <c r="Q81" s="14" t="str">
        <f t="shared" si="27"/>
        <v>E-VIR SEPA Atelier du Verre</v>
      </c>
      <c r="R81">
        <f t="shared" si="28"/>
        <v>-78.16</v>
      </c>
      <c r="S81">
        <v>20</v>
      </c>
      <c r="T81" s="13">
        <f t="shared" si="29"/>
        <v>13.026666666666657</v>
      </c>
      <c r="V81" t="s">
        <v>872</v>
      </c>
      <c r="W81" t="str">
        <f t="shared" si="16"/>
        <v>&lt;Valeur name="no"&gt;80&lt;/Valeur&gt;</v>
      </c>
      <c r="X81" t="str">
        <f t="shared" si="17"/>
        <v>&lt;Valeur name="societe"&gt;1&lt;/Valeur&gt;</v>
      </c>
      <c r="Y81" t="str">
        <f t="shared" si="18"/>
        <v>&lt;Valeur name="pointer"&gt;1&lt;/Valeur&gt;</v>
      </c>
      <c r="Z81" s="15" t="str">
        <f t="shared" si="19"/>
        <v>&lt;Valeur name="datevaleur"&gt;2019/03/12&lt;/Valeur&gt;</v>
      </c>
      <c r="AA81" s="15" t="str">
        <f t="shared" si="20"/>
        <v>&lt;Valeur name="datecompta"&gt;2019/03/01&lt;/Valeur&gt;</v>
      </c>
      <c r="AB81" s="15" t="str">
        <f t="shared" si="21"/>
        <v>&lt;Valeur name="compte"&gt;34&lt;/Valeur&gt;</v>
      </c>
      <c r="AC81" s="15" t="str">
        <f t="shared" si="22"/>
        <v>&lt;Valeur name="description"&gt;E-VIR SEPA Atelier du Verre&lt;/Valeur&gt;</v>
      </c>
      <c r="AD81" s="15" t="str">
        <f t="shared" si="23"/>
        <v>&lt;Valeur name="valeur"&gt;-78.16&lt;/Valeur&gt;</v>
      </c>
      <c r="AE81" s="15" t="str">
        <f t="shared" si="24"/>
        <v>&lt;Valeur name="tvapct"&gt;20&lt;/Valeur&gt;</v>
      </c>
      <c r="AF81" s="15" t="str">
        <f t="shared" si="25"/>
        <v>&lt;Valeur name="tva"&gt;13.0266666666667&lt;/Valeur&gt;</v>
      </c>
      <c r="AG81" s="15" t="s">
        <v>873</v>
      </c>
      <c r="AH81" s="15" t="str">
        <f t="shared" si="26"/>
        <v>&lt;Insert&gt;&lt;Valeur name="no"&gt;80&lt;/Valeur&gt;&lt;Valeur name="societe"&gt;1&lt;/Valeur&gt;&lt;Valeur name="pointer"&gt;1&lt;/Valeur&gt;&lt;Valeur name="datevaleur"&gt;2019/03/12&lt;/Valeur&gt;&lt;Valeur name="datecompta"&gt;2019/03/01&lt;/Valeur&gt;&lt;Valeur name="compte"&gt;34&lt;/Valeur&gt;&lt;Valeur name="description"&gt;E-VIR SEPA Atelier du Verre&lt;/Valeur&gt;&lt;Valeur name="valeur"&gt;-78.16&lt;/Valeur&gt;&lt;Valeur name="tvapct"&gt;20&lt;/Valeur&gt;&lt;Valeur name="tva"&gt;13.0266666666667&lt;/Valeur&gt;&lt;/Insert&gt;</v>
      </c>
    </row>
    <row r="82" spans="1:34" hidden="1" x14ac:dyDescent="0.25">
      <c r="A82" s="9">
        <v>43525</v>
      </c>
      <c r="B82" s="1">
        <v>43552</v>
      </c>
      <c r="C82" t="str">
        <f>INDEX(Balance!A:A,MATCH(D82,Balance!B:B,0))</f>
        <v>Fournisseurs</v>
      </c>
      <c r="D82" t="s">
        <v>296</v>
      </c>
      <c r="E82" t="s">
        <v>305</v>
      </c>
      <c r="F82">
        <v>300</v>
      </c>
      <c r="H82" s="3">
        <f t="shared" si="30"/>
        <v>50</v>
      </c>
      <c r="K82">
        <v>81</v>
      </c>
      <c r="L82">
        <v>1</v>
      </c>
      <c r="M82">
        <v>1</v>
      </c>
      <c r="N82" s="16" t="s">
        <v>911</v>
      </c>
      <c r="O82" s="16" t="s">
        <v>891</v>
      </c>
      <c r="P82">
        <f>IFERROR(VLOOKUP(D82,tab!A:B,2,FALSE),1)</f>
        <v>78</v>
      </c>
      <c r="Q82" s="14" t="str">
        <f t="shared" si="27"/>
        <v>E-VIR SEPA LD ACCESS</v>
      </c>
      <c r="R82">
        <f t="shared" si="28"/>
        <v>-300</v>
      </c>
      <c r="S82">
        <v>20</v>
      </c>
      <c r="T82" s="13">
        <f t="shared" si="29"/>
        <v>50</v>
      </c>
      <c r="V82" t="s">
        <v>872</v>
      </c>
      <c r="W82" t="str">
        <f t="shared" si="16"/>
        <v>&lt;Valeur name="no"&gt;81&lt;/Valeur&gt;</v>
      </c>
      <c r="X82" t="str">
        <f t="shared" si="17"/>
        <v>&lt;Valeur name="societe"&gt;1&lt;/Valeur&gt;</v>
      </c>
      <c r="Y82" t="str">
        <f t="shared" si="18"/>
        <v>&lt;Valeur name="pointer"&gt;1&lt;/Valeur&gt;</v>
      </c>
      <c r="Z82" s="15" t="str">
        <f t="shared" si="19"/>
        <v>&lt;Valeur name="datevaleur"&gt;2019/03/28&lt;/Valeur&gt;</v>
      </c>
      <c r="AA82" s="15" t="str">
        <f t="shared" si="20"/>
        <v>&lt;Valeur name="datecompta"&gt;2019/03/01&lt;/Valeur&gt;</v>
      </c>
      <c r="AB82" s="15" t="str">
        <f t="shared" si="21"/>
        <v>&lt;Valeur name="compte"&gt;78&lt;/Valeur&gt;</v>
      </c>
      <c r="AC82" s="15" t="str">
        <f t="shared" si="22"/>
        <v>&lt;Valeur name="description"&gt;E-VIR SEPA LD ACCESS&lt;/Valeur&gt;</v>
      </c>
      <c r="AD82" s="15" t="str">
        <f t="shared" si="23"/>
        <v>&lt;Valeur name="valeur"&gt;-300&lt;/Valeur&gt;</v>
      </c>
      <c r="AE82" s="15" t="str">
        <f t="shared" si="24"/>
        <v>&lt;Valeur name="tvapct"&gt;20&lt;/Valeur&gt;</v>
      </c>
      <c r="AF82" s="15" t="str">
        <f t="shared" si="25"/>
        <v>&lt;Valeur name="tva"&gt;50&lt;/Valeur&gt;</v>
      </c>
      <c r="AG82" s="15" t="s">
        <v>873</v>
      </c>
      <c r="AH82" s="15" t="str">
        <f t="shared" si="26"/>
        <v>&lt;Insert&gt;&lt;Valeur name="no"&gt;81&lt;/Valeur&gt;&lt;Valeur name="societe"&gt;1&lt;/Valeur&gt;&lt;Valeur name="pointer"&gt;1&lt;/Valeur&gt;&lt;Valeur name="datevaleur"&gt;2019/03/28&lt;/Valeur&gt;&lt;Valeur name="datecompta"&gt;2019/03/01&lt;/Valeur&gt;&lt;Valeur name="compte"&gt;78&lt;/Valeur&gt;&lt;Valeur name="description"&gt;E-VIR SEPA LD ACCESS&lt;/Valeur&gt;&lt;Valeur name="valeur"&gt;-300&lt;/Valeur&gt;&lt;Valeur name="tvapct"&gt;20&lt;/Valeur&gt;&lt;Valeur name="tva"&gt;50&lt;/Valeur&gt;&lt;/Insert&gt;</v>
      </c>
    </row>
    <row r="83" spans="1:34" hidden="1" x14ac:dyDescent="0.25">
      <c r="A83" s="9">
        <v>43525</v>
      </c>
      <c r="B83" s="1">
        <v>43553</v>
      </c>
      <c r="C83" t="str">
        <f>INDEX(Balance!A:A,MATCH(D83,Balance!B:B,0))</f>
        <v>Fournisseurs</v>
      </c>
      <c r="D83" t="s">
        <v>297</v>
      </c>
      <c r="E83" t="s">
        <v>306</v>
      </c>
      <c r="F83">
        <v>37</v>
      </c>
      <c r="H83" s="3">
        <f t="shared" si="30"/>
        <v>6.1666666666666643</v>
      </c>
      <c r="K83">
        <v>82</v>
      </c>
      <c r="L83">
        <v>1</v>
      </c>
      <c r="M83">
        <v>1</v>
      </c>
      <c r="N83" s="16" t="s">
        <v>888</v>
      </c>
      <c r="O83" s="16" t="s">
        <v>891</v>
      </c>
      <c r="P83">
        <f>IFERROR(VLOOKUP(D83,tab!A:B,2,FALSE),1)</f>
        <v>48</v>
      </c>
      <c r="Q83" s="14" t="str">
        <f t="shared" si="27"/>
        <v>CHEQUE  N 1000066</v>
      </c>
      <c r="R83">
        <f t="shared" si="28"/>
        <v>-37</v>
      </c>
      <c r="S83">
        <v>20</v>
      </c>
      <c r="T83" s="13">
        <f t="shared" si="29"/>
        <v>6.1666666666666643</v>
      </c>
      <c r="V83" t="s">
        <v>872</v>
      </c>
      <c r="W83" t="str">
        <f t="shared" si="16"/>
        <v>&lt;Valeur name="no"&gt;82&lt;/Valeur&gt;</v>
      </c>
      <c r="X83" t="str">
        <f t="shared" si="17"/>
        <v>&lt;Valeur name="societe"&gt;1&lt;/Valeur&gt;</v>
      </c>
      <c r="Y83" t="str">
        <f t="shared" si="18"/>
        <v>&lt;Valeur name="pointer"&gt;1&lt;/Valeur&gt;</v>
      </c>
      <c r="Z83" s="15" t="str">
        <f t="shared" si="19"/>
        <v>&lt;Valeur name="datevaleur"&gt;2019/03/29&lt;/Valeur&gt;</v>
      </c>
      <c r="AA83" s="15" t="str">
        <f t="shared" si="20"/>
        <v>&lt;Valeur name="datecompta"&gt;2019/03/01&lt;/Valeur&gt;</v>
      </c>
      <c r="AB83" s="15" t="str">
        <f t="shared" si="21"/>
        <v>&lt;Valeur name="compte"&gt;48&lt;/Valeur&gt;</v>
      </c>
      <c r="AC83" s="15" t="str">
        <f t="shared" si="22"/>
        <v>&lt;Valeur name="description"&gt;CHEQUE  N 1000066&lt;/Valeur&gt;</v>
      </c>
      <c r="AD83" s="15" t="str">
        <f t="shared" si="23"/>
        <v>&lt;Valeur name="valeur"&gt;-37&lt;/Valeur&gt;</v>
      </c>
      <c r="AE83" s="15" t="str">
        <f t="shared" si="24"/>
        <v>&lt;Valeur name="tvapct"&gt;20&lt;/Valeur&gt;</v>
      </c>
      <c r="AF83" s="15" t="str">
        <f t="shared" si="25"/>
        <v>&lt;Valeur name="tva"&gt;6.16666666666666&lt;/Valeur&gt;</v>
      </c>
      <c r="AG83" s="15" t="s">
        <v>873</v>
      </c>
      <c r="AH83" s="15" t="str">
        <f t="shared" si="26"/>
        <v>&lt;Insert&gt;&lt;Valeur name="no"&gt;82&lt;/Valeur&gt;&lt;Valeur name="societe"&gt;1&lt;/Valeur&gt;&lt;Valeur name="pointer"&gt;1&lt;/Valeur&gt;&lt;Valeur name="datevaleur"&gt;2019/03/29&lt;/Valeur&gt;&lt;Valeur name="datecompta"&gt;2019/03/01&lt;/Valeur&gt;&lt;Valeur name="compte"&gt;48&lt;/Valeur&gt;&lt;Valeur name="description"&gt;CHEQUE  N 1000066&lt;/Valeur&gt;&lt;Valeur name="valeur"&gt;-37&lt;/Valeur&gt;&lt;Valeur name="tvapct"&gt;20&lt;/Valeur&gt;&lt;Valeur name="tva"&gt;6.16666666666666&lt;/Valeur&gt;&lt;/Insert&gt;</v>
      </c>
    </row>
    <row r="84" spans="1:34" hidden="1" x14ac:dyDescent="0.25">
      <c r="A84" s="9">
        <v>43525</v>
      </c>
      <c r="B84" s="1">
        <v>43570</v>
      </c>
      <c r="C84" t="str">
        <f>INDEX(Balance!A:A,MATCH(D84,Balance!B:B,0))</f>
        <v>Fournisseurs</v>
      </c>
      <c r="D84" t="s">
        <v>262</v>
      </c>
      <c r="F84">
        <v>328.8</v>
      </c>
      <c r="H84" s="3">
        <f t="shared" si="30"/>
        <v>54.800000000000011</v>
      </c>
      <c r="K84">
        <v>83</v>
      </c>
      <c r="L84">
        <v>1</v>
      </c>
      <c r="M84">
        <v>1</v>
      </c>
      <c r="N84" s="16" t="s">
        <v>886</v>
      </c>
      <c r="O84" s="16" t="s">
        <v>891</v>
      </c>
      <c r="P84">
        <f>IFERROR(VLOOKUP(D84,tab!A:B,2,FALSE),1)</f>
        <v>65</v>
      </c>
      <c r="Q84" s="14" t="str">
        <f t="shared" si="27"/>
        <v/>
      </c>
      <c r="R84">
        <f t="shared" si="28"/>
        <v>-328.8</v>
      </c>
      <c r="S84">
        <v>20</v>
      </c>
      <c r="T84" s="13">
        <f t="shared" si="29"/>
        <v>54.800000000000011</v>
      </c>
      <c r="V84" t="s">
        <v>872</v>
      </c>
      <c r="W84" t="str">
        <f t="shared" si="16"/>
        <v>&lt;Valeur name="no"&gt;83&lt;/Valeur&gt;</v>
      </c>
      <c r="X84" t="str">
        <f t="shared" si="17"/>
        <v>&lt;Valeur name="societe"&gt;1&lt;/Valeur&gt;</v>
      </c>
      <c r="Y84" t="str">
        <f t="shared" si="18"/>
        <v>&lt;Valeur name="pointer"&gt;1&lt;/Valeur&gt;</v>
      </c>
      <c r="Z84" s="15" t="str">
        <f t="shared" si="19"/>
        <v>&lt;Valeur name="datevaleur"&gt;2019/04/15&lt;/Valeur&gt;</v>
      </c>
      <c r="AA84" s="15" t="str">
        <f t="shared" si="20"/>
        <v>&lt;Valeur name="datecompta"&gt;2019/03/01&lt;/Valeur&gt;</v>
      </c>
      <c r="AB84" s="15" t="str">
        <f t="shared" si="21"/>
        <v>&lt;Valeur name="compte"&gt;65&lt;/Valeur&gt;</v>
      </c>
      <c r="AC84" s="15" t="str">
        <f t="shared" si="22"/>
        <v>&lt;Valeur name="description"&gt;&lt;/Valeur&gt;</v>
      </c>
      <c r="AD84" s="15" t="str">
        <f t="shared" si="23"/>
        <v>&lt;Valeur name="valeur"&gt;-328.8&lt;/Valeur&gt;</v>
      </c>
      <c r="AE84" s="15" t="str">
        <f t="shared" si="24"/>
        <v>&lt;Valeur name="tvapct"&gt;20&lt;/Valeur&gt;</v>
      </c>
      <c r="AF84" s="15" t="str">
        <f t="shared" si="25"/>
        <v>&lt;Valeur name="tva"&gt;54.8&lt;/Valeur&gt;</v>
      </c>
      <c r="AG84" s="15" t="s">
        <v>873</v>
      </c>
      <c r="AH84" s="15" t="str">
        <f t="shared" si="26"/>
        <v>&lt;Insert&gt;&lt;Valeur name="no"&gt;83&lt;/Valeur&gt;&lt;Valeur name="societe"&gt;1&lt;/Valeur&gt;&lt;Valeur name="pointer"&gt;1&lt;/Valeur&gt;&lt;Valeur name="datevaleur"&gt;2019/04/15&lt;/Valeur&gt;&lt;Valeur name="datecompta"&gt;2019/03/01&lt;/Valeur&gt;&lt;Valeur name="compte"&gt;65&lt;/Valeur&gt;&lt;Valeur name="description"&gt;&lt;/Valeur&gt;&lt;Valeur name="valeur"&gt;-328.8&lt;/Valeur&gt;&lt;Valeur name="tvapct"&gt;20&lt;/Valeur&gt;&lt;Valeur name="tva"&gt;54.8&lt;/Valeur&gt;&lt;/Insert&gt;</v>
      </c>
    </row>
    <row r="85" spans="1:34" hidden="1" x14ac:dyDescent="0.25">
      <c r="A85" s="9">
        <v>43525</v>
      </c>
      <c r="B85" s="1">
        <v>43570</v>
      </c>
      <c r="C85" t="str">
        <f>INDEX(Balance!A:A,MATCH(D85,Balance!B:B,0))</f>
        <v>Fournisseurs</v>
      </c>
      <c r="D85" t="s">
        <v>262</v>
      </c>
      <c r="F85">
        <v>501.42</v>
      </c>
      <c r="H85" s="3">
        <f t="shared" si="30"/>
        <v>83.57</v>
      </c>
      <c r="K85">
        <v>84</v>
      </c>
      <c r="L85">
        <v>1</v>
      </c>
      <c r="M85">
        <v>1</v>
      </c>
      <c r="N85" s="16" t="s">
        <v>886</v>
      </c>
      <c r="O85" s="16" t="s">
        <v>891</v>
      </c>
      <c r="P85">
        <f>IFERROR(VLOOKUP(D85,tab!A:B,2,FALSE),1)</f>
        <v>65</v>
      </c>
      <c r="Q85" s="14" t="str">
        <f t="shared" si="27"/>
        <v/>
      </c>
      <c r="R85">
        <f t="shared" si="28"/>
        <v>-501.42</v>
      </c>
      <c r="S85">
        <v>20</v>
      </c>
      <c r="T85" s="13">
        <f t="shared" si="29"/>
        <v>83.57</v>
      </c>
      <c r="V85" t="s">
        <v>872</v>
      </c>
      <c r="W85" t="str">
        <f t="shared" si="16"/>
        <v>&lt;Valeur name="no"&gt;84&lt;/Valeur&gt;</v>
      </c>
      <c r="X85" t="str">
        <f t="shared" si="17"/>
        <v>&lt;Valeur name="societe"&gt;1&lt;/Valeur&gt;</v>
      </c>
      <c r="Y85" t="str">
        <f t="shared" si="18"/>
        <v>&lt;Valeur name="pointer"&gt;1&lt;/Valeur&gt;</v>
      </c>
      <c r="Z85" s="15" t="str">
        <f t="shared" si="19"/>
        <v>&lt;Valeur name="datevaleur"&gt;2019/04/15&lt;/Valeur&gt;</v>
      </c>
      <c r="AA85" s="15" t="str">
        <f t="shared" si="20"/>
        <v>&lt;Valeur name="datecompta"&gt;2019/03/01&lt;/Valeur&gt;</v>
      </c>
      <c r="AB85" s="15" t="str">
        <f t="shared" si="21"/>
        <v>&lt;Valeur name="compte"&gt;65&lt;/Valeur&gt;</v>
      </c>
      <c r="AC85" s="15" t="str">
        <f t="shared" si="22"/>
        <v>&lt;Valeur name="description"&gt;&lt;/Valeur&gt;</v>
      </c>
      <c r="AD85" s="15" t="str">
        <f t="shared" si="23"/>
        <v>&lt;Valeur name="valeur"&gt;-501.42&lt;/Valeur&gt;</v>
      </c>
      <c r="AE85" s="15" t="str">
        <f t="shared" si="24"/>
        <v>&lt;Valeur name="tvapct"&gt;20&lt;/Valeur&gt;</v>
      </c>
      <c r="AF85" s="15" t="str">
        <f t="shared" si="25"/>
        <v>&lt;Valeur name="tva"&gt;83.57&lt;/Valeur&gt;</v>
      </c>
      <c r="AG85" s="15" t="s">
        <v>873</v>
      </c>
      <c r="AH85" s="15" t="str">
        <f t="shared" si="26"/>
        <v>&lt;Insert&gt;&lt;Valeur name="no"&gt;84&lt;/Valeur&gt;&lt;Valeur name="societe"&gt;1&lt;/Valeur&gt;&lt;Valeur name="pointer"&gt;1&lt;/Valeur&gt;&lt;Valeur name="datevaleur"&gt;2019/04/15&lt;/Valeur&gt;&lt;Valeur name="datecompta"&gt;2019/03/01&lt;/Valeur&gt;&lt;Valeur name="compte"&gt;65&lt;/Valeur&gt;&lt;Valeur name="description"&gt;&lt;/Valeur&gt;&lt;Valeur name="valeur"&gt;-501.42&lt;/Valeur&gt;&lt;Valeur name="tvapct"&gt;20&lt;/Valeur&gt;&lt;Valeur name="tva"&gt;83.57&lt;/Valeur&gt;&lt;/Insert&gt;</v>
      </c>
    </row>
    <row r="86" spans="1:34" hidden="1" x14ac:dyDescent="0.25">
      <c r="A86" s="9">
        <v>43525</v>
      </c>
      <c r="B86" s="1">
        <v>43585</v>
      </c>
      <c r="C86" t="str">
        <f>INDEX(Balance!A:A,MATCH(D86,Balance!B:B,0))</f>
        <v>Fournisseurs</v>
      </c>
      <c r="D86" t="s">
        <v>289</v>
      </c>
      <c r="F86">
        <v>244.32</v>
      </c>
      <c r="H86" s="3">
        <f t="shared" si="30"/>
        <v>40.72</v>
      </c>
      <c r="K86">
        <v>85</v>
      </c>
      <c r="L86">
        <v>1</v>
      </c>
      <c r="M86">
        <v>1</v>
      </c>
      <c r="N86" s="16" t="s">
        <v>882</v>
      </c>
      <c r="O86" s="16" t="s">
        <v>891</v>
      </c>
      <c r="P86">
        <f>IFERROR(VLOOKUP(D86,tab!A:B,2,FALSE),1)</f>
        <v>57</v>
      </c>
      <c r="Q86" s="14" t="str">
        <f t="shared" si="27"/>
        <v/>
      </c>
      <c r="R86">
        <f t="shared" si="28"/>
        <v>-244.32</v>
      </c>
      <c r="S86">
        <v>20</v>
      </c>
      <c r="T86" s="13">
        <f t="shared" si="29"/>
        <v>40.72</v>
      </c>
      <c r="V86" t="s">
        <v>872</v>
      </c>
      <c r="W86" t="str">
        <f t="shared" si="16"/>
        <v>&lt;Valeur name="no"&gt;85&lt;/Valeur&gt;</v>
      </c>
      <c r="X86" t="str">
        <f t="shared" si="17"/>
        <v>&lt;Valeur name="societe"&gt;1&lt;/Valeur&gt;</v>
      </c>
      <c r="Y86" t="str">
        <f t="shared" si="18"/>
        <v>&lt;Valeur name="pointer"&gt;1&lt;/Valeur&gt;</v>
      </c>
      <c r="Z86" s="15" t="str">
        <f t="shared" si="19"/>
        <v>&lt;Valeur name="datevaleur"&gt;2019/04/30&lt;/Valeur&gt;</v>
      </c>
      <c r="AA86" s="15" t="str">
        <f t="shared" si="20"/>
        <v>&lt;Valeur name="datecompta"&gt;2019/03/01&lt;/Valeur&gt;</v>
      </c>
      <c r="AB86" s="15" t="str">
        <f t="shared" si="21"/>
        <v>&lt;Valeur name="compte"&gt;57&lt;/Valeur&gt;</v>
      </c>
      <c r="AC86" s="15" t="str">
        <f t="shared" si="22"/>
        <v>&lt;Valeur name="description"&gt;&lt;/Valeur&gt;</v>
      </c>
      <c r="AD86" s="15" t="str">
        <f t="shared" si="23"/>
        <v>&lt;Valeur name="valeur"&gt;-244.32&lt;/Valeur&gt;</v>
      </c>
      <c r="AE86" s="15" t="str">
        <f t="shared" si="24"/>
        <v>&lt;Valeur name="tvapct"&gt;20&lt;/Valeur&gt;</v>
      </c>
      <c r="AF86" s="15" t="str">
        <f t="shared" si="25"/>
        <v>&lt;Valeur name="tva"&gt;40.72&lt;/Valeur&gt;</v>
      </c>
      <c r="AG86" s="15" t="s">
        <v>873</v>
      </c>
      <c r="AH86" s="15" t="str">
        <f t="shared" si="26"/>
        <v>&lt;Insert&gt;&lt;Valeur name="no"&gt;85&lt;/Valeur&gt;&lt;Valeur name="societe"&gt;1&lt;/Valeur&gt;&lt;Valeur name="pointer"&gt;1&lt;/Valeur&gt;&lt;Valeur name="datevaleur"&gt;2019/04/30&lt;/Valeur&gt;&lt;Valeur name="datecompta"&gt;2019/03/01&lt;/Valeur&gt;&lt;Valeur name="compte"&gt;57&lt;/Valeur&gt;&lt;Valeur name="description"&gt;&lt;/Valeur&gt;&lt;Valeur name="valeur"&gt;-244.32&lt;/Valeur&gt;&lt;Valeur name="tvapct"&gt;20&lt;/Valeur&gt;&lt;Valeur name="tva"&gt;40.72&lt;/Valeur&gt;&lt;/Insert&gt;</v>
      </c>
    </row>
    <row r="87" spans="1:34" hidden="1" x14ac:dyDescent="0.25">
      <c r="A87" s="9">
        <v>43525</v>
      </c>
      <c r="B87" s="1">
        <v>43585</v>
      </c>
      <c r="C87" t="str">
        <f>INDEX(Balance!A:A,MATCH(D87,Balance!B:B,0))</f>
        <v>Fournisseurs</v>
      </c>
      <c r="D87" t="s">
        <v>300</v>
      </c>
      <c r="F87">
        <v>310.3</v>
      </c>
      <c r="H87" s="3">
        <f t="shared" si="30"/>
        <v>51.71666666666664</v>
      </c>
      <c r="K87">
        <v>86</v>
      </c>
      <c r="L87">
        <v>1</v>
      </c>
      <c r="M87">
        <v>1</v>
      </c>
      <c r="N87" s="16" t="s">
        <v>882</v>
      </c>
      <c r="O87" s="16" t="s">
        <v>891</v>
      </c>
      <c r="P87">
        <f>IFERROR(VLOOKUP(D87,tab!A:B,2,FALSE),1)</f>
        <v>107</v>
      </c>
      <c r="Q87" s="14" t="str">
        <f t="shared" si="27"/>
        <v/>
      </c>
      <c r="R87">
        <f t="shared" si="28"/>
        <v>-310.3</v>
      </c>
      <c r="S87">
        <v>20</v>
      </c>
      <c r="T87" s="13">
        <f t="shared" si="29"/>
        <v>51.71666666666664</v>
      </c>
      <c r="V87" t="s">
        <v>872</v>
      </c>
      <c r="W87" t="str">
        <f t="shared" ref="W87:W130" si="31">"&lt;Valeur "&amp;K$1&amp;"&gt;"&amp;K87&amp;"&lt;/Valeur&gt;"</f>
        <v>&lt;Valeur name="no"&gt;86&lt;/Valeur&gt;</v>
      </c>
      <c r="X87" t="str">
        <f t="shared" ref="X87:X130" si="32">"&lt;Valeur "&amp;L$1&amp;"&gt;"&amp;L87&amp;"&lt;/Valeur&gt;"</f>
        <v>&lt;Valeur name="societe"&gt;1&lt;/Valeur&gt;</v>
      </c>
      <c r="Y87" t="str">
        <f t="shared" ref="Y87:Y130" si="33">"&lt;Valeur "&amp;M$1&amp;"&gt;"&amp;M87&amp;"&lt;/Valeur&gt;"</f>
        <v>&lt;Valeur name="pointer"&gt;1&lt;/Valeur&gt;</v>
      </c>
      <c r="Z87" s="15" t="str">
        <f t="shared" ref="Z87:Z130" si="34">"&lt;Valeur "&amp;N$1&amp;"&gt;"&amp;N87&amp;"&lt;/Valeur&gt;"</f>
        <v>&lt;Valeur name="datevaleur"&gt;2019/04/30&lt;/Valeur&gt;</v>
      </c>
      <c r="AA87" s="15" t="str">
        <f t="shared" ref="AA87:AA130" si="35">"&lt;Valeur "&amp;O$1&amp;"&gt;"&amp;O87&amp;"&lt;/Valeur&gt;"</f>
        <v>&lt;Valeur name="datecompta"&gt;2019/03/01&lt;/Valeur&gt;</v>
      </c>
      <c r="AB87" s="15" t="str">
        <f t="shared" ref="AB87:AB130" si="36">"&lt;Valeur "&amp;P$1&amp;"&gt;"&amp;P87&amp;"&lt;/Valeur&gt;"</f>
        <v>&lt;Valeur name="compte"&gt;107&lt;/Valeur&gt;</v>
      </c>
      <c r="AC87" s="15" t="str">
        <f t="shared" ref="AC87:AC130" si="37">"&lt;Valeur "&amp;Q$1&amp;"&gt;"&amp;Q87&amp;"&lt;/Valeur&gt;"</f>
        <v>&lt;Valeur name="description"&gt;&lt;/Valeur&gt;</v>
      </c>
      <c r="AD87" s="15" t="str">
        <f t="shared" ref="AD87:AD130" si="38">"&lt;Valeur "&amp;R$1&amp;"&gt;"&amp;R87&amp;"&lt;/Valeur&gt;"</f>
        <v>&lt;Valeur name="valeur"&gt;-310.3&lt;/Valeur&gt;</v>
      </c>
      <c r="AE87" s="15" t="str">
        <f t="shared" ref="AE87:AE130" si="39">"&lt;Valeur "&amp;S$1&amp;"&gt;"&amp;S87&amp;"&lt;/Valeur&gt;"</f>
        <v>&lt;Valeur name="tvapct"&gt;20&lt;/Valeur&gt;</v>
      </c>
      <c r="AF87" s="15" t="str">
        <f t="shared" ref="AF87:AF130" si="40">"&lt;Valeur "&amp;T$1&amp;"&gt;"&amp;T87&amp;"&lt;/Valeur&gt;"</f>
        <v>&lt;Valeur name="tva"&gt;51.7166666666666&lt;/Valeur&gt;</v>
      </c>
      <c r="AG87" s="15" t="s">
        <v>873</v>
      </c>
      <c r="AH87" s="15" t="str">
        <f t="shared" ref="AH87:AH130" si="41">CONCATENATE(V87,W87,X87,Y87,Z87,AA87,AB87,AC87,AD87,AE87,AF87,AG87)</f>
        <v>&lt;Insert&gt;&lt;Valeur name="no"&gt;86&lt;/Valeur&gt;&lt;Valeur name="societe"&gt;1&lt;/Valeur&gt;&lt;Valeur name="pointer"&gt;1&lt;/Valeur&gt;&lt;Valeur name="datevaleur"&gt;2019/04/30&lt;/Valeur&gt;&lt;Valeur name="datecompta"&gt;2019/03/01&lt;/Valeur&gt;&lt;Valeur name="compte"&gt;107&lt;/Valeur&gt;&lt;Valeur name="description"&gt;&lt;/Valeur&gt;&lt;Valeur name="valeur"&gt;-310.3&lt;/Valeur&gt;&lt;Valeur name="tvapct"&gt;20&lt;/Valeur&gt;&lt;Valeur name="tva"&gt;51.7166666666666&lt;/Valeur&gt;&lt;/Insert&gt;</v>
      </c>
    </row>
    <row r="88" spans="1:34" hidden="1" x14ac:dyDescent="0.25">
      <c r="A88" s="9">
        <v>43525</v>
      </c>
      <c r="B88" s="1">
        <v>43585</v>
      </c>
      <c r="C88" t="str">
        <f>INDEX(Balance!A:A,MATCH(D88,Balance!B:B,0))</f>
        <v>Fournisseurs</v>
      </c>
      <c r="D88" t="s">
        <v>259</v>
      </c>
      <c r="F88">
        <v>336.12</v>
      </c>
      <c r="H88" s="3">
        <f t="shared" si="30"/>
        <v>56.019999999999982</v>
      </c>
      <c r="K88">
        <v>87</v>
      </c>
      <c r="L88">
        <v>1</v>
      </c>
      <c r="M88">
        <v>1</v>
      </c>
      <c r="N88" s="16" t="s">
        <v>882</v>
      </c>
      <c r="O88" s="16" t="s">
        <v>891</v>
      </c>
      <c r="P88">
        <f>IFERROR(VLOOKUP(D88,tab!A:B,2,FALSE),1)</f>
        <v>72</v>
      </c>
      <c r="Q88" s="14" t="str">
        <f t="shared" si="27"/>
        <v/>
      </c>
      <c r="R88">
        <f t="shared" si="28"/>
        <v>-336.12</v>
      </c>
      <c r="S88">
        <v>20</v>
      </c>
      <c r="T88" s="13">
        <f t="shared" si="29"/>
        <v>56.019999999999982</v>
      </c>
      <c r="V88" t="s">
        <v>872</v>
      </c>
      <c r="W88" t="str">
        <f t="shared" si="31"/>
        <v>&lt;Valeur name="no"&gt;87&lt;/Valeur&gt;</v>
      </c>
      <c r="X88" t="str">
        <f t="shared" si="32"/>
        <v>&lt;Valeur name="societe"&gt;1&lt;/Valeur&gt;</v>
      </c>
      <c r="Y88" t="str">
        <f t="shared" si="33"/>
        <v>&lt;Valeur name="pointer"&gt;1&lt;/Valeur&gt;</v>
      </c>
      <c r="Z88" s="15" t="str">
        <f t="shared" si="34"/>
        <v>&lt;Valeur name="datevaleur"&gt;2019/04/30&lt;/Valeur&gt;</v>
      </c>
      <c r="AA88" s="15" t="str">
        <f t="shared" si="35"/>
        <v>&lt;Valeur name="datecompta"&gt;2019/03/01&lt;/Valeur&gt;</v>
      </c>
      <c r="AB88" s="15" t="str">
        <f t="shared" si="36"/>
        <v>&lt;Valeur name="compte"&gt;72&lt;/Valeur&gt;</v>
      </c>
      <c r="AC88" s="15" t="str">
        <f t="shared" si="37"/>
        <v>&lt;Valeur name="description"&gt;&lt;/Valeur&gt;</v>
      </c>
      <c r="AD88" s="15" t="str">
        <f t="shared" si="38"/>
        <v>&lt;Valeur name="valeur"&gt;-336.12&lt;/Valeur&gt;</v>
      </c>
      <c r="AE88" s="15" t="str">
        <f t="shared" si="39"/>
        <v>&lt;Valeur name="tvapct"&gt;20&lt;/Valeur&gt;</v>
      </c>
      <c r="AF88" s="15" t="str">
        <f t="shared" si="40"/>
        <v>&lt;Valeur name="tva"&gt;56.02&lt;/Valeur&gt;</v>
      </c>
      <c r="AG88" s="15" t="s">
        <v>873</v>
      </c>
      <c r="AH88" s="15" t="str">
        <f t="shared" si="41"/>
        <v>&lt;Insert&gt;&lt;Valeur name="no"&gt;87&lt;/Valeur&gt;&lt;Valeur name="societe"&gt;1&lt;/Valeur&gt;&lt;Valeur name="pointer"&gt;1&lt;/Valeur&gt;&lt;Valeur name="datevaleur"&gt;2019/04/30&lt;/Valeur&gt;&lt;Valeur name="datecompta"&gt;2019/03/01&lt;/Valeur&gt;&lt;Valeur name="compte"&gt;72&lt;/Valeur&gt;&lt;Valeur name="description"&gt;&lt;/Valeur&gt;&lt;Valeur name="valeur"&gt;-336.12&lt;/Valeur&gt;&lt;Valeur name="tvapct"&gt;20&lt;/Valeur&gt;&lt;Valeur name="tva"&gt;56.02&lt;/Valeur&gt;&lt;/Insert&gt;</v>
      </c>
    </row>
    <row r="89" spans="1:34" hidden="1" x14ac:dyDescent="0.25">
      <c r="A89" s="9">
        <v>43525</v>
      </c>
      <c r="B89" s="1">
        <v>43585</v>
      </c>
      <c r="C89" t="str">
        <f>INDEX(Balance!A:A,MATCH(D89,Balance!B:B,0))</f>
        <v>Fournisseurs</v>
      </c>
      <c r="D89" t="s">
        <v>276</v>
      </c>
      <c r="F89">
        <v>367.73</v>
      </c>
      <c r="H89" s="3">
        <f t="shared" si="30"/>
        <v>61.288333333333298</v>
      </c>
      <c r="K89">
        <v>88</v>
      </c>
      <c r="L89">
        <v>1</v>
      </c>
      <c r="M89">
        <v>1</v>
      </c>
      <c r="N89" s="16" t="s">
        <v>882</v>
      </c>
      <c r="O89" s="16" t="s">
        <v>891</v>
      </c>
      <c r="P89">
        <f>IFERROR(VLOOKUP(D89,tab!A:B,2,FALSE),1)</f>
        <v>114</v>
      </c>
      <c r="Q89" s="14" t="str">
        <f t="shared" si="27"/>
        <v/>
      </c>
      <c r="R89">
        <f t="shared" si="28"/>
        <v>-367.73</v>
      </c>
      <c r="S89">
        <v>20</v>
      </c>
      <c r="T89" s="13">
        <f t="shared" si="29"/>
        <v>61.288333333333298</v>
      </c>
      <c r="V89" t="s">
        <v>872</v>
      </c>
      <c r="W89" t="str">
        <f t="shared" si="31"/>
        <v>&lt;Valeur name="no"&gt;88&lt;/Valeur&gt;</v>
      </c>
      <c r="X89" t="str">
        <f t="shared" si="32"/>
        <v>&lt;Valeur name="societe"&gt;1&lt;/Valeur&gt;</v>
      </c>
      <c r="Y89" t="str">
        <f t="shared" si="33"/>
        <v>&lt;Valeur name="pointer"&gt;1&lt;/Valeur&gt;</v>
      </c>
      <c r="Z89" s="15" t="str">
        <f t="shared" si="34"/>
        <v>&lt;Valeur name="datevaleur"&gt;2019/04/30&lt;/Valeur&gt;</v>
      </c>
      <c r="AA89" s="15" t="str">
        <f t="shared" si="35"/>
        <v>&lt;Valeur name="datecompta"&gt;2019/03/01&lt;/Valeur&gt;</v>
      </c>
      <c r="AB89" s="15" t="str">
        <f t="shared" si="36"/>
        <v>&lt;Valeur name="compte"&gt;114&lt;/Valeur&gt;</v>
      </c>
      <c r="AC89" s="15" t="str">
        <f t="shared" si="37"/>
        <v>&lt;Valeur name="description"&gt;&lt;/Valeur&gt;</v>
      </c>
      <c r="AD89" s="15" t="str">
        <f t="shared" si="38"/>
        <v>&lt;Valeur name="valeur"&gt;-367.73&lt;/Valeur&gt;</v>
      </c>
      <c r="AE89" s="15" t="str">
        <f t="shared" si="39"/>
        <v>&lt;Valeur name="tvapct"&gt;20&lt;/Valeur&gt;</v>
      </c>
      <c r="AF89" s="15" t="str">
        <f t="shared" si="40"/>
        <v>&lt;Valeur name="tva"&gt;61.2883333333333&lt;/Valeur&gt;</v>
      </c>
      <c r="AG89" s="15" t="s">
        <v>873</v>
      </c>
      <c r="AH89" s="15" t="str">
        <f t="shared" si="41"/>
        <v>&lt;Insert&gt;&lt;Valeur name="no"&gt;88&lt;/Valeur&gt;&lt;Valeur name="societe"&gt;1&lt;/Valeur&gt;&lt;Valeur name="pointer"&gt;1&lt;/Valeur&gt;&lt;Valeur name="datevaleur"&gt;2019/04/30&lt;/Valeur&gt;&lt;Valeur name="datecompta"&gt;2019/03/01&lt;/Valeur&gt;&lt;Valeur name="compte"&gt;114&lt;/Valeur&gt;&lt;Valeur name="description"&gt;&lt;/Valeur&gt;&lt;Valeur name="valeur"&gt;-367.73&lt;/Valeur&gt;&lt;Valeur name="tvapct"&gt;20&lt;/Valeur&gt;&lt;Valeur name="tva"&gt;61.2883333333333&lt;/Valeur&gt;&lt;/Insert&gt;</v>
      </c>
    </row>
    <row r="90" spans="1:34" hidden="1" x14ac:dyDescent="0.25">
      <c r="A90" s="9">
        <v>43525</v>
      </c>
      <c r="B90" s="1">
        <v>43585</v>
      </c>
      <c r="C90" t="str">
        <f>INDEX(Balance!A:A,MATCH(D90,Balance!B:B,0))</f>
        <v>Fournisseurs</v>
      </c>
      <c r="D90" t="s">
        <v>261</v>
      </c>
      <c r="F90">
        <v>552</v>
      </c>
      <c r="H90" s="3">
        <f t="shared" si="30"/>
        <v>92</v>
      </c>
      <c r="K90">
        <v>89</v>
      </c>
      <c r="L90">
        <v>1</v>
      </c>
      <c r="M90">
        <v>1</v>
      </c>
      <c r="N90" s="16" t="s">
        <v>882</v>
      </c>
      <c r="O90" s="16" t="s">
        <v>891</v>
      </c>
      <c r="P90">
        <f>IFERROR(VLOOKUP(D90,tab!A:B,2,FALSE),1)</f>
        <v>53</v>
      </c>
      <c r="Q90" s="14" t="str">
        <f t="shared" si="27"/>
        <v/>
      </c>
      <c r="R90">
        <f t="shared" si="28"/>
        <v>-552</v>
      </c>
      <c r="S90">
        <v>20</v>
      </c>
      <c r="T90" s="13">
        <f t="shared" si="29"/>
        <v>92</v>
      </c>
      <c r="V90" t="s">
        <v>872</v>
      </c>
      <c r="W90" t="str">
        <f t="shared" si="31"/>
        <v>&lt;Valeur name="no"&gt;89&lt;/Valeur&gt;</v>
      </c>
      <c r="X90" t="str">
        <f t="shared" si="32"/>
        <v>&lt;Valeur name="societe"&gt;1&lt;/Valeur&gt;</v>
      </c>
      <c r="Y90" t="str">
        <f t="shared" si="33"/>
        <v>&lt;Valeur name="pointer"&gt;1&lt;/Valeur&gt;</v>
      </c>
      <c r="Z90" s="15" t="str">
        <f t="shared" si="34"/>
        <v>&lt;Valeur name="datevaleur"&gt;2019/04/30&lt;/Valeur&gt;</v>
      </c>
      <c r="AA90" s="15" t="str">
        <f t="shared" si="35"/>
        <v>&lt;Valeur name="datecompta"&gt;2019/03/01&lt;/Valeur&gt;</v>
      </c>
      <c r="AB90" s="15" t="str">
        <f t="shared" si="36"/>
        <v>&lt;Valeur name="compte"&gt;53&lt;/Valeur&gt;</v>
      </c>
      <c r="AC90" s="15" t="str">
        <f t="shared" si="37"/>
        <v>&lt;Valeur name="description"&gt;&lt;/Valeur&gt;</v>
      </c>
      <c r="AD90" s="15" t="str">
        <f t="shared" si="38"/>
        <v>&lt;Valeur name="valeur"&gt;-552&lt;/Valeur&gt;</v>
      </c>
      <c r="AE90" s="15" t="str">
        <f t="shared" si="39"/>
        <v>&lt;Valeur name="tvapct"&gt;20&lt;/Valeur&gt;</v>
      </c>
      <c r="AF90" s="15" t="str">
        <f t="shared" si="40"/>
        <v>&lt;Valeur name="tva"&gt;92&lt;/Valeur&gt;</v>
      </c>
      <c r="AG90" s="15" t="s">
        <v>873</v>
      </c>
      <c r="AH90" s="15" t="str">
        <f t="shared" si="41"/>
        <v>&lt;Insert&gt;&lt;Valeur name="no"&gt;89&lt;/Valeur&gt;&lt;Valeur name="societe"&gt;1&lt;/Valeur&gt;&lt;Valeur name="pointer"&gt;1&lt;/Valeur&gt;&lt;Valeur name="datevaleur"&gt;2019/04/30&lt;/Valeur&gt;&lt;Valeur name="datecompta"&gt;2019/03/01&lt;/Valeur&gt;&lt;Valeur name="compte"&gt;53&lt;/Valeur&gt;&lt;Valeur name="description"&gt;&lt;/Valeur&gt;&lt;Valeur name="valeur"&gt;-552&lt;/Valeur&gt;&lt;Valeur name="tvapct"&gt;20&lt;/Valeur&gt;&lt;Valeur name="tva"&gt;92&lt;/Valeur&gt;&lt;/Insert&gt;</v>
      </c>
    </row>
    <row r="91" spans="1:34" hidden="1" x14ac:dyDescent="0.25">
      <c r="A91" s="9">
        <v>43525</v>
      </c>
      <c r="B91" s="1">
        <v>43585</v>
      </c>
      <c r="C91" t="str">
        <f>INDEX(Balance!A:A,MATCH(D91,Balance!B:B,0))</f>
        <v>Fournisseurs</v>
      </c>
      <c r="D91" t="s">
        <v>261</v>
      </c>
      <c r="F91">
        <v>1020</v>
      </c>
      <c r="H91" s="3">
        <f t="shared" si="30"/>
        <v>170</v>
      </c>
      <c r="K91">
        <v>90</v>
      </c>
      <c r="L91">
        <v>1</v>
      </c>
      <c r="M91">
        <v>1</v>
      </c>
      <c r="N91" s="16" t="s">
        <v>882</v>
      </c>
      <c r="O91" s="16" t="s">
        <v>891</v>
      </c>
      <c r="P91">
        <f>IFERROR(VLOOKUP(D91,tab!A:B,2,FALSE),1)</f>
        <v>53</v>
      </c>
      <c r="Q91" s="14" t="str">
        <f t="shared" si="27"/>
        <v/>
      </c>
      <c r="R91">
        <f t="shared" si="28"/>
        <v>-1020</v>
      </c>
      <c r="S91">
        <v>20</v>
      </c>
      <c r="T91" s="13">
        <f t="shared" si="29"/>
        <v>170</v>
      </c>
      <c r="V91" t="s">
        <v>872</v>
      </c>
      <c r="W91" t="str">
        <f t="shared" si="31"/>
        <v>&lt;Valeur name="no"&gt;90&lt;/Valeur&gt;</v>
      </c>
      <c r="X91" t="str">
        <f t="shared" si="32"/>
        <v>&lt;Valeur name="societe"&gt;1&lt;/Valeur&gt;</v>
      </c>
      <c r="Y91" t="str">
        <f t="shared" si="33"/>
        <v>&lt;Valeur name="pointer"&gt;1&lt;/Valeur&gt;</v>
      </c>
      <c r="Z91" s="15" t="str">
        <f t="shared" si="34"/>
        <v>&lt;Valeur name="datevaleur"&gt;2019/04/30&lt;/Valeur&gt;</v>
      </c>
      <c r="AA91" s="15" t="str">
        <f t="shared" si="35"/>
        <v>&lt;Valeur name="datecompta"&gt;2019/03/01&lt;/Valeur&gt;</v>
      </c>
      <c r="AB91" s="15" t="str">
        <f t="shared" si="36"/>
        <v>&lt;Valeur name="compte"&gt;53&lt;/Valeur&gt;</v>
      </c>
      <c r="AC91" s="15" t="str">
        <f t="shared" si="37"/>
        <v>&lt;Valeur name="description"&gt;&lt;/Valeur&gt;</v>
      </c>
      <c r="AD91" s="15" t="str">
        <f t="shared" si="38"/>
        <v>&lt;Valeur name="valeur"&gt;-1020&lt;/Valeur&gt;</v>
      </c>
      <c r="AE91" s="15" t="str">
        <f t="shared" si="39"/>
        <v>&lt;Valeur name="tvapct"&gt;20&lt;/Valeur&gt;</v>
      </c>
      <c r="AF91" s="15" t="str">
        <f t="shared" si="40"/>
        <v>&lt;Valeur name="tva"&gt;170&lt;/Valeur&gt;</v>
      </c>
      <c r="AG91" s="15" t="s">
        <v>873</v>
      </c>
      <c r="AH91" s="15" t="str">
        <f t="shared" si="41"/>
        <v>&lt;Insert&gt;&lt;Valeur name="no"&gt;90&lt;/Valeur&gt;&lt;Valeur name="societe"&gt;1&lt;/Valeur&gt;&lt;Valeur name="pointer"&gt;1&lt;/Valeur&gt;&lt;Valeur name="datevaleur"&gt;2019/04/30&lt;/Valeur&gt;&lt;Valeur name="datecompta"&gt;2019/03/01&lt;/Valeur&gt;&lt;Valeur name="compte"&gt;53&lt;/Valeur&gt;&lt;Valeur name="description"&gt;&lt;/Valeur&gt;&lt;Valeur name="valeur"&gt;-1020&lt;/Valeur&gt;&lt;Valeur name="tvapct"&gt;20&lt;/Valeur&gt;&lt;Valeur name="tva"&gt;170&lt;/Valeur&gt;&lt;/Insert&gt;</v>
      </c>
    </row>
    <row r="92" spans="1:34" hidden="1" x14ac:dyDescent="0.25">
      <c r="A92" s="9">
        <v>43525</v>
      </c>
      <c r="B92" s="1">
        <v>43585</v>
      </c>
      <c r="C92" t="str">
        <f>INDEX(Balance!A:A,MATCH(D92,Balance!B:B,0))</f>
        <v>Fournisseurs</v>
      </c>
      <c r="D92" t="s">
        <v>303</v>
      </c>
      <c r="F92">
        <v>1169.4000000000001</v>
      </c>
      <c r="H92" s="3">
        <f t="shared" si="30"/>
        <v>194.89999999999998</v>
      </c>
      <c r="K92">
        <v>91</v>
      </c>
      <c r="L92">
        <v>1</v>
      </c>
      <c r="M92">
        <v>1</v>
      </c>
      <c r="N92" s="16" t="s">
        <v>882</v>
      </c>
      <c r="O92" s="16" t="s">
        <v>891</v>
      </c>
      <c r="P92">
        <f>IFERROR(VLOOKUP(D92,tab!A:B,2,FALSE),1)</f>
        <v>91</v>
      </c>
      <c r="Q92" s="14" t="str">
        <f t="shared" si="27"/>
        <v/>
      </c>
      <c r="R92">
        <f t="shared" si="28"/>
        <v>-1169.4000000000001</v>
      </c>
      <c r="S92">
        <v>20</v>
      </c>
      <c r="T92" s="13">
        <f t="shared" si="29"/>
        <v>194.89999999999998</v>
      </c>
      <c r="V92" t="s">
        <v>872</v>
      </c>
      <c r="W92" t="str">
        <f t="shared" si="31"/>
        <v>&lt;Valeur name="no"&gt;91&lt;/Valeur&gt;</v>
      </c>
      <c r="X92" t="str">
        <f t="shared" si="32"/>
        <v>&lt;Valeur name="societe"&gt;1&lt;/Valeur&gt;</v>
      </c>
      <c r="Y92" t="str">
        <f t="shared" si="33"/>
        <v>&lt;Valeur name="pointer"&gt;1&lt;/Valeur&gt;</v>
      </c>
      <c r="Z92" s="15" t="str">
        <f t="shared" si="34"/>
        <v>&lt;Valeur name="datevaleur"&gt;2019/04/30&lt;/Valeur&gt;</v>
      </c>
      <c r="AA92" s="15" t="str">
        <f t="shared" si="35"/>
        <v>&lt;Valeur name="datecompta"&gt;2019/03/01&lt;/Valeur&gt;</v>
      </c>
      <c r="AB92" s="15" t="str">
        <f t="shared" si="36"/>
        <v>&lt;Valeur name="compte"&gt;91&lt;/Valeur&gt;</v>
      </c>
      <c r="AC92" s="15" t="str">
        <f t="shared" si="37"/>
        <v>&lt;Valeur name="description"&gt;&lt;/Valeur&gt;</v>
      </c>
      <c r="AD92" s="15" t="str">
        <f t="shared" si="38"/>
        <v>&lt;Valeur name="valeur"&gt;-1169.4&lt;/Valeur&gt;</v>
      </c>
      <c r="AE92" s="15" t="str">
        <f t="shared" si="39"/>
        <v>&lt;Valeur name="tvapct"&gt;20&lt;/Valeur&gt;</v>
      </c>
      <c r="AF92" s="15" t="str">
        <f t="shared" si="40"/>
        <v>&lt;Valeur name="tva"&gt;194.9&lt;/Valeur&gt;</v>
      </c>
      <c r="AG92" s="15" t="s">
        <v>873</v>
      </c>
      <c r="AH92" s="15" t="str">
        <f t="shared" si="41"/>
        <v>&lt;Insert&gt;&lt;Valeur name="no"&gt;91&lt;/Valeur&gt;&lt;Valeur name="societe"&gt;1&lt;/Valeur&gt;&lt;Valeur name="pointer"&gt;1&lt;/Valeur&gt;&lt;Valeur name="datevaleur"&gt;2019/04/30&lt;/Valeur&gt;&lt;Valeur name="datecompta"&gt;2019/03/01&lt;/Valeur&gt;&lt;Valeur name="compte"&gt;91&lt;/Valeur&gt;&lt;Valeur name="description"&gt;&lt;/Valeur&gt;&lt;Valeur name="valeur"&gt;-1169.4&lt;/Valeur&gt;&lt;Valeur name="tvapct"&gt;20&lt;/Valeur&gt;&lt;Valeur name="tva"&gt;194.9&lt;/Valeur&gt;&lt;/Insert&gt;</v>
      </c>
    </row>
    <row r="93" spans="1:34" hidden="1" x14ac:dyDescent="0.25">
      <c r="A93" s="9">
        <v>43525</v>
      </c>
      <c r="B93" s="1">
        <v>43592</v>
      </c>
      <c r="C93" t="str">
        <f>INDEX(Balance!A:A,MATCH(D93,Balance!B:B,0))</f>
        <v>Fournisseurs</v>
      </c>
      <c r="D93" t="s">
        <v>277</v>
      </c>
      <c r="F93">
        <v>273.58999999999997</v>
      </c>
      <c r="H93" s="3">
        <f t="shared" si="30"/>
        <v>45.598333333333329</v>
      </c>
      <c r="K93">
        <v>92</v>
      </c>
      <c r="L93">
        <v>1</v>
      </c>
      <c r="M93">
        <v>1</v>
      </c>
      <c r="N93" s="16" t="s">
        <v>912</v>
      </c>
      <c r="O93" s="16" t="s">
        <v>891</v>
      </c>
      <c r="P93">
        <f>IFERROR(VLOOKUP(D93,tab!A:B,2,FALSE),1)</f>
        <v>62</v>
      </c>
      <c r="Q93" s="14" t="str">
        <f t="shared" si="27"/>
        <v/>
      </c>
      <c r="R93">
        <f t="shared" si="28"/>
        <v>-273.58999999999997</v>
      </c>
      <c r="S93">
        <v>20</v>
      </c>
      <c r="T93" s="13">
        <f t="shared" si="29"/>
        <v>45.598333333333329</v>
      </c>
      <c r="V93" t="s">
        <v>872</v>
      </c>
      <c r="W93" t="str">
        <f t="shared" si="31"/>
        <v>&lt;Valeur name="no"&gt;92&lt;/Valeur&gt;</v>
      </c>
      <c r="X93" t="str">
        <f t="shared" si="32"/>
        <v>&lt;Valeur name="societe"&gt;1&lt;/Valeur&gt;</v>
      </c>
      <c r="Y93" t="str">
        <f t="shared" si="33"/>
        <v>&lt;Valeur name="pointer"&gt;1&lt;/Valeur&gt;</v>
      </c>
      <c r="Z93" s="15" t="str">
        <f t="shared" si="34"/>
        <v>&lt;Valeur name="datevaleur"&gt;2019/05/07&lt;/Valeur&gt;</v>
      </c>
      <c r="AA93" s="15" t="str">
        <f t="shared" si="35"/>
        <v>&lt;Valeur name="datecompta"&gt;2019/03/01&lt;/Valeur&gt;</v>
      </c>
      <c r="AB93" s="15" t="str">
        <f t="shared" si="36"/>
        <v>&lt;Valeur name="compte"&gt;62&lt;/Valeur&gt;</v>
      </c>
      <c r="AC93" s="15" t="str">
        <f t="shared" si="37"/>
        <v>&lt;Valeur name="description"&gt;&lt;/Valeur&gt;</v>
      </c>
      <c r="AD93" s="15" t="str">
        <f t="shared" si="38"/>
        <v>&lt;Valeur name="valeur"&gt;-273.59&lt;/Valeur&gt;</v>
      </c>
      <c r="AE93" s="15" t="str">
        <f t="shared" si="39"/>
        <v>&lt;Valeur name="tvapct"&gt;20&lt;/Valeur&gt;</v>
      </c>
      <c r="AF93" s="15" t="str">
        <f t="shared" si="40"/>
        <v>&lt;Valeur name="tva"&gt;45.5983333333333&lt;/Valeur&gt;</v>
      </c>
      <c r="AG93" s="15" t="s">
        <v>873</v>
      </c>
      <c r="AH93" s="15" t="str">
        <f t="shared" si="41"/>
        <v>&lt;Insert&gt;&lt;Valeur name="no"&gt;92&lt;/Valeur&gt;&lt;Valeur name="societe"&gt;1&lt;/Valeur&gt;&lt;Valeur name="pointer"&gt;1&lt;/Valeur&gt;&lt;Valeur name="datevaleur"&gt;2019/05/07&lt;/Valeur&gt;&lt;Valeur name="datecompta"&gt;2019/03/01&lt;/Valeur&gt;&lt;Valeur name="compte"&gt;62&lt;/Valeur&gt;&lt;Valeur name="description"&gt;&lt;/Valeur&gt;&lt;Valeur name="valeur"&gt;-273.59&lt;/Valeur&gt;&lt;Valeur name="tvapct"&gt;20&lt;/Valeur&gt;&lt;Valeur name="tva"&gt;45.5983333333333&lt;/Valeur&gt;&lt;/Insert&gt;</v>
      </c>
    </row>
    <row r="94" spans="1:34" hidden="1" x14ac:dyDescent="0.25">
      <c r="A94" s="9">
        <v>43525</v>
      </c>
      <c r="B94" s="1">
        <v>43598</v>
      </c>
      <c r="C94" t="str">
        <f>INDEX(Balance!A:A,MATCH(D94,Balance!B:B,0))</f>
        <v>Fournisseurs</v>
      </c>
      <c r="D94" t="s">
        <v>277</v>
      </c>
      <c r="F94">
        <v>215.3</v>
      </c>
      <c r="H94" s="3">
        <f t="shared" si="30"/>
        <v>35.883333333333326</v>
      </c>
      <c r="K94">
        <v>93</v>
      </c>
      <c r="L94">
        <v>1</v>
      </c>
      <c r="M94">
        <v>1</v>
      </c>
      <c r="N94" s="16" t="s">
        <v>913</v>
      </c>
      <c r="O94" s="16" t="s">
        <v>891</v>
      </c>
      <c r="P94">
        <f>IFERROR(VLOOKUP(D94,tab!A:B,2,FALSE),1)</f>
        <v>62</v>
      </c>
      <c r="Q94" s="14" t="str">
        <f t="shared" si="27"/>
        <v/>
      </c>
      <c r="R94">
        <f t="shared" si="28"/>
        <v>-215.3</v>
      </c>
      <c r="S94">
        <v>20</v>
      </c>
      <c r="T94" s="13">
        <f t="shared" si="29"/>
        <v>35.883333333333326</v>
      </c>
      <c r="V94" t="s">
        <v>872</v>
      </c>
      <c r="W94" t="str">
        <f t="shared" si="31"/>
        <v>&lt;Valeur name="no"&gt;93&lt;/Valeur&gt;</v>
      </c>
      <c r="X94" t="str">
        <f t="shared" si="32"/>
        <v>&lt;Valeur name="societe"&gt;1&lt;/Valeur&gt;</v>
      </c>
      <c r="Y94" t="str">
        <f t="shared" si="33"/>
        <v>&lt;Valeur name="pointer"&gt;1&lt;/Valeur&gt;</v>
      </c>
      <c r="Z94" s="15" t="str">
        <f t="shared" si="34"/>
        <v>&lt;Valeur name="datevaleur"&gt;2019/05/13&lt;/Valeur&gt;</v>
      </c>
      <c r="AA94" s="15" t="str">
        <f t="shared" si="35"/>
        <v>&lt;Valeur name="datecompta"&gt;2019/03/01&lt;/Valeur&gt;</v>
      </c>
      <c r="AB94" s="15" t="str">
        <f t="shared" si="36"/>
        <v>&lt;Valeur name="compte"&gt;62&lt;/Valeur&gt;</v>
      </c>
      <c r="AC94" s="15" t="str">
        <f t="shared" si="37"/>
        <v>&lt;Valeur name="description"&gt;&lt;/Valeur&gt;</v>
      </c>
      <c r="AD94" s="15" t="str">
        <f t="shared" si="38"/>
        <v>&lt;Valeur name="valeur"&gt;-215.3&lt;/Valeur&gt;</v>
      </c>
      <c r="AE94" s="15" t="str">
        <f t="shared" si="39"/>
        <v>&lt;Valeur name="tvapct"&gt;20&lt;/Valeur&gt;</v>
      </c>
      <c r="AF94" s="15" t="str">
        <f t="shared" si="40"/>
        <v>&lt;Valeur name="tva"&gt;35.8833333333333&lt;/Valeur&gt;</v>
      </c>
      <c r="AG94" s="15" t="s">
        <v>873</v>
      </c>
      <c r="AH94" s="15" t="str">
        <f t="shared" si="41"/>
        <v>&lt;Insert&gt;&lt;Valeur name="no"&gt;93&lt;/Valeur&gt;&lt;Valeur name="societe"&gt;1&lt;/Valeur&gt;&lt;Valeur name="pointer"&gt;1&lt;/Valeur&gt;&lt;Valeur name="datevaleur"&gt;2019/05/13&lt;/Valeur&gt;&lt;Valeur name="datecompta"&gt;2019/03/01&lt;/Valeur&gt;&lt;Valeur name="compte"&gt;62&lt;/Valeur&gt;&lt;Valeur name="description"&gt;&lt;/Valeur&gt;&lt;Valeur name="valeur"&gt;-215.3&lt;/Valeur&gt;&lt;Valeur name="tvapct"&gt;20&lt;/Valeur&gt;&lt;Valeur name="tva"&gt;35.8833333333333&lt;/Valeur&gt;&lt;/Insert&gt;</v>
      </c>
    </row>
    <row r="95" spans="1:34" hidden="1" x14ac:dyDescent="0.25">
      <c r="A95" s="9">
        <v>43525</v>
      </c>
      <c r="B95" s="1">
        <v>43602</v>
      </c>
      <c r="C95" t="str">
        <f>INDEX(Balance!A:A,MATCH(D95,Balance!B:B,0))</f>
        <v>Fournisseurs</v>
      </c>
      <c r="D95" t="s">
        <v>277</v>
      </c>
      <c r="F95">
        <v>106.86</v>
      </c>
      <c r="H95" s="3">
        <f t="shared" si="30"/>
        <v>17.810000000000002</v>
      </c>
      <c r="K95">
        <v>94</v>
      </c>
      <c r="L95">
        <v>1</v>
      </c>
      <c r="M95">
        <v>1</v>
      </c>
      <c r="N95" s="16" t="s">
        <v>914</v>
      </c>
      <c r="O95" s="16" t="s">
        <v>891</v>
      </c>
      <c r="P95">
        <f>IFERROR(VLOOKUP(D95,tab!A:B,2,FALSE),1)</f>
        <v>62</v>
      </c>
      <c r="Q95" s="14" t="str">
        <f t="shared" si="27"/>
        <v/>
      </c>
      <c r="R95">
        <f t="shared" si="28"/>
        <v>-106.86</v>
      </c>
      <c r="S95">
        <v>20</v>
      </c>
      <c r="T95" s="13">
        <f t="shared" si="29"/>
        <v>17.810000000000002</v>
      </c>
      <c r="V95" t="s">
        <v>872</v>
      </c>
      <c r="W95" t="str">
        <f t="shared" si="31"/>
        <v>&lt;Valeur name="no"&gt;94&lt;/Valeur&gt;</v>
      </c>
      <c r="X95" t="str">
        <f t="shared" si="32"/>
        <v>&lt;Valeur name="societe"&gt;1&lt;/Valeur&gt;</v>
      </c>
      <c r="Y95" t="str">
        <f t="shared" si="33"/>
        <v>&lt;Valeur name="pointer"&gt;1&lt;/Valeur&gt;</v>
      </c>
      <c r="Z95" s="15" t="str">
        <f t="shared" si="34"/>
        <v>&lt;Valeur name="datevaleur"&gt;2019/05/17&lt;/Valeur&gt;</v>
      </c>
      <c r="AA95" s="15" t="str">
        <f t="shared" si="35"/>
        <v>&lt;Valeur name="datecompta"&gt;2019/03/01&lt;/Valeur&gt;</v>
      </c>
      <c r="AB95" s="15" t="str">
        <f t="shared" si="36"/>
        <v>&lt;Valeur name="compte"&gt;62&lt;/Valeur&gt;</v>
      </c>
      <c r="AC95" s="15" t="str">
        <f t="shared" si="37"/>
        <v>&lt;Valeur name="description"&gt;&lt;/Valeur&gt;</v>
      </c>
      <c r="AD95" s="15" t="str">
        <f t="shared" si="38"/>
        <v>&lt;Valeur name="valeur"&gt;-106.86&lt;/Valeur&gt;</v>
      </c>
      <c r="AE95" s="15" t="str">
        <f t="shared" si="39"/>
        <v>&lt;Valeur name="tvapct"&gt;20&lt;/Valeur&gt;</v>
      </c>
      <c r="AF95" s="15" t="str">
        <f t="shared" si="40"/>
        <v>&lt;Valeur name="tva"&gt;17.81&lt;/Valeur&gt;</v>
      </c>
      <c r="AG95" s="15" t="s">
        <v>873</v>
      </c>
      <c r="AH95" s="15" t="str">
        <f t="shared" si="41"/>
        <v>&lt;Insert&gt;&lt;Valeur name="no"&gt;94&lt;/Valeur&gt;&lt;Valeur name="societe"&gt;1&lt;/Valeur&gt;&lt;Valeur name="pointer"&gt;1&lt;/Valeur&gt;&lt;Valeur name="datevaleur"&gt;2019/05/17&lt;/Valeur&gt;&lt;Valeur name="datecompta"&gt;2019/03/01&lt;/Valeur&gt;&lt;Valeur name="compte"&gt;62&lt;/Valeur&gt;&lt;Valeur name="description"&gt;&lt;/Valeur&gt;&lt;Valeur name="valeur"&gt;-106.86&lt;/Valeur&gt;&lt;Valeur name="tvapct"&gt;20&lt;/Valeur&gt;&lt;Valeur name="tva"&gt;17.81&lt;/Valeur&gt;&lt;/Insert&gt;</v>
      </c>
    </row>
    <row r="96" spans="1:34" hidden="1" x14ac:dyDescent="0.25">
      <c r="A96" s="9">
        <v>43554</v>
      </c>
      <c r="B96" s="1">
        <v>43585</v>
      </c>
      <c r="C96" t="str">
        <f>INDEX(Balance!A:A,MATCH(D96,Balance!B:B,0))</f>
        <v>Fournisseurs</v>
      </c>
      <c r="D96" t="s">
        <v>434</v>
      </c>
      <c r="E96" t="s">
        <v>538</v>
      </c>
      <c r="G96">
        <v>1560</v>
      </c>
      <c r="H96" s="3">
        <f t="shared" si="30"/>
        <v>-260</v>
      </c>
      <c r="K96">
        <v>95</v>
      </c>
      <c r="L96">
        <v>1</v>
      </c>
      <c r="M96">
        <v>1</v>
      </c>
      <c r="N96" s="16" t="s">
        <v>882</v>
      </c>
      <c r="O96" s="16" t="s">
        <v>892</v>
      </c>
      <c r="P96">
        <f>IFERROR(VLOOKUP(D96,tab!A:B,2,FALSE),1)</f>
        <v>89</v>
      </c>
      <c r="Q96" s="14" t="str">
        <f t="shared" si="27"/>
        <v>AF256-1 MO Lemyze</v>
      </c>
      <c r="R96">
        <f t="shared" si="28"/>
        <v>1560</v>
      </c>
      <c r="S96">
        <v>20</v>
      </c>
      <c r="T96" s="13">
        <f t="shared" si="29"/>
        <v>-260</v>
      </c>
      <c r="V96" t="s">
        <v>872</v>
      </c>
      <c r="W96" t="str">
        <f t="shared" si="31"/>
        <v>&lt;Valeur name="no"&gt;95&lt;/Valeur&gt;</v>
      </c>
      <c r="X96" t="str">
        <f t="shared" si="32"/>
        <v>&lt;Valeur name="societe"&gt;1&lt;/Valeur&gt;</v>
      </c>
      <c r="Y96" t="str">
        <f t="shared" si="33"/>
        <v>&lt;Valeur name="pointer"&gt;1&lt;/Valeur&gt;</v>
      </c>
      <c r="Z96" s="15" t="str">
        <f t="shared" si="34"/>
        <v>&lt;Valeur name="datevaleur"&gt;2019/04/30&lt;/Valeur&gt;</v>
      </c>
      <c r="AA96" s="15" t="str">
        <f t="shared" si="35"/>
        <v>&lt;Valeur name="datecompta"&gt;2019/03/30&lt;/Valeur&gt;</v>
      </c>
      <c r="AB96" s="15" t="str">
        <f t="shared" si="36"/>
        <v>&lt;Valeur name="compte"&gt;89&lt;/Valeur&gt;</v>
      </c>
      <c r="AC96" s="15" t="str">
        <f t="shared" si="37"/>
        <v>&lt;Valeur name="description"&gt;AF256-1 MO Lemyze&lt;/Valeur&gt;</v>
      </c>
      <c r="AD96" s="15" t="str">
        <f t="shared" si="38"/>
        <v>&lt;Valeur name="valeur"&gt;1560&lt;/Valeur&gt;</v>
      </c>
      <c r="AE96" s="15" t="str">
        <f t="shared" si="39"/>
        <v>&lt;Valeur name="tvapct"&gt;20&lt;/Valeur&gt;</v>
      </c>
      <c r="AF96" s="15" t="str">
        <f t="shared" si="40"/>
        <v>&lt;Valeur name="tva"&gt;-260&lt;/Valeur&gt;</v>
      </c>
      <c r="AG96" s="15" t="s">
        <v>873</v>
      </c>
      <c r="AH96" s="15" t="str">
        <f t="shared" si="41"/>
        <v>&lt;Insert&gt;&lt;Valeur name="no"&gt;95&lt;/Valeur&gt;&lt;Valeur name="societe"&gt;1&lt;/Valeur&gt;&lt;Valeur name="pointer"&gt;1&lt;/Valeur&gt;&lt;Valeur name="datevaleur"&gt;2019/04/30&lt;/Valeur&gt;&lt;Valeur name="datecompta"&gt;2019/03/30&lt;/Valeur&gt;&lt;Valeur name="compte"&gt;89&lt;/Valeur&gt;&lt;Valeur name="description"&gt;AF256-1 MO Lemyze&lt;/Valeur&gt;&lt;Valeur name="valeur"&gt;1560&lt;/Valeur&gt;&lt;Valeur name="tvapct"&gt;20&lt;/Valeur&gt;&lt;Valeur name="tva"&gt;-260&lt;/Valeur&gt;&lt;/Insert&gt;</v>
      </c>
    </row>
    <row r="97" spans="1:34" hidden="1" x14ac:dyDescent="0.25">
      <c r="A97" s="9">
        <v>43555</v>
      </c>
      <c r="B97" s="1">
        <v>43585</v>
      </c>
      <c r="C97" t="str">
        <f>INDEX(Balance!A:A,MATCH(D97,Balance!B:B,0))</f>
        <v>Fournisseurs</v>
      </c>
      <c r="D97" t="s">
        <v>274</v>
      </c>
      <c r="F97">
        <v>619.4</v>
      </c>
      <c r="H97" s="3">
        <f t="shared" si="30"/>
        <v>103.23333333333335</v>
      </c>
      <c r="K97">
        <v>96</v>
      </c>
      <c r="L97">
        <v>1</v>
      </c>
      <c r="M97">
        <v>1</v>
      </c>
      <c r="N97" s="16" t="s">
        <v>882</v>
      </c>
      <c r="O97" s="16" t="s">
        <v>915</v>
      </c>
      <c r="P97">
        <f>IFERROR(VLOOKUP(D97,tab!A:B,2,FALSE),1)</f>
        <v>63</v>
      </c>
      <c r="Q97" s="14" t="str">
        <f t="shared" si="27"/>
        <v/>
      </c>
      <c r="R97">
        <f t="shared" si="28"/>
        <v>-619.4</v>
      </c>
      <c r="S97">
        <v>20</v>
      </c>
      <c r="T97" s="13">
        <f t="shared" si="29"/>
        <v>103.23333333333335</v>
      </c>
      <c r="V97" t="s">
        <v>872</v>
      </c>
      <c r="W97" t="str">
        <f t="shared" si="31"/>
        <v>&lt;Valeur name="no"&gt;96&lt;/Valeur&gt;</v>
      </c>
      <c r="X97" t="str">
        <f t="shared" si="32"/>
        <v>&lt;Valeur name="societe"&gt;1&lt;/Valeur&gt;</v>
      </c>
      <c r="Y97" t="str">
        <f t="shared" si="33"/>
        <v>&lt;Valeur name="pointer"&gt;1&lt;/Valeur&gt;</v>
      </c>
      <c r="Z97" s="15" t="str">
        <f t="shared" si="34"/>
        <v>&lt;Valeur name="datevaleur"&gt;2019/04/30&lt;/Valeur&gt;</v>
      </c>
      <c r="AA97" s="15" t="str">
        <f t="shared" si="35"/>
        <v>&lt;Valeur name="datecompta"&gt;2019/03/31&lt;/Valeur&gt;</v>
      </c>
      <c r="AB97" s="15" t="str">
        <f t="shared" si="36"/>
        <v>&lt;Valeur name="compte"&gt;63&lt;/Valeur&gt;</v>
      </c>
      <c r="AC97" s="15" t="str">
        <f t="shared" si="37"/>
        <v>&lt;Valeur name="description"&gt;&lt;/Valeur&gt;</v>
      </c>
      <c r="AD97" s="15" t="str">
        <f t="shared" si="38"/>
        <v>&lt;Valeur name="valeur"&gt;-619.4&lt;/Valeur&gt;</v>
      </c>
      <c r="AE97" s="15" t="str">
        <f t="shared" si="39"/>
        <v>&lt;Valeur name="tvapct"&gt;20&lt;/Valeur&gt;</v>
      </c>
      <c r="AF97" s="15" t="str">
        <f t="shared" si="40"/>
        <v>&lt;Valeur name="tva"&gt;103.233333333333&lt;/Valeur&gt;</v>
      </c>
      <c r="AG97" s="15" t="s">
        <v>873</v>
      </c>
      <c r="AH97" s="15" t="str">
        <f t="shared" si="41"/>
        <v>&lt;Insert&gt;&lt;Valeur name="no"&gt;96&lt;/Valeur&gt;&lt;Valeur name="societe"&gt;1&lt;/Valeur&gt;&lt;Valeur name="pointer"&gt;1&lt;/Valeur&gt;&lt;Valeur name="datevaleur"&gt;2019/04/30&lt;/Valeur&gt;&lt;Valeur name="datecompta"&gt;2019/03/31&lt;/Valeur&gt;&lt;Valeur name="compte"&gt;63&lt;/Valeur&gt;&lt;Valeur name="description"&gt;&lt;/Valeur&gt;&lt;Valeur name="valeur"&gt;-619.4&lt;/Valeur&gt;&lt;Valeur name="tvapct"&gt;20&lt;/Valeur&gt;&lt;Valeur name="tva"&gt;103.233333333333&lt;/Valeur&gt;&lt;/Insert&gt;</v>
      </c>
    </row>
    <row r="98" spans="1:34" hidden="1" x14ac:dyDescent="0.25">
      <c r="A98" s="9">
        <v>43555</v>
      </c>
      <c r="B98" s="1">
        <v>43597</v>
      </c>
      <c r="C98" t="str">
        <f>INDEX(Balance!A:A,MATCH(D98,Balance!B:B,0))</f>
        <v>Fournisseurs</v>
      </c>
      <c r="D98" t="s">
        <v>270</v>
      </c>
      <c r="E98" t="s">
        <v>570</v>
      </c>
      <c r="F98">
        <v>144.06</v>
      </c>
      <c r="H98" s="3">
        <f t="shared" si="30"/>
        <v>24.009999999999991</v>
      </c>
      <c r="K98">
        <v>97</v>
      </c>
      <c r="L98">
        <v>1</v>
      </c>
      <c r="M98">
        <v>1</v>
      </c>
      <c r="N98" s="16" t="s">
        <v>916</v>
      </c>
      <c r="O98" s="16" t="s">
        <v>915</v>
      </c>
      <c r="P98">
        <f>IFERROR(VLOOKUP(D98,tab!A:B,2,FALSE),1)</f>
        <v>110</v>
      </c>
      <c r="Q98" s="14" t="str">
        <f t="shared" si="27"/>
        <v>FA5710  RDP 122</v>
      </c>
      <c r="R98">
        <f t="shared" si="28"/>
        <v>-144.06</v>
      </c>
      <c r="S98">
        <v>20</v>
      </c>
      <c r="T98" s="13">
        <f t="shared" si="29"/>
        <v>24.009999999999991</v>
      </c>
      <c r="V98" t="s">
        <v>872</v>
      </c>
      <c r="W98" t="str">
        <f t="shared" si="31"/>
        <v>&lt;Valeur name="no"&gt;97&lt;/Valeur&gt;</v>
      </c>
      <c r="X98" t="str">
        <f t="shared" si="32"/>
        <v>&lt;Valeur name="societe"&gt;1&lt;/Valeur&gt;</v>
      </c>
      <c r="Y98" t="str">
        <f t="shared" si="33"/>
        <v>&lt;Valeur name="pointer"&gt;1&lt;/Valeur&gt;</v>
      </c>
      <c r="Z98" s="15" t="str">
        <f t="shared" si="34"/>
        <v>&lt;Valeur name="datevaleur"&gt;2019/05/12&lt;/Valeur&gt;</v>
      </c>
      <c r="AA98" s="15" t="str">
        <f t="shared" si="35"/>
        <v>&lt;Valeur name="datecompta"&gt;2019/03/31&lt;/Valeur&gt;</v>
      </c>
      <c r="AB98" s="15" t="str">
        <f t="shared" si="36"/>
        <v>&lt;Valeur name="compte"&gt;110&lt;/Valeur&gt;</v>
      </c>
      <c r="AC98" s="15" t="str">
        <f t="shared" si="37"/>
        <v>&lt;Valeur name="description"&gt;FA5710  RDP 122&lt;/Valeur&gt;</v>
      </c>
      <c r="AD98" s="15" t="str">
        <f t="shared" si="38"/>
        <v>&lt;Valeur name="valeur"&gt;-144.06&lt;/Valeur&gt;</v>
      </c>
      <c r="AE98" s="15" t="str">
        <f t="shared" si="39"/>
        <v>&lt;Valeur name="tvapct"&gt;20&lt;/Valeur&gt;</v>
      </c>
      <c r="AF98" s="15" t="str">
        <f t="shared" si="40"/>
        <v>&lt;Valeur name="tva"&gt;24.01&lt;/Valeur&gt;</v>
      </c>
      <c r="AG98" s="15" t="s">
        <v>873</v>
      </c>
      <c r="AH98" s="15" t="str">
        <f t="shared" si="41"/>
        <v>&lt;Insert&gt;&lt;Valeur name="no"&gt;97&lt;/Valeur&gt;&lt;Valeur name="societe"&gt;1&lt;/Valeur&gt;&lt;Valeur name="pointer"&gt;1&lt;/Valeur&gt;&lt;Valeur name="datevaleur"&gt;2019/05/12&lt;/Valeur&gt;&lt;Valeur name="datecompta"&gt;2019/03/31&lt;/Valeur&gt;&lt;Valeur name="compte"&gt;110&lt;/Valeur&gt;&lt;Valeur name="description"&gt;FA5710  RDP 122&lt;/Valeur&gt;&lt;Valeur name="valeur"&gt;-144.06&lt;/Valeur&gt;&lt;Valeur name="tvapct"&gt;20&lt;/Valeur&gt;&lt;Valeur name="tva"&gt;24.01&lt;/Valeur&gt;&lt;/Insert&gt;</v>
      </c>
    </row>
    <row r="99" spans="1:34" hidden="1" x14ac:dyDescent="0.25">
      <c r="A99" s="9">
        <v>43555</v>
      </c>
      <c r="B99" s="1">
        <v>43597</v>
      </c>
      <c r="C99" t="str">
        <f>INDEX(Balance!A:A,MATCH(D99,Balance!B:B,0))</f>
        <v>Fournisseurs</v>
      </c>
      <c r="D99" t="s">
        <v>270</v>
      </c>
      <c r="E99" t="s">
        <v>571</v>
      </c>
      <c r="F99">
        <v>124.4</v>
      </c>
      <c r="H99" s="3">
        <f t="shared" si="30"/>
        <v>20.733333333333334</v>
      </c>
      <c r="K99">
        <v>98</v>
      </c>
      <c r="L99">
        <v>1</v>
      </c>
      <c r="M99">
        <v>1</v>
      </c>
      <c r="N99" s="16" t="s">
        <v>916</v>
      </c>
      <c r="O99" s="16" t="s">
        <v>915</v>
      </c>
      <c r="P99">
        <f>IFERROR(VLOOKUP(D99,tab!A:B,2,FALSE),1)</f>
        <v>110</v>
      </c>
      <c r="Q99" s="14" t="str">
        <f t="shared" si="27"/>
        <v>FA5709  RDP 121</v>
      </c>
      <c r="R99">
        <f t="shared" si="28"/>
        <v>-124.4</v>
      </c>
      <c r="S99">
        <v>20</v>
      </c>
      <c r="T99" s="13">
        <f t="shared" si="29"/>
        <v>20.733333333333334</v>
      </c>
      <c r="V99" t="s">
        <v>872</v>
      </c>
      <c r="W99" t="str">
        <f t="shared" si="31"/>
        <v>&lt;Valeur name="no"&gt;98&lt;/Valeur&gt;</v>
      </c>
      <c r="X99" t="str">
        <f t="shared" si="32"/>
        <v>&lt;Valeur name="societe"&gt;1&lt;/Valeur&gt;</v>
      </c>
      <c r="Y99" t="str">
        <f t="shared" si="33"/>
        <v>&lt;Valeur name="pointer"&gt;1&lt;/Valeur&gt;</v>
      </c>
      <c r="Z99" s="15" t="str">
        <f t="shared" si="34"/>
        <v>&lt;Valeur name="datevaleur"&gt;2019/05/12&lt;/Valeur&gt;</v>
      </c>
      <c r="AA99" s="15" t="str">
        <f t="shared" si="35"/>
        <v>&lt;Valeur name="datecompta"&gt;2019/03/31&lt;/Valeur&gt;</v>
      </c>
      <c r="AB99" s="15" t="str">
        <f t="shared" si="36"/>
        <v>&lt;Valeur name="compte"&gt;110&lt;/Valeur&gt;</v>
      </c>
      <c r="AC99" s="15" t="str">
        <f t="shared" si="37"/>
        <v>&lt;Valeur name="description"&gt;FA5709  RDP 121&lt;/Valeur&gt;</v>
      </c>
      <c r="AD99" s="15" t="str">
        <f t="shared" si="38"/>
        <v>&lt;Valeur name="valeur"&gt;-124.4&lt;/Valeur&gt;</v>
      </c>
      <c r="AE99" s="15" t="str">
        <f t="shared" si="39"/>
        <v>&lt;Valeur name="tvapct"&gt;20&lt;/Valeur&gt;</v>
      </c>
      <c r="AF99" s="15" t="str">
        <f t="shared" si="40"/>
        <v>&lt;Valeur name="tva"&gt;20.7333333333333&lt;/Valeur&gt;</v>
      </c>
      <c r="AG99" s="15" t="s">
        <v>873</v>
      </c>
      <c r="AH99" s="15" t="str">
        <f t="shared" si="41"/>
        <v>&lt;Insert&gt;&lt;Valeur name="no"&gt;98&lt;/Valeur&gt;&lt;Valeur name="societe"&gt;1&lt;/Valeur&gt;&lt;Valeur name="pointer"&gt;1&lt;/Valeur&gt;&lt;Valeur name="datevaleur"&gt;2019/05/12&lt;/Valeur&gt;&lt;Valeur name="datecompta"&gt;2019/03/31&lt;/Valeur&gt;&lt;Valeur name="compte"&gt;110&lt;/Valeur&gt;&lt;Valeur name="description"&gt;FA5709  RDP 121&lt;/Valeur&gt;&lt;Valeur name="valeur"&gt;-124.4&lt;/Valeur&gt;&lt;Valeur name="tvapct"&gt;20&lt;/Valeur&gt;&lt;Valeur name="tva"&gt;20.7333333333333&lt;/Valeur&gt;&lt;/Insert&gt;</v>
      </c>
    </row>
    <row r="100" spans="1:34" hidden="1" x14ac:dyDescent="0.25">
      <c r="A100" s="9">
        <v>43555</v>
      </c>
      <c r="B100" s="1">
        <v>43597</v>
      </c>
      <c r="C100" t="str">
        <f>INDEX(Balance!A:A,MATCH(D100,Balance!B:B,0))</f>
        <v>Fournisseurs</v>
      </c>
      <c r="D100" t="s">
        <v>270</v>
      </c>
      <c r="E100" t="s">
        <v>572</v>
      </c>
      <c r="F100">
        <v>350.59</v>
      </c>
      <c r="H100" s="3">
        <f t="shared" si="30"/>
        <v>58.431666666666672</v>
      </c>
      <c r="K100">
        <v>99</v>
      </c>
      <c r="L100">
        <v>1</v>
      </c>
      <c r="M100">
        <v>1</v>
      </c>
      <c r="N100" s="16" t="s">
        <v>916</v>
      </c>
      <c r="O100" s="16" t="s">
        <v>915</v>
      </c>
      <c r="P100">
        <f>IFERROR(VLOOKUP(D100,tab!A:B,2,FALSE),1)</f>
        <v>110</v>
      </c>
      <c r="Q100" s="14" t="str">
        <f t="shared" si="27"/>
        <v>FA5708  RDP 119</v>
      </c>
      <c r="R100">
        <f t="shared" si="28"/>
        <v>-350.59</v>
      </c>
      <c r="S100">
        <v>20</v>
      </c>
      <c r="T100" s="13">
        <f t="shared" si="29"/>
        <v>58.431666666666672</v>
      </c>
      <c r="V100" t="s">
        <v>872</v>
      </c>
      <c r="W100" t="str">
        <f t="shared" si="31"/>
        <v>&lt;Valeur name="no"&gt;99&lt;/Valeur&gt;</v>
      </c>
      <c r="X100" t="str">
        <f t="shared" si="32"/>
        <v>&lt;Valeur name="societe"&gt;1&lt;/Valeur&gt;</v>
      </c>
      <c r="Y100" t="str">
        <f t="shared" si="33"/>
        <v>&lt;Valeur name="pointer"&gt;1&lt;/Valeur&gt;</v>
      </c>
      <c r="Z100" s="15" t="str">
        <f t="shared" si="34"/>
        <v>&lt;Valeur name="datevaleur"&gt;2019/05/12&lt;/Valeur&gt;</v>
      </c>
      <c r="AA100" s="15" t="str">
        <f t="shared" si="35"/>
        <v>&lt;Valeur name="datecompta"&gt;2019/03/31&lt;/Valeur&gt;</v>
      </c>
      <c r="AB100" s="15" t="str">
        <f t="shared" si="36"/>
        <v>&lt;Valeur name="compte"&gt;110&lt;/Valeur&gt;</v>
      </c>
      <c r="AC100" s="15" t="str">
        <f t="shared" si="37"/>
        <v>&lt;Valeur name="description"&gt;FA5708  RDP 119&lt;/Valeur&gt;</v>
      </c>
      <c r="AD100" s="15" t="str">
        <f t="shared" si="38"/>
        <v>&lt;Valeur name="valeur"&gt;-350.59&lt;/Valeur&gt;</v>
      </c>
      <c r="AE100" s="15" t="str">
        <f t="shared" si="39"/>
        <v>&lt;Valeur name="tvapct"&gt;20&lt;/Valeur&gt;</v>
      </c>
      <c r="AF100" s="15" t="str">
        <f t="shared" si="40"/>
        <v>&lt;Valeur name="tva"&gt;58.4316666666667&lt;/Valeur&gt;</v>
      </c>
      <c r="AG100" s="15" t="s">
        <v>873</v>
      </c>
      <c r="AH100" s="15" t="str">
        <f t="shared" si="41"/>
        <v>&lt;Insert&gt;&lt;Valeur name="no"&gt;99&lt;/Valeur&gt;&lt;Valeur name="societe"&gt;1&lt;/Valeur&gt;&lt;Valeur name="pointer"&gt;1&lt;/Valeur&gt;&lt;Valeur name="datevaleur"&gt;2019/05/12&lt;/Valeur&gt;&lt;Valeur name="datecompta"&gt;2019/03/31&lt;/Valeur&gt;&lt;Valeur name="compte"&gt;110&lt;/Valeur&gt;&lt;Valeur name="description"&gt;FA5708  RDP 119&lt;/Valeur&gt;&lt;Valeur name="valeur"&gt;-350.59&lt;/Valeur&gt;&lt;Valeur name="tvapct"&gt;20&lt;/Valeur&gt;&lt;Valeur name="tva"&gt;58.4316666666667&lt;/Valeur&gt;&lt;/Insert&gt;</v>
      </c>
    </row>
    <row r="101" spans="1:34" hidden="1" x14ac:dyDescent="0.25">
      <c r="A101" s="9">
        <v>43555</v>
      </c>
      <c r="B101" s="1">
        <v>43597</v>
      </c>
      <c r="C101" t="str">
        <f>INDEX(Balance!A:A,MATCH(D101,Balance!B:B,0))</f>
        <v>Fournisseurs</v>
      </c>
      <c r="D101" t="s">
        <v>270</v>
      </c>
      <c r="E101" t="s">
        <v>573</v>
      </c>
      <c r="F101">
        <v>436.67</v>
      </c>
      <c r="H101" s="3">
        <f t="shared" si="30"/>
        <v>72.778333333333308</v>
      </c>
      <c r="K101">
        <v>100</v>
      </c>
      <c r="L101">
        <v>1</v>
      </c>
      <c r="M101">
        <v>1</v>
      </c>
      <c r="N101" s="16" t="s">
        <v>916</v>
      </c>
      <c r="O101" s="16" t="s">
        <v>915</v>
      </c>
      <c r="P101">
        <f>IFERROR(VLOOKUP(D101,tab!A:B,2,FALSE),1)</f>
        <v>110</v>
      </c>
      <c r="Q101" s="14" t="str">
        <f t="shared" si="27"/>
        <v>FA5707  RDP 118</v>
      </c>
      <c r="R101">
        <f t="shared" si="28"/>
        <v>-436.67</v>
      </c>
      <c r="S101">
        <v>20</v>
      </c>
      <c r="T101" s="13">
        <f t="shared" si="29"/>
        <v>72.778333333333308</v>
      </c>
      <c r="V101" t="s">
        <v>872</v>
      </c>
      <c r="W101" t="str">
        <f t="shared" si="31"/>
        <v>&lt;Valeur name="no"&gt;100&lt;/Valeur&gt;</v>
      </c>
      <c r="X101" t="str">
        <f t="shared" si="32"/>
        <v>&lt;Valeur name="societe"&gt;1&lt;/Valeur&gt;</v>
      </c>
      <c r="Y101" t="str">
        <f t="shared" si="33"/>
        <v>&lt;Valeur name="pointer"&gt;1&lt;/Valeur&gt;</v>
      </c>
      <c r="Z101" s="15" t="str">
        <f t="shared" si="34"/>
        <v>&lt;Valeur name="datevaleur"&gt;2019/05/12&lt;/Valeur&gt;</v>
      </c>
      <c r="AA101" s="15" t="str">
        <f t="shared" si="35"/>
        <v>&lt;Valeur name="datecompta"&gt;2019/03/31&lt;/Valeur&gt;</v>
      </c>
      <c r="AB101" s="15" t="str">
        <f t="shared" si="36"/>
        <v>&lt;Valeur name="compte"&gt;110&lt;/Valeur&gt;</v>
      </c>
      <c r="AC101" s="15" t="str">
        <f t="shared" si="37"/>
        <v>&lt;Valeur name="description"&gt;FA5707  RDP 118&lt;/Valeur&gt;</v>
      </c>
      <c r="AD101" s="15" t="str">
        <f t="shared" si="38"/>
        <v>&lt;Valeur name="valeur"&gt;-436.67&lt;/Valeur&gt;</v>
      </c>
      <c r="AE101" s="15" t="str">
        <f t="shared" si="39"/>
        <v>&lt;Valeur name="tvapct"&gt;20&lt;/Valeur&gt;</v>
      </c>
      <c r="AF101" s="15" t="str">
        <f t="shared" si="40"/>
        <v>&lt;Valeur name="tva"&gt;72.7783333333333&lt;/Valeur&gt;</v>
      </c>
      <c r="AG101" s="15" t="s">
        <v>873</v>
      </c>
      <c r="AH101" s="15" t="str">
        <f t="shared" si="41"/>
        <v>&lt;Insert&gt;&lt;Valeur name="no"&gt;100&lt;/Valeur&gt;&lt;Valeur name="societe"&gt;1&lt;/Valeur&gt;&lt;Valeur name="pointer"&gt;1&lt;/Valeur&gt;&lt;Valeur name="datevaleur"&gt;2019/05/12&lt;/Valeur&gt;&lt;Valeur name="datecompta"&gt;2019/03/31&lt;/Valeur&gt;&lt;Valeur name="compte"&gt;110&lt;/Valeur&gt;&lt;Valeur name="description"&gt;FA5707  RDP 118&lt;/Valeur&gt;&lt;Valeur name="valeur"&gt;-436.67&lt;/Valeur&gt;&lt;Valeur name="tvapct"&gt;20&lt;/Valeur&gt;&lt;Valeur name="tva"&gt;72.7783333333333&lt;/Valeur&gt;&lt;/Insert&gt;</v>
      </c>
    </row>
    <row r="102" spans="1:34" hidden="1" x14ac:dyDescent="0.25">
      <c r="A102" s="9">
        <v>43555</v>
      </c>
      <c r="B102" s="1">
        <v>43600</v>
      </c>
      <c r="C102" t="str">
        <f>INDEX(Balance!A:A,MATCH(D102,Balance!B:B,0))</f>
        <v>Fournisseurs</v>
      </c>
      <c r="D102" t="s">
        <v>289</v>
      </c>
      <c r="E102" t="s">
        <v>574</v>
      </c>
      <c r="F102">
        <v>99.12</v>
      </c>
      <c r="H102" s="3">
        <f t="shared" si="30"/>
        <v>16.519999999999996</v>
      </c>
      <c r="K102">
        <v>101</v>
      </c>
      <c r="L102">
        <v>1</v>
      </c>
      <c r="M102">
        <v>1</v>
      </c>
      <c r="N102" s="16" t="s">
        <v>881</v>
      </c>
      <c r="O102" s="16" t="s">
        <v>915</v>
      </c>
      <c r="P102">
        <f>IFERROR(VLOOKUP(D102,tab!A:B,2,FALSE),1)</f>
        <v>57</v>
      </c>
      <c r="Q102" s="14" t="str">
        <f t="shared" si="27"/>
        <v>F.3524 bouchons oreilles - disque tronçonner</v>
      </c>
      <c r="R102">
        <f t="shared" si="28"/>
        <v>-99.12</v>
      </c>
      <c r="S102">
        <v>20</v>
      </c>
      <c r="T102" s="13">
        <f t="shared" si="29"/>
        <v>16.519999999999996</v>
      </c>
      <c r="V102" t="s">
        <v>872</v>
      </c>
      <c r="W102" t="str">
        <f t="shared" si="31"/>
        <v>&lt;Valeur name="no"&gt;101&lt;/Valeur&gt;</v>
      </c>
      <c r="X102" t="str">
        <f t="shared" si="32"/>
        <v>&lt;Valeur name="societe"&gt;1&lt;/Valeur&gt;</v>
      </c>
      <c r="Y102" t="str">
        <f t="shared" si="33"/>
        <v>&lt;Valeur name="pointer"&gt;1&lt;/Valeur&gt;</v>
      </c>
      <c r="Z102" s="15" t="str">
        <f t="shared" si="34"/>
        <v>&lt;Valeur name="datevaleur"&gt;2019/05/15&lt;/Valeur&gt;</v>
      </c>
      <c r="AA102" s="15" t="str">
        <f t="shared" si="35"/>
        <v>&lt;Valeur name="datecompta"&gt;2019/03/31&lt;/Valeur&gt;</v>
      </c>
      <c r="AB102" s="15" t="str">
        <f t="shared" si="36"/>
        <v>&lt;Valeur name="compte"&gt;57&lt;/Valeur&gt;</v>
      </c>
      <c r="AC102" s="15" t="str">
        <f t="shared" si="37"/>
        <v>&lt;Valeur name="description"&gt;F.3524 bouchons oreilles - disque tronçonner&lt;/Valeur&gt;</v>
      </c>
      <c r="AD102" s="15" t="str">
        <f t="shared" si="38"/>
        <v>&lt;Valeur name="valeur"&gt;-99.12&lt;/Valeur&gt;</v>
      </c>
      <c r="AE102" s="15" t="str">
        <f t="shared" si="39"/>
        <v>&lt;Valeur name="tvapct"&gt;20&lt;/Valeur&gt;</v>
      </c>
      <c r="AF102" s="15" t="str">
        <f t="shared" si="40"/>
        <v>&lt;Valeur name="tva"&gt;16.52&lt;/Valeur&gt;</v>
      </c>
      <c r="AG102" s="15" t="s">
        <v>873</v>
      </c>
      <c r="AH102" s="15" t="str">
        <f t="shared" si="41"/>
        <v>&lt;Insert&gt;&lt;Valeur name="no"&gt;101&lt;/Valeur&gt;&lt;Valeur name="societe"&gt;1&lt;/Valeur&gt;&lt;Valeur name="pointer"&gt;1&lt;/Valeur&gt;&lt;Valeur name="datevaleur"&gt;2019/05/15&lt;/Valeur&gt;&lt;Valeur name="datecompta"&gt;2019/03/31&lt;/Valeur&gt;&lt;Valeur name="compte"&gt;57&lt;/Valeur&gt;&lt;Valeur name="description"&gt;F.3524 bouchons oreilles - disque tronçonner&lt;/Valeur&gt;&lt;Valeur name="valeur"&gt;-99.12&lt;/Valeur&gt;&lt;Valeur name="tvapct"&gt;20&lt;/Valeur&gt;&lt;Valeur name="tva"&gt;16.52&lt;/Valeur&gt;&lt;/Insert&gt;</v>
      </c>
    </row>
    <row r="103" spans="1:34" hidden="1" x14ac:dyDescent="0.25">
      <c r="A103" s="9">
        <v>43555</v>
      </c>
      <c r="B103" s="1">
        <v>43585</v>
      </c>
      <c r="C103" t="str">
        <f>INDEX(Balance!A:A,MATCH(D103,Balance!B:B,0))</f>
        <v>Fournisseurs</v>
      </c>
      <c r="D103" t="s">
        <v>259</v>
      </c>
      <c r="E103" t="s">
        <v>575</v>
      </c>
      <c r="F103">
        <v>737.3</v>
      </c>
      <c r="H103" s="3">
        <f t="shared" si="30"/>
        <v>122.88333333333333</v>
      </c>
      <c r="K103">
        <v>102</v>
      </c>
      <c r="L103">
        <v>1</v>
      </c>
      <c r="M103">
        <v>1</v>
      </c>
      <c r="N103" s="16" t="s">
        <v>882</v>
      </c>
      <c r="O103" s="16" t="s">
        <v>915</v>
      </c>
      <c r="P103">
        <f>IFERROR(VLOOKUP(D103,tab!A:B,2,FALSE),1)</f>
        <v>72</v>
      </c>
      <c r="Q103" s="14" t="str">
        <f t="shared" si="27"/>
        <v xml:space="preserve">FA91961  </v>
      </c>
      <c r="R103">
        <f t="shared" si="28"/>
        <v>-737.3</v>
      </c>
      <c r="S103">
        <v>20</v>
      </c>
      <c r="T103" s="13">
        <f t="shared" si="29"/>
        <v>122.88333333333333</v>
      </c>
      <c r="V103" t="s">
        <v>872</v>
      </c>
      <c r="W103" t="str">
        <f t="shared" si="31"/>
        <v>&lt;Valeur name="no"&gt;102&lt;/Valeur&gt;</v>
      </c>
      <c r="X103" t="str">
        <f t="shared" si="32"/>
        <v>&lt;Valeur name="societe"&gt;1&lt;/Valeur&gt;</v>
      </c>
      <c r="Y103" t="str">
        <f t="shared" si="33"/>
        <v>&lt;Valeur name="pointer"&gt;1&lt;/Valeur&gt;</v>
      </c>
      <c r="Z103" s="15" t="str">
        <f t="shared" si="34"/>
        <v>&lt;Valeur name="datevaleur"&gt;2019/04/30&lt;/Valeur&gt;</v>
      </c>
      <c r="AA103" s="15" t="str">
        <f t="shared" si="35"/>
        <v>&lt;Valeur name="datecompta"&gt;2019/03/31&lt;/Valeur&gt;</v>
      </c>
      <c r="AB103" s="15" t="str">
        <f t="shared" si="36"/>
        <v>&lt;Valeur name="compte"&gt;72&lt;/Valeur&gt;</v>
      </c>
      <c r="AC103" s="15" t="str">
        <f t="shared" si="37"/>
        <v>&lt;Valeur name="description"&gt;FA91961  &lt;/Valeur&gt;</v>
      </c>
      <c r="AD103" s="15" t="str">
        <f t="shared" si="38"/>
        <v>&lt;Valeur name="valeur"&gt;-737.3&lt;/Valeur&gt;</v>
      </c>
      <c r="AE103" s="15" t="str">
        <f t="shared" si="39"/>
        <v>&lt;Valeur name="tvapct"&gt;20&lt;/Valeur&gt;</v>
      </c>
      <c r="AF103" s="15" t="str">
        <f t="shared" si="40"/>
        <v>&lt;Valeur name="tva"&gt;122.883333333333&lt;/Valeur&gt;</v>
      </c>
      <c r="AG103" s="15" t="s">
        <v>873</v>
      </c>
      <c r="AH103" s="15" t="str">
        <f t="shared" si="41"/>
        <v>&lt;Insert&gt;&lt;Valeur name="no"&gt;102&lt;/Valeur&gt;&lt;Valeur name="societe"&gt;1&lt;/Valeur&gt;&lt;Valeur name="pointer"&gt;1&lt;/Valeur&gt;&lt;Valeur name="datevaleur"&gt;2019/04/30&lt;/Valeur&gt;&lt;Valeur name="datecompta"&gt;2019/03/31&lt;/Valeur&gt;&lt;Valeur name="compte"&gt;72&lt;/Valeur&gt;&lt;Valeur name="description"&gt;FA91961  &lt;/Valeur&gt;&lt;Valeur name="valeur"&gt;-737.3&lt;/Valeur&gt;&lt;Valeur name="tvapct"&gt;20&lt;/Valeur&gt;&lt;Valeur name="tva"&gt;122.883333333333&lt;/Valeur&gt;&lt;/Insert&gt;</v>
      </c>
    </row>
    <row r="104" spans="1:34" hidden="1" x14ac:dyDescent="0.25">
      <c r="A104" s="9">
        <v>43555</v>
      </c>
      <c r="B104" s="1">
        <v>43536</v>
      </c>
      <c r="C104" t="str">
        <f>INDEX(Balance!A:A,MATCH(D104,Balance!B:B,0))</f>
        <v>Fournisseurs</v>
      </c>
      <c r="D104" t="s">
        <v>576</v>
      </c>
      <c r="E104" t="s">
        <v>577</v>
      </c>
      <c r="F104">
        <v>505.43</v>
      </c>
      <c r="H104" s="3">
        <f t="shared" si="30"/>
        <v>84.238333333333344</v>
      </c>
      <c r="K104">
        <v>103</v>
      </c>
      <c r="L104">
        <v>1</v>
      </c>
      <c r="M104">
        <v>1</v>
      </c>
      <c r="N104" s="16" t="s">
        <v>901</v>
      </c>
      <c r="O104" s="16" t="s">
        <v>915</v>
      </c>
      <c r="P104">
        <f>IFERROR(VLOOKUP(D104,tab!A:B,2,FALSE),1)</f>
        <v>52</v>
      </c>
      <c r="Q104" s="14" t="str">
        <f t="shared" si="27"/>
        <v>FAS005033  Inox MC interieur Thery</v>
      </c>
      <c r="R104">
        <f t="shared" si="28"/>
        <v>-505.43</v>
      </c>
      <c r="S104">
        <v>20</v>
      </c>
      <c r="T104" s="13">
        <f t="shared" si="29"/>
        <v>84.238333333333344</v>
      </c>
      <c r="V104" t="s">
        <v>872</v>
      </c>
      <c r="W104" t="str">
        <f t="shared" si="31"/>
        <v>&lt;Valeur name="no"&gt;103&lt;/Valeur&gt;</v>
      </c>
      <c r="X104" t="str">
        <f t="shared" si="32"/>
        <v>&lt;Valeur name="societe"&gt;1&lt;/Valeur&gt;</v>
      </c>
      <c r="Y104" t="str">
        <f t="shared" si="33"/>
        <v>&lt;Valeur name="pointer"&gt;1&lt;/Valeur&gt;</v>
      </c>
      <c r="Z104" s="15" t="str">
        <f t="shared" si="34"/>
        <v>&lt;Valeur name="datevaleur"&gt;2019/03/12&lt;/Valeur&gt;</v>
      </c>
      <c r="AA104" s="15" t="str">
        <f t="shared" si="35"/>
        <v>&lt;Valeur name="datecompta"&gt;2019/03/31&lt;/Valeur&gt;</v>
      </c>
      <c r="AB104" s="15" t="str">
        <f t="shared" si="36"/>
        <v>&lt;Valeur name="compte"&gt;52&lt;/Valeur&gt;</v>
      </c>
      <c r="AC104" s="15" t="str">
        <f t="shared" si="37"/>
        <v>&lt;Valeur name="description"&gt;FAS005033  Inox MC interieur Thery&lt;/Valeur&gt;</v>
      </c>
      <c r="AD104" s="15" t="str">
        <f t="shared" si="38"/>
        <v>&lt;Valeur name="valeur"&gt;-505.43&lt;/Valeur&gt;</v>
      </c>
      <c r="AE104" s="15" t="str">
        <f t="shared" si="39"/>
        <v>&lt;Valeur name="tvapct"&gt;20&lt;/Valeur&gt;</v>
      </c>
      <c r="AF104" s="15" t="str">
        <f t="shared" si="40"/>
        <v>&lt;Valeur name="tva"&gt;84.2383333333333&lt;/Valeur&gt;</v>
      </c>
      <c r="AG104" s="15" t="s">
        <v>873</v>
      </c>
      <c r="AH104" s="15" t="str">
        <f t="shared" si="41"/>
        <v>&lt;Insert&gt;&lt;Valeur name="no"&gt;103&lt;/Valeur&gt;&lt;Valeur name="societe"&gt;1&lt;/Valeur&gt;&lt;Valeur name="pointer"&gt;1&lt;/Valeur&gt;&lt;Valeur name="datevaleur"&gt;2019/03/12&lt;/Valeur&gt;&lt;Valeur name="datecompta"&gt;2019/03/31&lt;/Valeur&gt;&lt;Valeur name="compte"&gt;52&lt;/Valeur&gt;&lt;Valeur name="description"&gt;FAS005033  Inox MC interieur Thery&lt;/Valeur&gt;&lt;Valeur name="valeur"&gt;-505.43&lt;/Valeur&gt;&lt;Valeur name="tvapct"&gt;20&lt;/Valeur&gt;&lt;Valeur name="tva"&gt;84.2383333333333&lt;/Valeur&gt;&lt;/Insert&gt;</v>
      </c>
    </row>
    <row r="105" spans="1:34" hidden="1" x14ac:dyDescent="0.25">
      <c r="A105" s="9">
        <v>43555</v>
      </c>
      <c r="B105" s="1">
        <v>43600</v>
      </c>
      <c r="C105" t="str">
        <f>INDEX(Balance!A:A,MATCH(D105,Balance!B:B,0))</f>
        <v>Fournisseurs</v>
      </c>
      <c r="D105" t="s">
        <v>262</v>
      </c>
      <c r="E105" t="s">
        <v>578</v>
      </c>
      <c r="F105">
        <v>230.16</v>
      </c>
      <c r="H105" s="3">
        <f t="shared" si="30"/>
        <v>38.359999999999985</v>
      </c>
      <c r="K105">
        <v>104</v>
      </c>
      <c r="L105">
        <v>1</v>
      </c>
      <c r="M105">
        <v>1</v>
      </c>
      <c r="N105" s="16" t="s">
        <v>881</v>
      </c>
      <c r="O105" s="16" t="s">
        <v>915</v>
      </c>
      <c r="P105">
        <f>IFERROR(VLOOKUP(D105,tab!A:B,2,FALSE),1)</f>
        <v>65</v>
      </c>
      <c r="Q105" s="14" t="str">
        <f t="shared" si="27"/>
        <v>F.52178  Thery (portails + cloture)</v>
      </c>
      <c r="R105">
        <f t="shared" si="28"/>
        <v>-230.16</v>
      </c>
      <c r="S105">
        <v>20</v>
      </c>
      <c r="T105" s="13">
        <f t="shared" si="29"/>
        <v>38.359999999999985</v>
      </c>
      <c r="V105" t="s">
        <v>872</v>
      </c>
      <c r="W105" t="str">
        <f t="shared" si="31"/>
        <v>&lt;Valeur name="no"&gt;104&lt;/Valeur&gt;</v>
      </c>
      <c r="X105" t="str">
        <f t="shared" si="32"/>
        <v>&lt;Valeur name="societe"&gt;1&lt;/Valeur&gt;</v>
      </c>
      <c r="Y105" t="str">
        <f t="shared" si="33"/>
        <v>&lt;Valeur name="pointer"&gt;1&lt;/Valeur&gt;</v>
      </c>
      <c r="Z105" s="15" t="str">
        <f t="shared" si="34"/>
        <v>&lt;Valeur name="datevaleur"&gt;2019/05/15&lt;/Valeur&gt;</v>
      </c>
      <c r="AA105" s="15" t="str">
        <f t="shared" si="35"/>
        <v>&lt;Valeur name="datecompta"&gt;2019/03/31&lt;/Valeur&gt;</v>
      </c>
      <c r="AB105" s="15" t="str">
        <f t="shared" si="36"/>
        <v>&lt;Valeur name="compte"&gt;65&lt;/Valeur&gt;</v>
      </c>
      <c r="AC105" s="15" t="str">
        <f t="shared" si="37"/>
        <v>&lt;Valeur name="description"&gt;F.52178  Thery (portails + cloture)&lt;/Valeur&gt;</v>
      </c>
      <c r="AD105" s="15" t="str">
        <f t="shared" si="38"/>
        <v>&lt;Valeur name="valeur"&gt;-230.16&lt;/Valeur&gt;</v>
      </c>
      <c r="AE105" s="15" t="str">
        <f t="shared" si="39"/>
        <v>&lt;Valeur name="tvapct"&gt;20&lt;/Valeur&gt;</v>
      </c>
      <c r="AF105" s="15" t="str">
        <f t="shared" si="40"/>
        <v>&lt;Valeur name="tva"&gt;38.36&lt;/Valeur&gt;</v>
      </c>
      <c r="AG105" s="15" t="s">
        <v>873</v>
      </c>
      <c r="AH105" s="15" t="str">
        <f t="shared" si="41"/>
        <v>&lt;Insert&gt;&lt;Valeur name="no"&gt;104&lt;/Valeur&gt;&lt;Valeur name="societe"&gt;1&lt;/Valeur&gt;&lt;Valeur name="pointer"&gt;1&lt;/Valeur&gt;&lt;Valeur name="datevaleur"&gt;2019/05/15&lt;/Valeur&gt;&lt;Valeur name="datecompta"&gt;2019/03/31&lt;/Valeur&gt;&lt;Valeur name="compte"&gt;65&lt;/Valeur&gt;&lt;Valeur name="description"&gt;F.52178  Thery (portails + cloture)&lt;/Valeur&gt;&lt;Valeur name="valeur"&gt;-230.16&lt;/Valeur&gt;&lt;Valeur name="tvapct"&gt;20&lt;/Valeur&gt;&lt;Valeur name="tva"&gt;38.36&lt;/Valeur&gt;&lt;/Insert&gt;</v>
      </c>
    </row>
    <row r="106" spans="1:34" hidden="1" x14ac:dyDescent="0.25">
      <c r="A106" s="9">
        <v>43555</v>
      </c>
      <c r="B106" s="1">
        <v>43585</v>
      </c>
      <c r="C106" t="str">
        <f>INDEX(Balance!A:A,MATCH(D106,Balance!B:B,0))</f>
        <v>Fournisseurs</v>
      </c>
      <c r="D106" t="s">
        <v>273</v>
      </c>
      <c r="E106" t="s">
        <v>579</v>
      </c>
      <c r="F106">
        <v>42.38</v>
      </c>
      <c r="H106" s="3">
        <f t="shared" si="30"/>
        <v>7.0633333333333326</v>
      </c>
      <c r="K106">
        <v>105</v>
      </c>
      <c r="L106">
        <v>1</v>
      </c>
      <c r="M106">
        <v>1</v>
      </c>
      <c r="N106" s="16" t="s">
        <v>882</v>
      </c>
      <c r="O106" s="16" t="s">
        <v>915</v>
      </c>
      <c r="P106">
        <f>IFERROR(VLOOKUP(D106,tab!A:B,2,FALSE),1)</f>
        <v>32</v>
      </c>
      <c r="Q106" s="14" t="str">
        <f t="shared" si="27"/>
        <v xml:space="preserve">F.955186459 </v>
      </c>
      <c r="R106">
        <f t="shared" si="28"/>
        <v>-42.38</v>
      </c>
      <c r="S106">
        <v>20</v>
      </c>
      <c r="T106" s="13">
        <f t="shared" si="29"/>
        <v>7.0633333333333326</v>
      </c>
      <c r="V106" t="s">
        <v>872</v>
      </c>
      <c r="W106" t="str">
        <f t="shared" si="31"/>
        <v>&lt;Valeur name="no"&gt;105&lt;/Valeur&gt;</v>
      </c>
      <c r="X106" t="str">
        <f t="shared" si="32"/>
        <v>&lt;Valeur name="societe"&gt;1&lt;/Valeur&gt;</v>
      </c>
      <c r="Y106" t="str">
        <f t="shared" si="33"/>
        <v>&lt;Valeur name="pointer"&gt;1&lt;/Valeur&gt;</v>
      </c>
      <c r="Z106" s="15" t="str">
        <f t="shared" si="34"/>
        <v>&lt;Valeur name="datevaleur"&gt;2019/04/30&lt;/Valeur&gt;</v>
      </c>
      <c r="AA106" s="15" t="str">
        <f t="shared" si="35"/>
        <v>&lt;Valeur name="datecompta"&gt;2019/03/31&lt;/Valeur&gt;</v>
      </c>
      <c r="AB106" s="15" t="str">
        <f t="shared" si="36"/>
        <v>&lt;Valeur name="compte"&gt;32&lt;/Valeur&gt;</v>
      </c>
      <c r="AC106" s="15" t="str">
        <f t="shared" si="37"/>
        <v>&lt;Valeur name="description"&gt;F.955186459 &lt;/Valeur&gt;</v>
      </c>
      <c r="AD106" s="15" t="str">
        <f t="shared" si="38"/>
        <v>&lt;Valeur name="valeur"&gt;-42.38&lt;/Valeur&gt;</v>
      </c>
      <c r="AE106" s="15" t="str">
        <f t="shared" si="39"/>
        <v>&lt;Valeur name="tvapct"&gt;20&lt;/Valeur&gt;</v>
      </c>
      <c r="AF106" s="15" t="str">
        <f t="shared" si="40"/>
        <v>&lt;Valeur name="tva"&gt;7.06333333333333&lt;/Valeur&gt;</v>
      </c>
      <c r="AG106" s="15" t="s">
        <v>873</v>
      </c>
      <c r="AH106" s="15" t="str">
        <f t="shared" si="41"/>
        <v>&lt;Insert&gt;&lt;Valeur name="no"&gt;105&lt;/Valeur&gt;&lt;Valeur name="societe"&gt;1&lt;/Valeur&gt;&lt;Valeur name="pointer"&gt;1&lt;/Valeur&gt;&lt;Valeur name="datevaleur"&gt;2019/04/30&lt;/Valeur&gt;&lt;Valeur name="datecompta"&gt;2019/03/31&lt;/Valeur&gt;&lt;Valeur name="compte"&gt;32&lt;/Valeur&gt;&lt;Valeur name="description"&gt;F.955186459 &lt;/Valeur&gt;&lt;Valeur name="valeur"&gt;-42.38&lt;/Valeur&gt;&lt;Valeur name="tvapct"&gt;20&lt;/Valeur&gt;&lt;Valeur name="tva"&gt;7.06333333333333&lt;/Valeur&gt;&lt;/Insert&gt;</v>
      </c>
    </row>
    <row r="107" spans="1:34" hidden="1" x14ac:dyDescent="0.25">
      <c r="A107" s="9">
        <v>43555</v>
      </c>
      <c r="B107" s="1">
        <v>43568</v>
      </c>
      <c r="C107" t="str">
        <f>INDEX(Balance!A:A,MATCH(D107,Balance!B:B,0))</f>
        <v>Fournisseurs</v>
      </c>
      <c r="D107" t="s">
        <v>324</v>
      </c>
      <c r="E107" t="s">
        <v>581</v>
      </c>
      <c r="F107">
        <v>97.03</v>
      </c>
      <c r="H107" s="3">
        <f t="shared" si="30"/>
        <v>16.171666666666667</v>
      </c>
      <c r="K107">
        <v>106</v>
      </c>
      <c r="L107">
        <v>1</v>
      </c>
      <c r="M107">
        <v>1</v>
      </c>
      <c r="N107" s="16" t="s">
        <v>917</v>
      </c>
      <c r="O107" s="16" t="s">
        <v>915</v>
      </c>
      <c r="P107">
        <f>IFERROR(VLOOKUP(D107,tab!A:B,2,FALSE),1)</f>
        <v>80</v>
      </c>
      <c r="Q107" s="14" t="str">
        <f t="shared" si="27"/>
        <v>F.LO2760817/218L87051 assurance contrat SW</v>
      </c>
      <c r="R107">
        <f t="shared" si="28"/>
        <v>-97.03</v>
      </c>
      <c r="S107">
        <v>20</v>
      </c>
      <c r="T107" s="13">
        <f t="shared" si="29"/>
        <v>16.171666666666667</v>
      </c>
      <c r="V107" t="s">
        <v>872</v>
      </c>
      <c r="W107" t="str">
        <f t="shared" si="31"/>
        <v>&lt;Valeur name="no"&gt;106&lt;/Valeur&gt;</v>
      </c>
      <c r="X107" t="str">
        <f t="shared" si="32"/>
        <v>&lt;Valeur name="societe"&gt;1&lt;/Valeur&gt;</v>
      </c>
      <c r="Y107" t="str">
        <f t="shared" si="33"/>
        <v>&lt;Valeur name="pointer"&gt;1&lt;/Valeur&gt;</v>
      </c>
      <c r="Z107" s="15" t="str">
        <f t="shared" si="34"/>
        <v>&lt;Valeur name="datevaleur"&gt;2019/04/13&lt;/Valeur&gt;</v>
      </c>
      <c r="AA107" s="15" t="str">
        <f t="shared" si="35"/>
        <v>&lt;Valeur name="datecompta"&gt;2019/03/31&lt;/Valeur&gt;</v>
      </c>
      <c r="AB107" s="15" t="str">
        <f t="shared" si="36"/>
        <v>&lt;Valeur name="compte"&gt;80&lt;/Valeur&gt;</v>
      </c>
      <c r="AC107" s="15" t="str">
        <f t="shared" si="37"/>
        <v>&lt;Valeur name="description"&gt;F.LO2760817/218L87051 assurance contrat SW&lt;/Valeur&gt;</v>
      </c>
      <c r="AD107" s="15" t="str">
        <f t="shared" si="38"/>
        <v>&lt;Valeur name="valeur"&gt;-97.03&lt;/Valeur&gt;</v>
      </c>
      <c r="AE107" s="15" t="str">
        <f t="shared" si="39"/>
        <v>&lt;Valeur name="tvapct"&gt;20&lt;/Valeur&gt;</v>
      </c>
      <c r="AF107" s="15" t="str">
        <f t="shared" si="40"/>
        <v>&lt;Valeur name="tva"&gt;16.1716666666667&lt;/Valeur&gt;</v>
      </c>
      <c r="AG107" s="15" t="s">
        <v>873</v>
      </c>
      <c r="AH107" s="15" t="str">
        <f t="shared" si="41"/>
        <v>&lt;Insert&gt;&lt;Valeur name="no"&gt;106&lt;/Valeur&gt;&lt;Valeur name="societe"&gt;1&lt;/Valeur&gt;&lt;Valeur name="pointer"&gt;1&lt;/Valeur&gt;&lt;Valeur name="datevaleur"&gt;2019/04/13&lt;/Valeur&gt;&lt;Valeur name="datecompta"&gt;2019/03/31&lt;/Valeur&gt;&lt;Valeur name="compte"&gt;80&lt;/Valeur&gt;&lt;Valeur name="description"&gt;F.LO2760817/218L87051 assurance contrat SW&lt;/Valeur&gt;&lt;Valeur name="valeur"&gt;-97.03&lt;/Valeur&gt;&lt;Valeur name="tvapct"&gt;20&lt;/Valeur&gt;&lt;Valeur name="tva"&gt;16.1716666666667&lt;/Valeur&gt;&lt;/Insert&gt;</v>
      </c>
    </row>
    <row r="108" spans="1:34" hidden="1" x14ac:dyDescent="0.25">
      <c r="A108" s="9">
        <v>43555</v>
      </c>
      <c r="B108" s="1">
        <v>43600</v>
      </c>
      <c r="C108" t="str">
        <f>INDEX(Balance!A:A,MATCH(D108,Balance!B:B,0))</f>
        <v>Fournisseurs</v>
      </c>
      <c r="D108" t="s">
        <v>268</v>
      </c>
      <c r="E108" t="s">
        <v>582</v>
      </c>
      <c r="F108">
        <v>376.2</v>
      </c>
      <c r="H108" s="3">
        <f t="shared" si="30"/>
        <v>62.699999999999989</v>
      </c>
      <c r="K108">
        <v>107</v>
      </c>
      <c r="L108">
        <v>1</v>
      </c>
      <c r="M108">
        <v>1</v>
      </c>
      <c r="N108" s="16" t="s">
        <v>881</v>
      </c>
      <c r="O108" s="16" t="s">
        <v>915</v>
      </c>
      <c r="P108">
        <f>IFERROR(VLOOKUP(D108,tab!A:B,2,FALSE),1)</f>
        <v>106</v>
      </c>
      <c r="Q108" s="14" t="str">
        <f t="shared" si="27"/>
        <v xml:space="preserve">F.1903357 </v>
      </c>
      <c r="R108">
        <f t="shared" si="28"/>
        <v>-376.2</v>
      </c>
      <c r="S108">
        <v>20</v>
      </c>
      <c r="T108" s="13">
        <f t="shared" si="29"/>
        <v>62.699999999999989</v>
      </c>
      <c r="V108" t="s">
        <v>872</v>
      </c>
      <c r="W108" t="str">
        <f t="shared" si="31"/>
        <v>&lt;Valeur name="no"&gt;107&lt;/Valeur&gt;</v>
      </c>
      <c r="X108" t="str">
        <f t="shared" si="32"/>
        <v>&lt;Valeur name="societe"&gt;1&lt;/Valeur&gt;</v>
      </c>
      <c r="Y108" t="str">
        <f t="shared" si="33"/>
        <v>&lt;Valeur name="pointer"&gt;1&lt;/Valeur&gt;</v>
      </c>
      <c r="Z108" s="15" t="str">
        <f t="shared" si="34"/>
        <v>&lt;Valeur name="datevaleur"&gt;2019/05/15&lt;/Valeur&gt;</v>
      </c>
      <c r="AA108" s="15" t="str">
        <f t="shared" si="35"/>
        <v>&lt;Valeur name="datecompta"&gt;2019/03/31&lt;/Valeur&gt;</v>
      </c>
      <c r="AB108" s="15" t="str">
        <f t="shared" si="36"/>
        <v>&lt;Valeur name="compte"&gt;106&lt;/Valeur&gt;</v>
      </c>
      <c r="AC108" s="15" t="str">
        <f t="shared" si="37"/>
        <v>&lt;Valeur name="description"&gt;F.1903357 &lt;/Valeur&gt;</v>
      </c>
      <c r="AD108" s="15" t="str">
        <f t="shared" si="38"/>
        <v>&lt;Valeur name="valeur"&gt;-376.2&lt;/Valeur&gt;</v>
      </c>
      <c r="AE108" s="15" t="str">
        <f t="shared" si="39"/>
        <v>&lt;Valeur name="tvapct"&gt;20&lt;/Valeur&gt;</v>
      </c>
      <c r="AF108" s="15" t="str">
        <f t="shared" si="40"/>
        <v>&lt;Valeur name="tva"&gt;62.7&lt;/Valeur&gt;</v>
      </c>
      <c r="AG108" s="15" t="s">
        <v>873</v>
      </c>
      <c r="AH108" s="15" t="str">
        <f t="shared" si="41"/>
        <v>&lt;Insert&gt;&lt;Valeur name="no"&gt;107&lt;/Valeur&gt;&lt;Valeur name="societe"&gt;1&lt;/Valeur&gt;&lt;Valeur name="pointer"&gt;1&lt;/Valeur&gt;&lt;Valeur name="datevaleur"&gt;2019/05/15&lt;/Valeur&gt;&lt;Valeur name="datecompta"&gt;2019/03/31&lt;/Valeur&gt;&lt;Valeur name="compte"&gt;106&lt;/Valeur&gt;&lt;Valeur name="description"&gt;F.1903357 &lt;/Valeur&gt;&lt;Valeur name="valeur"&gt;-376.2&lt;/Valeur&gt;&lt;Valeur name="tvapct"&gt;20&lt;/Valeur&gt;&lt;Valeur name="tva"&gt;62.7&lt;/Valeur&gt;&lt;/Insert&gt;</v>
      </c>
    </row>
    <row r="109" spans="1:34" hidden="1" x14ac:dyDescent="0.25">
      <c r="A109" s="9">
        <v>43555</v>
      </c>
      <c r="B109" s="1">
        <v>43585</v>
      </c>
      <c r="C109" t="str">
        <f>INDEX(Balance!A:A,MATCH(D109,Balance!B:B,0))</f>
        <v>Fournisseurs</v>
      </c>
      <c r="D109" t="s">
        <v>298</v>
      </c>
      <c r="E109" t="s">
        <v>583</v>
      </c>
      <c r="F109">
        <v>118.07</v>
      </c>
      <c r="H109" s="3">
        <f t="shared" si="30"/>
        <v>19.678333333333327</v>
      </c>
      <c r="K109">
        <v>108</v>
      </c>
      <c r="L109">
        <v>1</v>
      </c>
      <c r="M109">
        <v>1</v>
      </c>
      <c r="N109" s="16" t="s">
        <v>882</v>
      </c>
      <c r="O109" s="16" t="s">
        <v>915</v>
      </c>
      <c r="P109">
        <f>IFERROR(VLOOKUP(D109,tab!A:B,2,FALSE),1)</f>
        <v>81</v>
      </c>
      <c r="Q109" s="14" t="str">
        <f t="shared" si="27"/>
        <v xml:space="preserve">F.9187186 </v>
      </c>
      <c r="R109">
        <f t="shared" si="28"/>
        <v>-118.07</v>
      </c>
      <c r="S109">
        <v>20</v>
      </c>
      <c r="T109" s="13">
        <f t="shared" si="29"/>
        <v>19.678333333333327</v>
      </c>
      <c r="V109" t="s">
        <v>872</v>
      </c>
      <c r="W109" t="str">
        <f t="shared" si="31"/>
        <v>&lt;Valeur name="no"&gt;108&lt;/Valeur&gt;</v>
      </c>
      <c r="X109" t="str">
        <f t="shared" si="32"/>
        <v>&lt;Valeur name="societe"&gt;1&lt;/Valeur&gt;</v>
      </c>
      <c r="Y109" t="str">
        <f t="shared" si="33"/>
        <v>&lt;Valeur name="pointer"&gt;1&lt;/Valeur&gt;</v>
      </c>
      <c r="Z109" s="15" t="str">
        <f t="shared" si="34"/>
        <v>&lt;Valeur name="datevaleur"&gt;2019/04/30&lt;/Valeur&gt;</v>
      </c>
      <c r="AA109" s="15" t="str">
        <f t="shared" si="35"/>
        <v>&lt;Valeur name="datecompta"&gt;2019/03/31&lt;/Valeur&gt;</v>
      </c>
      <c r="AB109" s="15" t="str">
        <f t="shared" si="36"/>
        <v>&lt;Valeur name="compte"&gt;81&lt;/Valeur&gt;</v>
      </c>
      <c r="AC109" s="15" t="str">
        <f t="shared" si="37"/>
        <v>&lt;Valeur name="description"&gt;F.9187186 &lt;/Valeur&gt;</v>
      </c>
      <c r="AD109" s="15" t="str">
        <f t="shared" si="38"/>
        <v>&lt;Valeur name="valeur"&gt;-118.07&lt;/Valeur&gt;</v>
      </c>
      <c r="AE109" s="15" t="str">
        <f t="shared" si="39"/>
        <v>&lt;Valeur name="tvapct"&gt;20&lt;/Valeur&gt;</v>
      </c>
      <c r="AF109" s="15" t="str">
        <f t="shared" si="40"/>
        <v>&lt;Valeur name="tva"&gt;19.6783333333333&lt;/Valeur&gt;</v>
      </c>
      <c r="AG109" s="15" t="s">
        <v>873</v>
      </c>
      <c r="AH109" s="15" t="str">
        <f t="shared" si="41"/>
        <v>&lt;Insert&gt;&lt;Valeur name="no"&gt;108&lt;/Valeur&gt;&lt;Valeur name="societe"&gt;1&lt;/Valeur&gt;&lt;Valeur name="pointer"&gt;1&lt;/Valeur&gt;&lt;Valeur name="datevaleur"&gt;2019/04/30&lt;/Valeur&gt;&lt;Valeur name="datecompta"&gt;2019/03/31&lt;/Valeur&gt;&lt;Valeur name="compte"&gt;81&lt;/Valeur&gt;&lt;Valeur name="description"&gt;F.9187186 &lt;/Valeur&gt;&lt;Valeur name="valeur"&gt;-118.07&lt;/Valeur&gt;&lt;Valeur name="tvapct"&gt;20&lt;/Valeur&gt;&lt;Valeur name="tva"&gt;19.6783333333333&lt;/Valeur&gt;&lt;/Insert&gt;</v>
      </c>
    </row>
    <row r="110" spans="1:34" hidden="1" x14ac:dyDescent="0.25">
      <c r="A110" s="9">
        <v>43555</v>
      </c>
      <c r="B110" s="1">
        <v>43585</v>
      </c>
      <c r="C110" t="str">
        <f>INDEX(Balance!A:A,MATCH(D110,Balance!B:B,0))</f>
        <v>Fournisseurs</v>
      </c>
      <c r="D110" t="s">
        <v>265</v>
      </c>
      <c r="E110" t="s">
        <v>584</v>
      </c>
      <c r="F110">
        <v>1776</v>
      </c>
      <c r="H110" s="3">
        <f t="shared" si="30"/>
        <v>296</v>
      </c>
      <c r="K110">
        <v>109</v>
      </c>
      <c r="L110">
        <v>1</v>
      </c>
      <c r="M110">
        <v>1</v>
      </c>
      <c r="N110" s="16" t="s">
        <v>882</v>
      </c>
      <c r="O110" s="16" t="s">
        <v>915</v>
      </c>
      <c r="P110">
        <f>IFERROR(VLOOKUP(D110,tab!A:B,2,FALSE),1)</f>
        <v>70</v>
      </c>
      <c r="Q110" s="14" t="str">
        <f t="shared" si="27"/>
        <v>F.FC209103 Livraison escalier Anor + pose</v>
      </c>
      <c r="R110">
        <f t="shared" si="28"/>
        <v>-1776</v>
      </c>
      <c r="S110">
        <v>20</v>
      </c>
      <c r="T110" s="13">
        <f t="shared" si="29"/>
        <v>296</v>
      </c>
      <c r="V110" t="s">
        <v>872</v>
      </c>
      <c r="W110" t="str">
        <f t="shared" si="31"/>
        <v>&lt;Valeur name="no"&gt;109&lt;/Valeur&gt;</v>
      </c>
      <c r="X110" t="str">
        <f t="shared" si="32"/>
        <v>&lt;Valeur name="societe"&gt;1&lt;/Valeur&gt;</v>
      </c>
      <c r="Y110" t="str">
        <f t="shared" si="33"/>
        <v>&lt;Valeur name="pointer"&gt;1&lt;/Valeur&gt;</v>
      </c>
      <c r="Z110" s="15" t="str">
        <f t="shared" si="34"/>
        <v>&lt;Valeur name="datevaleur"&gt;2019/04/30&lt;/Valeur&gt;</v>
      </c>
      <c r="AA110" s="15" t="str">
        <f t="shared" si="35"/>
        <v>&lt;Valeur name="datecompta"&gt;2019/03/31&lt;/Valeur&gt;</v>
      </c>
      <c r="AB110" s="15" t="str">
        <f t="shared" si="36"/>
        <v>&lt;Valeur name="compte"&gt;70&lt;/Valeur&gt;</v>
      </c>
      <c r="AC110" s="15" t="str">
        <f t="shared" si="37"/>
        <v>&lt;Valeur name="description"&gt;F.FC209103 Livraison escalier Anor + pose&lt;/Valeur&gt;</v>
      </c>
      <c r="AD110" s="15" t="str">
        <f t="shared" si="38"/>
        <v>&lt;Valeur name="valeur"&gt;-1776&lt;/Valeur&gt;</v>
      </c>
      <c r="AE110" s="15" t="str">
        <f t="shared" si="39"/>
        <v>&lt;Valeur name="tvapct"&gt;20&lt;/Valeur&gt;</v>
      </c>
      <c r="AF110" s="15" t="str">
        <f t="shared" si="40"/>
        <v>&lt;Valeur name="tva"&gt;296&lt;/Valeur&gt;</v>
      </c>
      <c r="AG110" s="15" t="s">
        <v>873</v>
      </c>
      <c r="AH110" s="15" t="str">
        <f t="shared" si="41"/>
        <v>&lt;Insert&gt;&lt;Valeur name="no"&gt;109&lt;/Valeur&gt;&lt;Valeur name="societe"&gt;1&lt;/Valeur&gt;&lt;Valeur name="pointer"&gt;1&lt;/Valeur&gt;&lt;Valeur name="datevaleur"&gt;2019/04/30&lt;/Valeur&gt;&lt;Valeur name="datecompta"&gt;2019/03/31&lt;/Valeur&gt;&lt;Valeur name="compte"&gt;70&lt;/Valeur&gt;&lt;Valeur name="description"&gt;F.FC209103 Livraison escalier Anor + pose&lt;/Valeur&gt;&lt;Valeur name="valeur"&gt;-1776&lt;/Valeur&gt;&lt;Valeur name="tvapct"&gt;20&lt;/Valeur&gt;&lt;Valeur name="tva"&gt;296&lt;/Valeur&gt;&lt;/Insert&gt;</v>
      </c>
    </row>
    <row r="111" spans="1:34" hidden="1" x14ac:dyDescent="0.25">
      <c r="A111" s="9">
        <v>43555</v>
      </c>
      <c r="B111" s="1">
        <v>43585</v>
      </c>
      <c r="C111" t="str">
        <f>INDEX(Balance!A:A,MATCH(D111,Balance!B:B,0))</f>
        <v>Fournisseurs</v>
      </c>
      <c r="D111" t="s">
        <v>276</v>
      </c>
      <c r="E111" t="s">
        <v>585</v>
      </c>
      <c r="F111">
        <v>1474.04</v>
      </c>
      <c r="H111" s="3">
        <f t="shared" si="30"/>
        <v>245.67333333333318</v>
      </c>
      <c r="K111">
        <v>110</v>
      </c>
      <c r="L111">
        <v>1</v>
      </c>
      <c r="M111">
        <v>1</v>
      </c>
      <c r="N111" s="16" t="s">
        <v>882</v>
      </c>
      <c r="O111" s="16" t="s">
        <v>915</v>
      </c>
      <c r="P111">
        <f>IFERROR(VLOOKUP(D111,tab!A:B,2,FALSE),1)</f>
        <v>114</v>
      </c>
      <c r="Q111" s="14" t="str">
        <f t="shared" si="27"/>
        <v>F.8770104 (porte Arras 865HT + 190HT)</v>
      </c>
      <c r="R111">
        <f t="shared" si="28"/>
        <v>-1474.04</v>
      </c>
      <c r="S111">
        <v>20</v>
      </c>
      <c r="T111" s="13">
        <f t="shared" si="29"/>
        <v>245.67333333333318</v>
      </c>
      <c r="V111" t="s">
        <v>872</v>
      </c>
      <c r="W111" t="str">
        <f t="shared" si="31"/>
        <v>&lt;Valeur name="no"&gt;110&lt;/Valeur&gt;</v>
      </c>
      <c r="X111" t="str">
        <f t="shared" si="32"/>
        <v>&lt;Valeur name="societe"&gt;1&lt;/Valeur&gt;</v>
      </c>
      <c r="Y111" t="str">
        <f t="shared" si="33"/>
        <v>&lt;Valeur name="pointer"&gt;1&lt;/Valeur&gt;</v>
      </c>
      <c r="Z111" s="15" t="str">
        <f t="shared" si="34"/>
        <v>&lt;Valeur name="datevaleur"&gt;2019/04/30&lt;/Valeur&gt;</v>
      </c>
      <c r="AA111" s="15" t="str">
        <f t="shared" si="35"/>
        <v>&lt;Valeur name="datecompta"&gt;2019/03/31&lt;/Valeur&gt;</v>
      </c>
      <c r="AB111" s="15" t="str">
        <f t="shared" si="36"/>
        <v>&lt;Valeur name="compte"&gt;114&lt;/Valeur&gt;</v>
      </c>
      <c r="AC111" s="15" t="str">
        <f t="shared" si="37"/>
        <v>&lt;Valeur name="description"&gt;F.8770104 (porte Arras 865HT + 190HT)&lt;/Valeur&gt;</v>
      </c>
      <c r="AD111" s="15" t="str">
        <f t="shared" si="38"/>
        <v>&lt;Valeur name="valeur"&gt;-1474.04&lt;/Valeur&gt;</v>
      </c>
      <c r="AE111" s="15" t="str">
        <f t="shared" si="39"/>
        <v>&lt;Valeur name="tvapct"&gt;20&lt;/Valeur&gt;</v>
      </c>
      <c r="AF111" s="15" t="str">
        <f t="shared" si="40"/>
        <v>&lt;Valeur name="tva"&gt;245.673333333333&lt;/Valeur&gt;</v>
      </c>
      <c r="AG111" s="15" t="s">
        <v>873</v>
      </c>
      <c r="AH111" s="15" t="str">
        <f t="shared" si="41"/>
        <v>&lt;Insert&gt;&lt;Valeur name="no"&gt;110&lt;/Valeur&gt;&lt;Valeur name="societe"&gt;1&lt;/Valeur&gt;&lt;Valeur name="pointer"&gt;1&lt;/Valeur&gt;&lt;Valeur name="datevaleur"&gt;2019/04/30&lt;/Valeur&gt;&lt;Valeur name="datecompta"&gt;2019/03/31&lt;/Valeur&gt;&lt;Valeur name="compte"&gt;114&lt;/Valeur&gt;&lt;Valeur name="description"&gt;F.8770104 (porte Arras 865HT + 190HT)&lt;/Valeur&gt;&lt;Valeur name="valeur"&gt;-1474.04&lt;/Valeur&gt;&lt;Valeur name="tvapct"&gt;20&lt;/Valeur&gt;&lt;Valeur name="tva"&gt;245.673333333333&lt;/Valeur&gt;&lt;/Insert&gt;</v>
      </c>
    </row>
    <row r="112" spans="1:34" hidden="1" x14ac:dyDescent="0.25">
      <c r="A112" s="9">
        <v>43555</v>
      </c>
      <c r="B112" s="1">
        <v>43585</v>
      </c>
      <c r="C112" t="str">
        <f>INDEX(Balance!A:A,MATCH(D112,Balance!B:B,0))</f>
        <v>Fournisseurs</v>
      </c>
      <c r="D112" t="s">
        <v>586</v>
      </c>
      <c r="E112" t="s">
        <v>587</v>
      </c>
      <c r="F112">
        <v>561.6</v>
      </c>
      <c r="H112" s="3">
        <f t="shared" si="30"/>
        <v>93.599999999999966</v>
      </c>
      <c r="K112">
        <v>111</v>
      </c>
      <c r="L112">
        <v>1</v>
      </c>
      <c r="M112">
        <v>1</v>
      </c>
      <c r="N112" s="16" t="s">
        <v>882</v>
      </c>
      <c r="O112" s="16" t="s">
        <v>915</v>
      </c>
      <c r="P112">
        <f>IFERROR(VLOOKUP(D112,tab!A:B,2,FALSE),1)</f>
        <v>92</v>
      </c>
      <c r="Q112" s="14" t="str">
        <f t="shared" si="27"/>
        <v>F.T100340 panneau Hevea escalier concept-ty</v>
      </c>
      <c r="R112">
        <f t="shared" si="28"/>
        <v>-561.6</v>
      </c>
      <c r="S112">
        <v>20</v>
      </c>
      <c r="T112" s="13">
        <f t="shared" si="29"/>
        <v>93.599999999999966</v>
      </c>
      <c r="V112" t="s">
        <v>872</v>
      </c>
      <c r="W112" t="str">
        <f t="shared" si="31"/>
        <v>&lt;Valeur name="no"&gt;111&lt;/Valeur&gt;</v>
      </c>
      <c r="X112" t="str">
        <f t="shared" si="32"/>
        <v>&lt;Valeur name="societe"&gt;1&lt;/Valeur&gt;</v>
      </c>
      <c r="Y112" t="str">
        <f t="shared" si="33"/>
        <v>&lt;Valeur name="pointer"&gt;1&lt;/Valeur&gt;</v>
      </c>
      <c r="Z112" s="15" t="str">
        <f t="shared" si="34"/>
        <v>&lt;Valeur name="datevaleur"&gt;2019/04/30&lt;/Valeur&gt;</v>
      </c>
      <c r="AA112" s="15" t="str">
        <f t="shared" si="35"/>
        <v>&lt;Valeur name="datecompta"&gt;2019/03/31&lt;/Valeur&gt;</v>
      </c>
      <c r="AB112" s="15" t="str">
        <f t="shared" si="36"/>
        <v>&lt;Valeur name="compte"&gt;92&lt;/Valeur&gt;</v>
      </c>
      <c r="AC112" s="15" t="str">
        <f t="shared" si="37"/>
        <v>&lt;Valeur name="description"&gt;F.T100340 panneau Hevea escalier concept-ty&lt;/Valeur&gt;</v>
      </c>
      <c r="AD112" s="15" t="str">
        <f t="shared" si="38"/>
        <v>&lt;Valeur name="valeur"&gt;-561.6&lt;/Valeur&gt;</v>
      </c>
      <c r="AE112" s="15" t="str">
        <f t="shared" si="39"/>
        <v>&lt;Valeur name="tvapct"&gt;20&lt;/Valeur&gt;</v>
      </c>
      <c r="AF112" s="15" t="str">
        <f t="shared" si="40"/>
        <v>&lt;Valeur name="tva"&gt;93.6&lt;/Valeur&gt;</v>
      </c>
      <c r="AG112" s="15" t="s">
        <v>873</v>
      </c>
      <c r="AH112" s="15" t="str">
        <f t="shared" si="41"/>
        <v>&lt;Insert&gt;&lt;Valeur name="no"&gt;111&lt;/Valeur&gt;&lt;Valeur name="societe"&gt;1&lt;/Valeur&gt;&lt;Valeur name="pointer"&gt;1&lt;/Valeur&gt;&lt;Valeur name="datevaleur"&gt;2019/04/30&lt;/Valeur&gt;&lt;Valeur name="datecompta"&gt;2019/03/31&lt;/Valeur&gt;&lt;Valeur name="compte"&gt;92&lt;/Valeur&gt;&lt;Valeur name="description"&gt;F.T100340 panneau Hevea escalier concept-ty&lt;/Valeur&gt;&lt;Valeur name="valeur"&gt;-561.6&lt;/Valeur&gt;&lt;Valeur name="tvapct"&gt;20&lt;/Valeur&gt;&lt;Valeur name="tva"&gt;93.6&lt;/Valeur&gt;&lt;/Insert&gt;</v>
      </c>
    </row>
    <row r="113" spans="1:34" hidden="1" x14ac:dyDescent="0.25">
      <c r="A113" s="9">
        <v>43555</v>
      </c>
      <c r="B113" s="1">
        <v>43597</v>
      </c>
      <c r="C113" t="str">
        <f>INDEX(Balance!A:A,MATCH(D113,Balance!B:B,0))</f>
        <v>Fournisseurs</v>
      </c>
      <c r="D113" t="s">
        <v>281</v>
      </c>
      <c r="E113" t="s">
        <v>588</v>
      </c>
      <c r="F113">
        <v>1020</v>
      </c>
      <c r="H113" s="3">
        <f t="shared" si="30"/>
        <v>170</v>
      </c>
      <c r="K113">
        <v>112</v>
      </c>
      <c r="L113">
        <v>1</v>
      </c>
      <c r="M113">
        <v>1</v>
      </c>
      <c r="N113" s="16" t="s">
        <v>916</v>
      </c>
      <c r="O113" s="16" t="s">
        <v>915</v>
      </c>
      <c r="P113">
        <f>IFERROR(VLOOKUP(D113,tab!A:B,2,FALSE),1)</f>
        <v>77</v>
      </c>
      <c r="Q113" s="14" t="str">
        <f t="shared" si="27"/>
        <v xml:space="preserve">F.FAL09067 </v>
      </c>
      <c r="R113">
        <f t="shared" si="28"/>
        <v>-1020</v>
      </c>
      <c r="S113">
        <v>20</v>
      </c>
      <c r="T113" s="13">
        <f t="shared" si="29"/>
        <v>170</v>
      </c>
      <c r="V113" t="s">
        <v>872</v>
      </c>
      <c r="W113" t="str">
        <f t="shared" si="31"/>
        <v>&lt;Valeur name="no"&gt;112&lt;/Valeur&gt;</v>
      </c>
      <c r="X113" t="str">
        <f t="shared" si="32"/>
        <v>&lt;Valeur name="societe"&gt;1&lt;/Valeur&gt;</v>
      </c>
      <c r="Y113" t="str">
        <f t="shared" si="33"/>
        <v>&lt;Valeur name="pointer"&gt;1&lt;/Valeur&gt;</v>
      </c>
      <c r="Z113" s="15" t="str">
        <f t="shared" si="34"/>
        <v>&lt;Valeur name="datevaleur"&gt;2019/05/12&lt;/Valeur&gt;</v>
      </c>
      <c r="AA113" s="15" t="str">
        <f t="shared" si="35"/>
        <v>&lt;Valeur name="datecompta"&gt;2019/03/31&lt;/Valeur&gt;</v>
      </c>
      <c r="AB113" s="15" t="str">
        <f t="shared" si="36"/>
        <v>&lt;Valeur name="compte"&gt;77&lt;/Valeur&gt;</v>
      </c>
      <c r="AC113" s="15" t="str">
        <f t="shared" si="37"/>
        <v>&lt;Valeur name="description"&gt;F.FAL09067 &lt;/Valeur&gt;</v>
      </c>
      <c r="AD113" s="15" t="str">
        <f t="shared" si="38"/>
        <v>&lt;Valeur name="valeur"&gt;-1020&lt;/Valeur&gt;</v>
      </c>
      <c r="AE113" s="15" t="str">
        <f t="shared" si="39"/>
        <v>&lt;Valeur name="tvapct"&gt;20&lt;/Valeur&gt;</v>
      </c>
      <c r="AF113" s="15" t="str">
        <f t="shared" si="40"/>
        <v>&lt;Valeur name="tva"&gt;170&lt;/Valeur&gt;</v>
      </c>
      <c r="AG113" s="15" t="s">
        <v>873</v>
      </c>
      <c r="AH113" s="15" t="str">
        <f t="shared" si="41"/>
        <v>&lt;Insert&gt;&lt;Valeur name="no"&gt;112&lt;/Valeur&gt;&lt;Valeur name="societe"&gt;1&lt;/Valeur&gt;&lt;Valeur name="pointer"&gt;1&lt;/Valeur&gt;&lt;Valeur name="datevaleur"&gt;2019/05/12&lt;/Valeur&gt;&lt;Valeur name="datecompta"&gt;2019/03/31&lt;/Valeur&gt;&lt;Valeur name="compte"&gt;77&lt;/Valeur&gt;&lt;Valeur name="description"&gt;F.FAL09067 &lt;/Valeur&gt;&lt;Valeur name="valeur"&gt;-1020&lt;/Valeur&gt;&lt;Valeur name="tvapct"&gt;20&lt;/Valeur&gt;&lt;Valeur name="tva"&gt;170&lt;/Valeur&gt;&lt;/Insert&gt;</v>
      </c>
    </row>
    <row r="114" spans="1:34" hidden="1" x14ac:dyDescent="0.25">
      <c r="A114" s="9">
        <v>43556</v>
      </c>
      <c r="B114" s="1">
        <v>43570</v>
      </c>
      <c r="C114" t="str">
        <f>INDEX(Balance!A:A,MATCH(D114,Balance!B:B,0))</f>
        <v>Fournisseurs</v>
      </c>
      <c r="D114" t="s">
        <v>268</v>
      </c>
      <c r="F114">
        <v>78</v>
      </c>
      <c r="H114" s="3">
        <f t="shared" si="30"/>
        <v>13</v>
      </c>
      <c r="K114">
        <v>113</v>
      </c>
      <c r="L114">
        <v>1</v>
      </c>
      <c r="M114">
        <v>1</v>
      </c>
      <c r="N114" s="16" t="s">
        <v>886</v>
      </c>
      <c r="O114" s="16" t="s">
        <v>907</v>
      </c>
      <c r="P114">
        <f>IFERROR(VLOOKUP(D114,tab!A:B,2,FALSE),1)</f>
        <v>106</v>
      </c>
      <c r="Q114" s="14" t="str">
        <f t="shared" si="27"/>
        <v/>
      </c>
      <c r="R114">
        <f t="shared" si="28"/>
        <v>-78</v>
      </c>
      <c r="S114">
        <v>20</v>
      </c>
      <c r="T114" s="13">
        <f t="shared" si="29"/>
        <v>13</v>
      </c>
      <c r="V114" t="s">
        <v>872</v>
      </c>
      <c r="W114" t="str">
        <f t="shared" si="31"/>
        <v>&lt;Valeur name="no"&gt;113&lt;/Valeur&gt;</v>
      </c>
      <c r="X114" t="str">
        <f t="shared" si="32"/>
        <v>&lt;Valeur name="societe"&gt;1&lt;/Valeur&gt;</v>
      </c>
      <c r="Y114" t="str">
        <f t="shared" si="33"/>
        <v>&lt;Valeur name="pointer"&gt;1&lt;/Valeur&gt;</v>
      </c>
      <c r="Z114" s="15" t="str">
        <f t="shared" si="34"/>
        <v>&lt;Valeur name="datevaleur"&gt;2019/04/15&lt;/Valeur&gt;</v>
      </c>
      <c r="AA114" s="15" t="str">
        <f t="shared" si="35"/>
        <v>&lt;Valeur name="datecompta"&gt;2019/04/01&lt;/Valeur&gt;</v>
      </c>
      <c r="AB114" s="15" t="str">
        <f t="shared" si="36"/>
        <v>&lt;Valeur name="compte"&gt;106&lt;/Valeur&gt;</v>
      </c>
      <c r="AC114" s="15" t="str">
        <f t="shared" si="37"/>
        <v>&lt;Valeur name="description"&gt;&lt;/Valeur&gt;</v>
      </c>
      <c r="AD114" s="15" t="str">
        <f t="shared" si="38"/>
        <v>&lt;Valeur name="valeur"&gt;-78&lt;/Valeur&gt;</v>
      </c>
      <c r="AE114" s="15" t="str">
        <f t="shared" si="39"/>
        <v>&lt;Valeur name="tvapct"&gt;20&lt;/Valeur&gt;</v>
      </c>
      <c r="AF114" s="15" t="str">
        <f t="shared" si="40"/>
        <v>&lt;Valeur name="tva"&gt;13&lt;/Valeur&gt;</v>
      </c>
      <c r="AG114" s="15" t="s">
        <v>873</v>
      </c>
      <c r="AH114" s="15" t="str">
        <f t="shared" si="41"/>
        <v>&lt;Insert&gt;&lt;Valeur name="no"&gt;113&lt;/Valeur&gt;&lt;Valeur name="societe"&gt;1&lt;/Valeur&gt;&lt;Valeur name="pointer"&gt;1&lt;/Valeur&gt;&lt;Valeur name="datevaleur"&gt;2019/04/15&lt;/Valeur&gt;&lt;Valeur name="datecompta"&gt;2019/04/01&lt;/Valeur&gt;&lt;Valeur name="compte"&gt;106&lt;/Valeur&gt;&lt;Valeur name="description"&gt;&lt;/Valeur&gt;&lt;Valeur name="valeur"&gt;-78&lt;/Valeur&gt;&lt;Valeur name="tvapct"&gt;20&lt;/Valeur&gt;&lt;Valeur name="tva"&gt;13&lt;/Valeur&gt;&lt;/Insert&gt;</v>
      </c>
    </row>
    <row r="115" spans="1:34" hidden="1" x14ac:dyDescent="0.25">
      <c r="A115" s="9">
        <v>43556</v>
      </c>
      <c r="B115" s="1">
        <v>43570</v>
      </c>
      <c r="C115" t="str">
        <f>INDEX(Balance!A:A,MATCH(D115,Balance!B:B,0))</f>
        <v>Fournisseurs</v>
      </c>
      <c r="D115" t="s">
        <v>268</v>
      </c>
      <c r="F115">
        <v>376.2</v>
      </c>
      <c r="H115" s="3">
        <f t="shared" si="30"/>
        <v>62.699999999999989</v>
      </c>
      <c r="K115">
        <v>114</v>
      </c>
      <c r="L115">
        <v>1</v>
      </c>
      <c r="M115">
        <v>1</v>
      </c>
      <c r="N115" s="16" t="s">
        <v>886</v>
      </c>
      <c r="O115" s="16" t="s">
        <v>907</v>
      </c>
      <c r="P115">
        <f>IFERROR(VLOOKUP(D115,tab!A:B,2,FALSE),1)</f>
        <v>106</v>
      </c>
      <c r="Q115" s="14" t="str">
        <f t="shared" si="27"/>
        <v/>
      </c>
      <c r="R115">
        <f t="shared" si="28"/>
        <v>-376.2</v>
      </c>
      <c r="S115">
        <v>20</v>
      </c>
      <c r="T115" s="13">
        <f t="shared" si="29"/>
        <v>62.699999999999989</v>
      </c>
      <c r="V115" t="s">
        <v>872</v>
      </c>
      <c r="W115" t="str">
        <f t="shared" si="31"/>
        <v>&lt;Valeur name="no"&gt;114&lt;/Valeur&gt;</v>
      </c>
      <c r="X115" t="str">
        <f t="shared" si="32"/>
        <v>&lt;Valeur name="societe"&gt;1&lt;/Valeur&gt;</v>
      </c>
      <c r="Y115" t="str">
        <f t="shared" si="33"/>
        <v>&lt;Valeur name="pointer"&gt;1&lt;/Valeur&gt;</v>
      </c>
      <c r="Z115" s="15" t="str">
        <f t="shared" si="34"/>
        <v>&lt;Valeur name="datevaleur"&gt;2019/04/15&lt;/Valeur&gt;</v>
      </c>
      <c r="AA115" s="15" t="str">
        <f t="shared" si="35"/>
        <v>&lt;Valeur name="datecompta"&gt;2019/04/01&lt;/Valeur&gt;</v>
      </c>
      <c r="AB115" s="15" t="str">
        <f t="shared" si="36"/>
        <v>&lt;Valeur name="compte"&gt;106&lt;/Valeur&gt;</v>
      </c>
      <c r="AC115" s="15" t="str">
        <f t="shared" si="37"/>
        <v>&lt;Valeur name="description"&gt;&lt;/Valeur&gt;</v>
      </c>
      <c r="AD115" s="15" t="str">
        <f t="shared" si="38"/>
        <v>&lt;Valeur name="valeur"&gt;-376.2&lt;/Valeur&gt;</v>
      </c>
      <c r="AE115" s="15" t="str">
        <f t="shared" si="39"/>
        <v>&lt;Valeur name="tvapct"&gt;20&lt;/Valeur&gt;</v>
      </c>
      <c r="AF115" s="15" t="str">
        <f t="shared" si="40"/>
        <v>&lt;Valeur name="tva"&gt;62.7&lt;/Valeur&gt;</v>
      </c>
      <c r="AG115" s="15" t="s">
        <v>873</v>
      </c>
      <c r="AH115" s="15" t="str">
        <f t="shared" si="41"/>
        <v>&lt;Insert&gt;&lt;Valeur name="no"&gt;114&lt;/Valeur&gt;&lt;Valeur name="societe"&gt;1&lt;/Valeur&gt;&lt;Valeur name="pointer"&gt;1&lt;/Valeur&gt;&lt;Valeur name="datevaleur"&gt;2019/04/15&lt;/Valeur&gt;&lt;Valeur name="datecompta"&gt;2019/04/01&lt;/Valeur&gt;&lt;Valeur name="compte"&gt;106&lt;/Valeur&gt;&lt;Valeur name="description"&gt;&lt;/Valeur&gt;&lt;Valeur name="valeur"&gt;-376.2&lt;/Valeur&gt;&lt;Valeur name="tvapct"&gt;20&lt;/Valeur&gt;&lt;Valeur name="tva"&gt;62.7&lt;/Valeur&gt;&lt;/Insert&gt;</v>
      </c>
    </row>
    <row r="116" spans="1:34" hidden="1" x14ac:dyDescent="0.25">
      <c r="A116" s="9">
        <v>43556</v>
      </c>
      <c r="B116" s="1">
        <v>43579</v>
      </c>
      <c r="C116" t="str">
        <f>INDEX(Balance!A:A,MATCH(D116,Balance!B:B,0))</f>
        <v>Fournisseurs</v>
      </c>
      <c r="D116" t="s">
        <v>299</v>
      </c>
      <c r="F116">
        <v>348</v>
      </c>
      <c r="H116" s="3">
        <f t="shared" si="30"/>
        <v>58</v>
      </c>
      <c r="K116">
        <v>115</v>
      </c>
      <c r="L116">
        <v>1</v>
      </c>
      <c r="M116">
        <v>1</v>
      </c>
      <c r="N116" s="16" t="s">
        <v>918</v>
      </c>
      <c r="O116" s="16" t="s">
        <v>907</v>
      </c>
      <c r="P116">
        <f>IFERROR(VLOOKUP(D116,tab!A:B,2,FALSE),1)</f>
        <v>51</v>
      </c>
      <c r="Q116" s="14" t="str">
        <f t="shared" si="27"/>
        <v/>
      </c>
      <c r="R116">
        <f t="shared" si="28"/>
        <v>-348</v>
      </c>
      <c r="S116">
        <v>20</v>
      </c>
      <c r="T116" s="13">
        <f t="shared" si="29"/>
        <v>58</v>
      </c>
      <c r="V116" t="s">
        <v>872</v>
      </c>
      <c r="W116" t="str">
        <f t="shared" si="31"/>
        <v>&lt;Valeur name="no"&gt;115&lt;/Valeur&gt;</v>
      </c>
      <c r="X116" t="str">
        <f t="shared" si="32"/>
        <v>&lt;Valeur name="societe"&gt;1&lt;/Valeur&gt;</v>
      </c>
      <c r="Y116" t="str">
        <f t="shared" si="33"/>
        <v>&lt;Valeur name="pointer"&gt;1&lt;/Valeur&gt;</v>
      </c>
      <c r="Z116" s="15" t="str">
        <f t="shared" si="34"/>
        <v>&lt;Valeur name="datevaleur"&gt;2019/04/24&lt;/Valeur&gt;</v>
      </c>
      <c r="AA116" s="15" t="str">
        <f t="shared" si="35"/>
        <v>&lt;Valeur name="datecompta"&gt;2019/04/01&lt;/Valeur&gt;</v>
      </c>
      <c r="AB116" s="15" t="str">
        <f t="shared" si="36"/>
        <v>&lt;Valeur name="compte"&gt;51&lt;/Valeur&gt;</v>
      </c>
      <c r="AC116" s="15" t="str">
        <f t="shared" si="37"/>
        <v>&lt;Valeur name="description"&gt;&lt;/Valeur&gt;</v>
      </c>
      <c r="AD116" s="15" t="str">
        <f t="shared" si="38"/>
        <v>&lt;Valeur name="valeur"&gt;-348&lt;/Valeur&gt;</v>
      </c>
      <c r="AE116" s="15" t="str">
        <f t="shared" si="39"/>
        <v>&lt;Valeur name="tvapct"&gt;20&lt;/Valeur&gt;</v>
      </c>
      <c r="AF116" s="15" t="str">
        <f t="shared" si="40"/>
        <v>&lt;Valeur name="tva"&gt;58&lt;/Valeur&gt;</v>
      </c>
      <c r="AG116" s="15" t="s">
        <v>873</v>
      </c>
      <c r="AH116" s="15" t="str">
        <f t="shared" si="41"/>
        <v>&lt;Insert&gt;&lt;Valeur name="no"&gt;115&lt;/Valeur&gt;&lt;Valeur name="societe"&gt;1&lt;/Valeur&gt;&lt;Valeur name="pointer"&gt;1&lt;/Valeur&gt;&lt;Valeur name="datevaleur"&gt;2019/04/24&lt;/Valeur&gt;&lt;Valeur name="datecompta"&gt;2019/04/01&lt;/Valeur&gt;&lt;Valeur name="compte"&gt;51&lt;/Valeur&gt;&lt;Valeur name="description"&gt;&lt;/Valeur&gt;&lt;Valeur name="valeur"&gt;-348&lt;/Valeur&gt;&lt;Valeur name="tvapct"&gt;20&lt;/Valeur&gt;&lt;Valeur name="tva"&gt;58&lt;/Valeur&gt;&lt;/Insert&gt;</v>
      </c>
    </row>
    <row r="117" spans="1:34" hidden="1" x14ac:dyDescent="0.25">
      <c r="A117" s="9">
        <v>43556</v>
      </c>
      <c r="B117" s="1">
        <v>43600</v>
      </c>
      <c r="C117" t="str">
        <f>INDEX(Balance!A:A,MATCH(D117,Balance!B:B,0))</f>
        <v>Fournisseurs</v>
      </c>
      <c r="D117" t="s">
        <v>268</v>
      </c>
      <c r="F117">
        <v>72</v>
      </c>
      <c r="H117" s="3">
        <f t="shared" si="30"/>
        <v>12</v>
      </c>
      <c r="K117">
        <v>116</v>
      </c>
      <c r="L117">
        <v>1</v>
      </c>
      <c r="M117">
        <v>1</v>
      </c>
      <c r="N117" s="16" t="s">
        <v>881</v>
      </c>
      <c r="O117" s="16" t="s">
        <v>907</v>
      </c>
      <c r="P117">
        <f>IFERROR(VLOOKUP(D117,tab!A:B,2,FALSE),1)</f>
        <v>106</v>
      </c>
      <c r="Q117" s="14" t="str">
        <f t="shared" si="27"/>
        <v/>
      </c>
      <c r="R117">
        <f t="shared" si="28"/>
        <v>-72</v>
      </c>
      <c r="S117">
        <v>20</v>
      </c>
      <c r="T117" s="13">
        <f t="shared" si="29"/>
        <v>12</v>
      </c>
      <c r="V117" t="s">
        <v>872</v>
      </c>
      <c r="W117" t="str">
        <f t="shared" si="31"/>
        <v>&lt;Valeur name="no"&gt;116&lt;/Valeur&gt;</v>
      </c>
      <c r="X117" t="str">
        <f t="shared" si="32"/>
        <v>&lt;Valeur name="societe"&gt;1&lt;/Valeur&gt;</v>
      </c>
      <c r="Y117" t="str">
        <f t="shared" si="33"/>
        <v>&lt;Valeur name="pointer"&gt;1&lt;/Valeur&gt;</v>
      </c>
      <c r="Z117" s="15" t="str">
        <f t="shared" si="34"/>
        <v>&lt;Valeur name="datevaleur"&gt;2019/05/15&lt;/Valeur&gt;</v>
      </c>
      <c r="AA117" s="15" t="str">
        <f t="shared" si="35"/>
        <v>&lt;Valeur name="datecompta"&gt;2019/04/01&lt;/Valeur&gt;</v>
      </c>
      <c r="AB117" s="15" t="str">
        <f t="shared" si="36"/>
        <v>&lt;Valeur name="compte"&gt;106&lt;/Valeur&gt;</v>
      </c>
      <c r="AC117" s="15" t="str">
        <f t="shared" si="37"/>
        <v>&lt;Valeur name="description"&gt;&lt;/Valeur&gt;</v>
      </c>
      <c r="AD117" s="15" t="str">
        <f t="shared" si="38"/>
        <v>&lt;Valeur name="valeur"&gt;-72&lt;/Valeur&gt;</v>
      </c>
      <c r="AE117" s="15" t="str">
        <f t="shared" si="39"/>
        <v>&lt;Valeur name="tvapct"&gt;20&lt;/Valeur&gt;</v>
      </c>
      <c r="AF117" s="15" t="str">
        <f t="shared" si="40"/>
        <v>&lt;Valeur name="tva"&gt;12&lt;/Valeur&gt;</v>
      </c>
      <c r="AG117" s="15" t="s">
        <v>873</v>
      </c>
      <c r="AH117" s="15" t="str">
        <f t="shared" si="41"/>
        <v>&lt;Insert&gt;&lt;Valeur name="no"&gt;116&lt;/Valeur&gt;&lt;Valeur name="societe"&gt;1&lt;/Valeur&gt;&lt;Valeur name="pointer"&gt;1&lt;/Valeur&gt;&lt;Valeur name="datevaleur"&gt;2019/05/15&lt;/Valeur&gt;&lt;Valeur name="datecompta"&gt;2019/04/01&lt;/Valeur&gt;&lt;Valeur name="compte"&gt;106&lt;/Valeur&gt;&lt;Valeur name="description"&gt;&lt;/Valeur&gt;&lt;Valeur name="valeur"&gt;-72&lt;/Valeur&gt;&lt;Valeur name="tvapct"&gt;20&lt;/Valeur&gt;&lt;Valeur name="tva"&gt;12&lt;/Valeur&gt;&lt;/Insert&gt;</v>
      </c>
    </row>
    <row r="118" spans="1:34" hidden="1" x14ac:dyDescent="0.25">
      <c r="A118" s="9">
        <v>43559</v>
      </c>
      <c r="B118" s="1">
        <v>43631</v>
      </c>
      <c r="C118" t="str">
        <f>INDEX(Balance!A:A,MATCH(D118,Balance!B:B,0))</f>
        <v>Fournisseurs</v>
      </c>
      <c r="D118" t="s">
        <v>262</v>
      </c>
      <c r="E118" t="s">
        <v>580</v>
      </c>
      <c r="F118">
        <v>263.04000000000002</v>
      </c>
      <c r="H118" s="3">
        <f t="shared" si="30"/>
        <v>43.84</v>
      </c>
      <c r="K118">
        <v>117</v>
      </c>
      <c r="L118">
        <v>1</v>
      </c>
      <c r="M118">
        <v>1</v>
      </c>
      <c r="N118" s="16" t="s">
        <v>919</v>
      </c>
      <c r="O118" s="16" t="s">
        <v>920</v>
      </c>
      <c r="P118">
        <f>IFERROR(VLOOKUP(D118,tab!A:B,2,FALSE),1)</f>
        <v>65</v>
      </c>
      <c r="Q118" s="14" t="str">
        <f t="shared" si="27"/>
        <v>F.52229 Arras (boites aux lettres + MC exterieur esca. principal)</v>
      </c>
      <c r="R118">
        <f t="shared" si="28"/>
        <v>-263.04000000000002</v>
      </c>
      <c r="S118">
        <v>20</v>
      </c>
      <c r="T118" s="13">
        <f t="shared" si="29"/>
        <v>43.84</v>
      </c>
      <c r="V118" t="s">
        <v>872</v>
      </c>
      <c r="W118" t="str">
        <f t="shared" si="31"/>
        <v>&lt;Valeur name="no"&gt;117&lt;/Valeur&gt;</v>
      </c>
      <c r="X118" t="str">
        <f t="shared" si="32"/>
        <v>&lt;Valeur name="societe"&gt;1&lt;/Valeur&gt;</v>
      </c>
      <c r="Y118" t="str">
        <f t="shared" si="33"/>
        <v>&lt;Valeur name="pointer"&gt;1&lt;/Valeur&gt;</v>
      </c>
      <c r="Z118" s="15" t="str">
        <f t="shared" si="34"/>
        <v>&lt;Valeur name="datevaleur"&gt;2019/06/15&lt;/Valeur&gt;</v>
      </c>
      <c r="AA118" s="15" t="str">
        <f t="shared" si="35"/>
        <v>&lt;Valeur name="datecompta"&gt;2019/04/04&lt;/Valeur&gt;</v>
      </c>
      <c r="AB118" s="15" t="str">
        <f t="shared" si="36"/>
        <v>&lt;Valeur name="compte"&gt;65&lt;/Valeur&gt;</v>
      </c>
      <c r="AC118" s="15" t="str">
        <f t="shared" si="37"/>
        <v>&lt;Valeur name="description"&gt;F.52229 Arras (boites aux lettres + MC exterieur esca. principal)&lt;/Valeur&gt;</v>
      </c>
      <c r="AD118" s="15" t="str">
        <f t="shared" si="38"/>
        <v>&lt;Valeur name="valeur"&gt;-263.04&lt;/Valeur&gt;</v>
      </c>
      <c r="AE118" s="15" t="str">
        <f t="shared" si="39"/>
        <v>&lt;Valeur name="tvapct"&gt;20&lt;/Valeur&gt;</v>
      </c>
      <c r="AF118" s="15" t="str">
        <f t="shared" si="40"/>
        <v>&lt;Valeur name="tva"&gt;43.84&lt;/Valeur&gt;</v>
      </c>
      <c r="AG118" s="15" t="s">
        <v>873</v>
      </c>
      <c r="AH118" s="15" t="str">
        <f t="shared" si="41"/>
        <v>&lt;Insert&gt;&lt;Valeur name="no"&gt;117&lt;/Valeur&gt;&lt;Valeur name="societe"&gt;1&lt;/Valeur&gt;&lt;Valeur name="pointer"&gt;1&lt;/Valeur&gt;&lt;Valeur name="datevaleur"&gt;2019/06/15&lt;/Valeur&gt;&lt;Valeur name="datecompta"&gt;2019/04/04&lt;/Valeur&gt;&lt;Valeur name="compte"&gt;65&lt;/Valeur&gt;&lt;Valeur name="description"&gt;F.52229 Arras (boites aux lettres + MC exterieur esca. principal)&lt;/Valeur&gt;&lt;Valeur name="valeur"&gt;-263.04&lt;/Valeur&gt;&lt;Valeur name="tvapct"&gt;20&lt;/Valeur&gt;&lt;Valeur name="tva"&gt;43.84&lt;/Valeur&gt;&lt;/Insert&gt;</v>
      </c>
    </row>
    <row r="119" spans="1:34" hidden="1" x14ac:dyDescent="0.25">
      <c r="A119" s="9">
        <v>43566</v>
      </c>
      <c r="B119" s="1">
        <v>43626</v>
      </c>
      <c r="C119" t="str">
        <f>INDEX(Balance!A:A,MATCH(D119,Balance!B:B,0))</f>
        <v>Fournisseurs</v>
      </c>
      <c r="D119" t="s">
        <v>613</v>
      </c>
      <c r="E119" t="s">
        <v>614</v>
      </c>
      <c r="F119">
        <v>8.81</v>
      </c>
      <c r="H119" s="3">
        <f t="shared" si="30"/>
        <v>1.4683333333333328</v>
      </c>
      <c r="K119">
        <v>118</v>
      </c>
      <c r="L119">
        <v>1</v>
      </c>
      <c r="M119">
        <v>1</v>
      </c>
      <c r="N119" s="16" t="s">
        <v>921</v>
      </c>
      <c r="O119" s="16" t="s">
        <v>922</v>
      </c>
      <c r="P119">
        <f>IFERROR(VLOOKUP(D119,tab!A:B,2,FALSE),1)</f>
        <v>62</v>
      </c>
      <c r="Q119" s="14" t="str">
        <f t="shared" si="27"/>
        <v xml:space="preserve">F.919027913 </v>
      </c>
      <c r="R119">
        <f t="shared" si="28"/>
        <v>-8.81</v>
      </c>
      <c r="S119">
        <v>20</v>
      </c>
      <c r="T119" s="13">
        <f t="shared" si="29"/>
        <v>1.4683333333333328</v>
      </c>
      <c r="V119" t="s">
        <v>872</v>
      </c>
      <c r="W119" t="str">
        <f t="shared" si="31"/>
        <v>&lt;Valeur name="no"&gt;118&lt;/Valeur&gt;</v>
      </c>
      <c r="X119" t="str">
        <f t="shared" si="32"/>
        <v>&lt;Valeur name="societe"&gt;1&lt;/Valeur&gt;</v>
      </c>
      <c r="Y119" t="str">
        <f t="shared" si="33"/>
        <v>&lt;Valeur name="pointer"&gt;1&lt;/Valeur&gt;</v>
      </c>
      <c r="Z119" s="15" t="str">
        <f t="shared" si="34"/>
        <v>&lt;Valeur name="datevaleur"&gt;2019/06/10&lt;/Valeur&gt;</v>
      </c>
      <c r="AA119" s="15" t="str">
        <f t="shared" si="35"/>
        <v>&lt;Valeur name="datecompta"&gt;2019/04/11&lt;/Valeur&gt;</v>
      </c>
      <c r="AB119" s="15" t="str">
        <f t="shared" si="36"/>
        <v>&lt;Valeur name="compte"&gt;62&lt;/Valeur&gt;</v>
      </c>
      <c r="AC119" s="15" t="str">
        <f t="shared" si="37"/>
        <v>&lt;Valeur name="description"&gt;F.919027913 &lt;/Valeur&gt;</v>
      </c>
      <c r="AD119" s="15" t="str">
        <f t="shared" si="38"/>
        <v>&lt;Valeur name="valeur"&gt;-8.81&lt;/Valeur&gt;</v>
      </c>
      <c r="AE119" s="15" t="str">
        <f t="shared" si="39"/>
        <v>&lt;Valeur name="tvapct"&gt;20&lt;/Valeur&gt;</v>
      </c>
      <c r="AF119" s="15" t="str">
        <f t="shared" si="40"/>
        <v>&lt;Valeur name="tva"&gt;1.46833333333333&lt;/Valeur&gt;</v>
      </c>
      <c r="AG119" s="15" t="s">
        <v>873</v>
      </c>
      <c r="AH119" s="15" t="str">
        <f t="shared" si="41"/>
        <v>&lt;Insert&gt;&lt;Valeur name="no"&gt;118&lt;/Valeur&gt;&lt;Valeur name="societe"&gt;1&lt;/Valeur&gt;&lt;Valeur name="pointer"&gt;1&lt;/Valeur&gt;&lt;Valeur name="datevaleur"&gt;2019/06/10&lt;/Valeur&gt;&lt;Valeur name="datecompta"&gt;2019/04/11&lt;/Valeur&gt;&lt;Valeur name="compte"&gt;62&lt;/Valeur&gt;&lt;Valeur name="description"&gt;F.919027913 &lt;/Valeur&gt;&lt;Valeur name="valeur"&gt;-8.81&lt;/Valeur&gt;&lt;Valeur name="tvapct"&gt;20&lt;/Valeur&gt;&lt;Valeur name="tva"&gt;1.46833333333333&lt;/Valeur&gt;&lt;/Insert&gt;</v>
      </c>
    </row>
    <row r="120" spans="1:34" hidden="1" x14ac:dyDescent="0.25">
      <c r="A120" s="9">
        <v>43570</v>
      </c>
      <c r="B120" s="1">
        <v>43616</v>
      </c>
      <c r="C120" t="str">
        <f>INDEX(Balance!A:A,MATCH(D120,Balance!B:B,0))</f>
        <v>Fournisseurs</v>
      </c>
      <c r="D120" t="s">
        <v>611</v>
      </c>
      <c r="E120" t="s">
        <v>612</v>
      </c>
      <c r="F120">
        <v>3207.07</v>
      </c>
      <c r="H120" s="3">
        <f t="shared" si="30"/>
        <v>534.51166666666677</v>
      </c>
      <c r="K120">
        <v>119</v>
      </c>
      <c r="L120">
        <v>1</v>
      </c>
      <c r="M120">
        <v>1</v>
      </c>
      <c r="N120" s="16" t="s">
        <v>923</v>
      </c>
      <c r="O120" s="16" t="s">
        <v>886</v>
      </c>
      <c r="P120">
        <f>IFERROR(VLOOKUP(D120,tab!A:B,2,FALSE),1)</f>
        <v>72</v>
      </c>
      <c r="Q120" s="14" t="str">
        <f t="shared" si="27"/>
        <v>F.FA919842  Maillard caves + Raismes escalier principal</v>
      </c>
      <c r="R120">
        <f t="shared" si="28"/>
        <v>-3207.07</v>
      </c>
      <c r="S120">
        <v>20</v>
      </c>
      <c r="T120" s="13">
        <f t="shared" si="29"/>
        <v>534.51166666666677</v>
      </c>
      <c r="V120" t="s">
        <v>872</v>
      </c>
      <c r="W120" t="str">
        <f t="shared" si="31"/>
        <v>&lt;Valeur name="no"&gt;119&lt;/Valeur&gt;</v>
      </c>
      <c r="X120" t="str">
        <f t="shared" si="32"/>
        <v>&lt;Valeur name="societe"&gt;1&lt;/Valeur&gt;</v>
      </c>
      <c r="Y120" t="str">
        <f t="shared" si="33"/>
        <v>&lt;Valeur name="pointer"&gt;1&lt;/Valeur&gt;</v>
      </c>
      <c r="Z120" s="15" t="str">
        <f t="shared" si="34"/>
        <v>&lt;Valeur name="datevaleur"&gt;2019/05/31&lt;/Valeur&gt;</v>
      </c>
      <c r="AA120" s="15" t="str">
        <f t="shared" si="35"/>
        <v>&lt;Valeur name="datecompta"&gt;2019/04/15&lt;/Valeur&gt;</v>
      </c>
      <c r="AB120" s="15" t="str">
        <f t="shared" si="36"/>
        <v>&lt;Valeur name="compte"&gt;72&lt;/Valeur&gt;</v>
      </c>
      <c r="AC120" s="15" t="str">
        <f t="shared" si="37"/>
        <v>&lt;Valeur name="description"&gt;F.FA919842  Maillard caves + Raismes escalier principal&lt;/Valeur&gt;</v>
      </c>
      <c r="AD120" s="15" t="str">
        <f t="shared" si="38"/>
        <v>&lt;Valeur name="valeur"&gt;-3207.07&lt;/Valeur&gt;</v>
      </c>
      <c r="AE120" s="15" t="str">
        <f t="shared" si="39"/>
        <v>&lt;Valeur name="tvapct"&gt;20&lt;/Valeur&gt;</v>
      </c>
      <c r="AF120" s="15" t="str">
        <f t="shared" si="40"/>
        <v>&lt;Valeur name="tva"&gt;534.511666666667&lt;/Valeur&gt;</v>
      </c>
      <c r="AG120" s="15" t="s">
        <v>873</v>
      </c>
      <c r="AH120" s="15" t="str">
        <f t="shared" si="41"/>
        <v>&lt;Insert&gt;&lt;Valeur name="no"&gt;119&lt;/Valeur&gt;&lt;Valeur name="societe"&gt;1&lt;/Valeur&gt;&lt;Valeur name="pointer"&gt;1&lt;/Valeur&gt;&lt;Valeur name="datevaleur"&gt;2019/05/31&lt;/Valeur&gt;&lt;Valeur name="datecompta"&gt;2019/04/15&lt;/Valeur&gt;&lt;Valeur name="compte"&gt;72&lt;/Valeur&gt;&lt;Valeur name="description"&gt;F.FA919842  Maillard caves + Raismes escalier principal&lt;/Valeur&gt;&lt;Valeur name="valeur"&gt;-3207.07&lt;/Valeur&gt;&lt;Valeur name="tvapct"&gt;20&lt;/Valeur&gt;&lt;Valeur name="tva"&gt;534.511666666667&lt;/Valeur&gt;&lt;/Insert&gt;</v>
      </c>
    </row>
    <row r="121" spans="1:34" hidden="1" x14ac:dyDescent="0.25">
      <c r="A121" s="9">
        <v>43570</v>
      </c>
      <c r="B121" s="1">
        <v>43630</v>
      </c>
      <c r="C121" t="str">
        <f>INDEX(Balance!A:A,MATCH(D121,Balance!B:B,0))</f>
        <v>Fournisseurs</v>
      </c>
      <c r="D121" t="s">
        <v>613</v>
      </c>
      <c r="E121" t="s">
        <v>615</v>
      </c>
      <c r="F121">
        <v>31.75</v>
      </c>
      <c r="H121" s="3">
        <f t="shared" si="30"/>
        <v>5.2916666666666643</v>
      </c>
      <c r="K121">
        <v>120</v>
      </c>
      <c r="L121">
        <v>1</v>
      </c>
      <c r="M121">
        <v>1</v>
      </c>
      <c r="N121" s="16" t="s">
        <v>924</v>
      </c>
      <c r="O121" s="16" t="s">
        <v>886</v>
      </c>
      <c r="P121">
        <f>IFERROR(VLOOKUP(D121,tab!A:B,2,FALSE),1)</f>
        <v>62</v>
      </c>
      <c r="Q121" s="14" t="str">
        <f t="shared" si="27"/>
        <v>F.919029374</v>
      </c>
      <c r="R121">
        <f t="shared" si="28"/>
        <v>-31.75</v>
      </c>
      <c r="S121">
        <v>20</v>
      </c>
      <c r="T121" s="13">
        <f t="shared" si="29"/>
        <v>5.2916666666666643</v>
      </c>
      <c r="V121" t="s">
        <v>872</v>
      </c>
      <c r="W121" t="str">
        <f t="shared" si="31"/>
        <v>&lt;Valeur name="no"&gt;120&lt;/Valeur&gt;</v>
      </c>
      <c r="X121" t="str">
        <f t="shared" si="32"/>
        <v>&lt;Valeur name="societe"&gt;1&lt;/Valeur&gt;</v>
      </c>
      <c r="Y121" t="str">
        <f t="shared" si="33"/>
        <v>&lt;Valeur name="pointer"&gt;1&lt;/Valeur&gt;</v>
      </c>
      <c r="Z121" s="15" t="str">
        <f t="shared" si="34"/>
        <v>&lt;Valeur name="datevaleur"&gt;2019/06/14&lt;/Valeur&gt;</v>
      </c>
      <c r="AA121" s="15" t="str">
        <f t="shared" si="35"/>
        <v>&lt;Valeur name="datecompta"&gt;2019/04/15&lt;/Valeur&gt;</v>
      </c>
      <c r="AB121" s="15" t="str">
        <f t="shared" si="36"/>
        <v>&lt;Valeur name="compte"&gt;62&lt;/Valeur&gt;</v>
      </c>
      <c r="AC121" s="15" t="str">
        <f t="shared" si="37"/>
        <v>&lt;Valeur name="description"&gt;F.919029374&lt;/Valeur&gt;</v>
      </c>
      <c r="AD121" s="15" t="str">
        <f t="shared" si="38"/>
        <v>&lt;Valeur name="valeur"&gt;-31.75&lt;/Valeur&gt;</v>
      </c>
      <c r="AE121" s="15" t="str">
        <f t="shared" si="39"/>
        <v>&lt;Valeur name="tvapct"&gt;20&lt;/Valeur&gt;</v>
      </c>
      <c r="AF121" s="15" t="str">
        <f t="shared" si="40"/>
        <v>&lt;Valeur name="tva"&gt;5.29166666666666&lt;/Valeur&gt;</v>
      </c>
      <c r="AG121" s="15" t="s">
        <v>873</v>
      </c>
      <c r="AH121" s="15" t="str">
        <f t="shared" si="41"/>
        <v>&lt;Insert&gt;&lt;Valeur name="no"&gt;120&lt;/Valeur&gt;&lt;Valeur name="societe"&gt;1&lt;/Valeur&gt;&lt;Valeur name="pointer"&gt;1&lt;/Valeur&gt;&lt;Valeur name="datevaleur"&gt;2019/06/14&lt;/Valeur&gt;&lt;Valeur name="datecompta"&gt;2019/04/15&lt;/Valeur&gt;&lt;Valeur name="compte"&gt;62&lt;/Valeur&gt;&lt;Valeur name="description"&gt;F.919029374&lt;/Valeur&gt;&lt;Valeur name="valeur"&gt;-31.75&lt;/Valeur&gt;&lt;Valeur name="tvapct"&gt;20&lt;/Valeur&gt;&lt;Valeur name="tva"&gt;5.29166666666666&lt;/Valeur&gt;&lt;/Insert&gt;</v>
      </c>
    </row>
    <row r="122" spans="1:34" hidden="1" x14ac:dyDescent="0.25">
      <c r="A122" s="9">
        <v>43570</v>
      </c>
      <c r="B122" s="1">
        <v>43630</v>
      </c>
      <c r="C122" t="str">
        <f>INDEX(Balance!A:A,MATCH(D122,Balance!B:B,0))</f>
        <v>Fournisseurs</v>
      </c>
      <c r="D122" t="s">
        <v>277</v>
      </c>
      <c r="E122" t="s">
        <v>616</v>
      </c>
      <c r="F122">
        <v>96.78</v>
      </c>
      <c r="H122" s="3">
        <f t="shared" si="30"/>
        <v>16.129999999999995</v>
      </c>
      <c r="K122">
        <v>121</v>
      </c>
      <c r="L122">
        <v>1</v>
      </c>
      <c r="M122">
        <v>1</v>
      </c>
      <c r="N122" s="16" t="s">
        <v>924</v>
      </c>
      <c r="O122" s="16" t="s">
        <v>886</v>
      </c>
      <c r="P122">
        <f>IFERROR(VLOOKUP(D122,tab!A:B,2,FALSE),1)</f>
        <v>62</v>
      </c>
      <c r="Q122" s="14" t="str">
        <f t="shared" si="27"/>
        <v>F.919028763</v>
      </c>
      <c r="R122">
        <f t="shared" si="28"/>
        <v>-96.78</v>
      </c>
      <c r="S122">
        <v>20</v>
      </c>
      <c r="T122" s="13">
        <f t="shared" si="29"/>
        <v>16.129999999999995</v>
      </c>
      <c r="V122" t="s">
        <v>872</v>
      </c>
      <c r="W122" t="str">
        <f t="shared" si="31"/>
        <v>&lt;Valeur name="no"&gt;121&lt;/Valeur&gt;</v>
      </c>
      <c r="X122" t="str">
        <f t="shared" si="32"/>
        <v>&lt;Valeur name="societe"&gt;1&lt;/Valeur&gt;</v>
      </c>
      <c r="Y122" t="str">
        <f t="shared" si="33"/>
        <v>&lt;Valeur name="pointer"&gt;1&lt;/Valeur&gt;</v>
      </c>
      <c r="Z122" s="15" t="str">
        <f t="shared" si="34"/>
        <v>&lt;Valeur name="datevaleur"&gt;2019/06/14&lt;/Valeur&gt;</v>
      </c>
      <c r="AA122" s="15" t="str">
        <f t="shared" si="35"/>
        <v>&lt;Valeur name="datecompta"&gt;2019/04/15&lt;/Valeur&gt;</v>
      </c>
      <c r="AB122" s="15" t="str">
        <f t="shared" si="36"/>
        <v>&lt;Valeur name="compte"&gt;62&lt;/Valeur&gt;</v>
      </c>
      <c r="AC122" s="15" t="str">
        <f t="shared" si="37"/>
        <v>&lt;Valeur name="description"&gt;F.919028763&lt;/Valeur&gt;</v>
      </c>
      <c r="AD122" s="15" t="str">
        <f t="shared" si="38"/>
        <v>&lt;Valeur name="valeur"&gt;-96.78&lt;/Valeur&gt;</v>
      </c>
      <c r="AE122" s="15" t="str">
        <f t="shared" si="39"/>
        <v>&lt;Valeur name="tvapct"&gt;20&lt;/Valeur&gt;</v>
      </c>
      <c r="AF122" s="15" t="str">
        <f t="shared" si="40"/>
        <v>&lt;Valeur name="tva"&gt;16.13&lt;/Valeur&gt;</v>
      </c>
      <c r="AG122" s="15" t="s">
        <v>873</v>
      </c>
      <c r="AH122" s="15" t="str">
        <f t="shared" si="41"/>
        <v>&lt;Insert&gt;&lt;Valeur name="no"&gt;121&lt;/Valeur&gt;&lt;Valeur name="societe"&gt;1&lt;/Valeur&gt;&lt;Valeur name="pointer"&gt;1&lt;/Valeur&gt;&lt;Valeur name="datevaleur"&gt;2019/06/14&lt;/Valeur&gt;&lt;Valeur name="datecompta"&gt;2019/04/15&lt;/Valeur&gt;&lt;Valeur name="compte"&gt;62&lt;/Valeur&gt;&lt;Valeur name="description"&gt;F.919028763&lt;/Valeur&gt;&lt;Valeur name="valeur"&gt;-96.78&lt;/Valeur&gt;&lt;Valeur name="tvapct"&gt;20&lt;/Valeur&gt;&lt;Valeur name="tva"&gt;16.13&lt;/Valeur&gt;&lt;/Insert&gt;</v>
      </c>
    </row>
    <row r="123" spans="1:34" hidden="1" x14ac:dyDescent="0.25">
      <c r="A123" s="9">
        <v>43571</v>
      </c>
      <c r="B123" s="1">
        <v>43631</v>
      </c>
      <c r="C123" t="str">
        <f>INDEX(Balance!A:A,MATCH(D123,Balance!B:B,0))</f>
        <v>Fournisseurs</v>
      </c>
      <c r="D123" t="s">
        <v>262</v>
      </c>
      <c r="E123" t="s">
        <v>617</v>
      </c>
      <c r="F123">
        <v>246.6</v>
      </c>
      <c r="H123" s="3">
        <f t="shared" si="30"/>
        <v>41.099999999999994</v>
      </c>
      <c r="K123">
        <v>122</v>
      </c>
      <c r="L123">
        <v>1</v>
      </c>
      <c r="M123">
        <v>1</v>
      </c>
      <c r="N123" s="16" t="s">
        <v>919</v>
      </c>
      <c r="O123" s="16" t="s">
        <v>925</v>
      </c>
      <c r="P123">
        <f>IFERROR(VLOOKUP(D123,tab!A:B,2,FALSE),1)</f>
        <v>65</v>
      </c>
      <c r="Q123" s="14" t="str">
        <f t="shared" si="27"/>
        <v xml:space="preserve">F.52338 </v>
      </c>
      <c r="R123">
        <f t="shared" si="28"/>
        <v>-246.6</v>
      </c>
      <c r="S123">
        <v>20</v>
      </c>
      <c r="T123" s="13">
        <f t="shared" si="29"/>
        <v>41.099999999999994</v>
      </c>
      <c r="V123" t="s">
        <v>872</v>
      </c>
      <c r="W123" t="str">
        <f t="shared" si="31"/>
        <v>&lt;Valeur name="no"&gt;122&lt;/Valeur&gt;</v>
      </c>
      <c r="X123" t="str">
        <f t="shared" si="32"/>
        <v>&lt;Valeur name="societe"&gt;1&lt;/Valeur&gt;</v>
      </c>
      <c r="Y123" t="str">
        <f t="shared" si="33"/>
        <v>&lt;Valeur name="pointer"&gt;1&lt;/Valeur&gt;</v>
      </c>
      <c r="Z123" s="15" t="str">
        <f t="shared" si="34"/>
        <v>&lt;Valeur name="datevaleur"&gt;2019/06/15&lt;/Valeur&gt;</v>
      </c>
      <c r="AA123" s="15" t="str">
        <f t="shared" si="35"/>
        <v>&lt;Valeur name="datecompta"&gt;2019/04/16&lt;/Valeur&gt;</v>
      </c>
      <c r="AB123" s="15" t="str">
        <f t="shared" si="36"/>
        <v>&lt;Valeur name="compte"&gt;65&lt;/Valeur&gt;</v>
      </c>
      <c r="AC123" s="15" t="str">
        <f t="shared" si="37"/>
        <v>&lt;Valeur name="description"&gt;F.52338 &lt;/Valeur&gt;</v>
      </c>
      <c r="AD123" s="15" t="str">
        <f t="shared" si="38"/>
        <v>&lt;Valeur name="valeur"&gt;-246.6&lt;/Valeur&gt;</v>
      </c>
      <c r="AE123" s="15" t="str">
        <f t="shared" si="39"/>
        <v>&lt;Valeur name="tvapct"&gt;20&lt;/Valeur&gt;</v>
      </c>
      <c r="AF123" s="15" t="str">
        <f t="shared" si="40"/>
        <v>&lt;Valeur name="tva"&gt;41.1&lt;/Valeur&gt;</v>
      </c>
      <c r="AG123" s="15" t="s">
        <v>873</v>
      </c>
      <c r="AH123" s="15" t="str">
        <f t="shared" si="41"/>
        <v>&lt;Insert&gt;&lt;Valeur name="no"&gt;122&lt;/Valeur&gt;&lt;Valeur name="societe"&gt;1&lt;/Valeur&gt;&lt;Valeur name="pointer"&gt;1&lt;/Valeur&gt;&lt;Valeur name="datevaleur"&gt;2019/06/15&lt;/Valeur&gt;&lt;Valeur name="datecompta"&gt;2019/04/16&lt;/Valeur&gt;&lt;Valeur name="compte"&gt;65&lt;/Valeur&gt;&lt;Valeur name="description"&gt;F.52338 &lt;/Valeur&gt;&lt;Valeur name="valeur"&gt;-246.6&lt;/Valeur&gt;&lt;Valeur name="tvapct"&gt;20&lt;/Valeur&gt;&lt;Valeur name="tva"&gt;41.1&lt;/Valeur&gt;&lt;/Insert&gt;</v>
      </c>
    </row>
    <row r="124" spans="1:34" hidden="1" x14ac:dyDescent="0.25">
      <c r="A124" s="9">
        <v>43553</v>
      </c>
      <c r="B124" s="1">
        <v>43585</v>
      </c>
      <c r="C124" t="str">
        <f>INDEX(Balance!A:A,MATCH(D124,Balance!B:B,0))</f>
        <v>Fournisseurs</v>
      </c>
      <c r="D124" t="s">
        <v>291</v>
      </c>
      <c r="E124" t="s">
        <v>648</v>
      </c>
      <c r="F124">
        <v>204</v>
      </c>
      <c r="H124" s="3">
        <f t="shared" si="30"/>
        <v>34</v>
      </c>
      <c r="K124">
        <v>123</v>
      </c>
      <c r="L124">
        <v>1</v>
      </c>
      <c r="M124">
        <v>1</v>
      </c>
      <c r="N124" s="16" t="s">
        <v>882</v>
      </c>
      <c r="O124" s="16" t="s">
        <v>888</v>
      </c>
      <c r="P124">
        <f>IFERROR(VLOOKUP(D124,tab!A:B,2,FALSE),1)</f>
        <v>71</v>
      </c>
      <c r="Q124" s="14" t="str">
        <f t="shared" si="27"/>
        <v>F.0306/19 pliage tôle Thery + pliage tôles larmées Anor (x2)</v>
      </c>
      <c r="R124">
        <f t="shared" si="28"/>
        <v>-204</v>
      </c>
      <c r="S124">
        <v>20</v>
      </c>
      <c r="T124" s="13">
        <f t="shared" si="29"/>
        <v>34</v>
      </c>
      <c r="V124" t="s">
        <v>872</v>
      </c>
      <c r="W124" t="str">
        <f t="shared" si="31"/>
        <v>&lt;Valeur name="no"&gt;123&lt;/Valeur&gt;</v>
      </c>
      <c r="X124" t="str">
        <f t="shared" si="32"/>
        <v>&lt;Valeur name="societe"&gt;1&lt;/Valeur&gt;</v>
      </c>
      <c r="Y124" t="str">
        <f t="shared" si="33"/>
        <v>&lt;Valeur name="pointer"&gt;1&lt;/Valeur&gt;</v>
      </c>
      <c r="Z124" s="15" t="str">
        <f t="shared" si="34"/>
        <v>&lt;Valeur name="datevaleur"&gt;2019/04/30&lt;/Valeur&gt;</v>
      </c>
      <c r="AA124" s="15" t="str">
        <f t="shared" si="35"/>
        <v>&lt;Valeur name="datecompta"&gt;2019/03/29&lt;/Valeur&gt;</v>
      </c>
      <c r="AB124" s="15" t="str">
        <f t="shared" si="36"/>
        <v>&lt;Valeur name="compte"&gt;71&lt;/Valeur&gt;</v>
      </c>
      <c r="AC124" s="15" t="str">
        <f t="shared" si="37"/>
        <v>&lt;Valeur name="description"&gt;F.0306/19 pliage tôle Thery + pliage tôles larmées Anor (x2)&lt;/Valeur&gt;</v>
      </c>
      <c r="AD124" s="15" t="str">
        <f t="shared" si="38"/>
        <v>&lt;Valeur name="valeur"&gt;-204&lt;/Valeur&gt;</v>
      </c>
      <c r="AE124" s="15" t="str">
        <f t="shared" si="39"/>
        <v>&lt;Valeur name="tvapct"&gt;20&lt;/Valeur&gt;</v>
      </c>
      <c r="AF124" s="15" t="str">
        <f t="shared" si="40"/>
        <v>&lt;Valeur name="tva"&gt;34&lt;/Valeur&gt;</v>
      </c>
      <c r="AG124" s="15" t="s">
        <v>873</v>
      </c>
      <c r="AH124" s="15" t="str">
        <f t="shared" si="41"/>
        <v>&lt;Insert&gt;&lt;Valeur name="no"&gt;123&lt;/Valeur&gt;&lt;Valeur name="societe"&gt;1&lt;/Valeur&gt;&lt;Valeur name="pointer"&gt;1&lt;/Valeur&gt;&lt;Valeur name="datevaleur"&gt;2019/04/30&lt;/Valeur&gt;&lt;Valeur name="datecompta"&gt;2019/03/29&lt;/Valeur&gt;&lt;Valeur name="compte"&gt;71&lt;/Valeur&gt;&lt;Valeur name="description"&gt;F.0306/19 pliage tôle Thery + pliage tôles larmées Anor (x2)&lt;/Valeur&gt;&lt;Valeur name="valeur"&gt;-204&lt;/Valeur&gt;&lt;Valeur name="tvapct"&gt;20&lt;/Valeur&gt;&lt;Valeur name="tva"&gt;34&lt;/Valeur&gt;&lt;/Insert&gt;</v>
      </c>
    </row>
    <row r="125" spans="1:34" hidden="1" x14ac:dyDescent="0.25">
      <c r="A125" s="9">
        <v>43585</v>
      </c>
      <c r="B125" s="1">
        <v>43632</v>
      </c>
      <c r="C125" t="str">
        <f>INDEX(Balance!A:A,MATCH(D125,Balance!B:B,0))</f>
        <v>Fournisseurs</v>
      </c>
      <c r="D125" t="s">
        <v>262</v>
      </c>
      <c r="E125" t="s">
        <v>681</v>
      </c>
      <c r="F125">
        <v>507.01</v>
      </c>
      <c r="H125" s="3">
        <f t="shared" si="30"/>
        <v>84.501666666666665</v>
      </c>
      <c r="K125">
        <v>124</v>
      </c>
      <c r="L125">
        <v>1</v>
      </c>
      <c r="M125">
        <v>1</v>
      </c>
      <c r="N125" s="16" t="s">
        <v>926</v>
      </c>
      <c r="O125" s="16" t="s">
        <v>882</v>
      </c>
      <c r="P125">
        <f>IFERROR(VLOOKUP(D125,tab!A:B,2,FALSE),1)</f>
        <v>65</v>
      </c>
      <c r="Q125" s="14" t="str">
        <f t="shared" si="27"/>
        <v>F.52434 escalier Anor + stockage Maillard + transport</v>
      </c>
      <c r="R125">
        <f t="shared" si="28"/>
        <v>-507.01</v>
      </c>
      <c r="S125">
        <v>20</v>
      </c>
      <c r="T125" s="13">
        <f t="shared" si="29"/>
        <v>84.501666666666665</v>
      </c>
      <c r="V125" t="s">
        <v>872</v>
      </c>
      <c r="W125" t="str">
        <f t="shared" si="31"/>
        <v>&lt;Valeur name="no"&gt;124&lt;/Valeur&gt;</v>
      </c>
      <c r="X125" t="str">
        <f t="shared" si="32"/>
        <v>&lt;Valeur name="societe"&gt;1&lt;/Valeur&gt;</v>
      </c>
      <c r="Y125" t="str">
        <f t="shared" si="33"/>
        <v>&lt;Valeur name="pointer"&gt;1&lt;/Valeur&gt;</v>
      </c>
      <c r="Z125" s="15" t="str">
        <f t="shared" si="34"/>
        <v>&lt;Valeur name="datevaleur"&gt;2019/06/16&lt;/Valeur&gt;</v>
      </c>
      <c r="AA125" s="15" t="str">
        <f t="shared" si="35"/>
        <v>&lt;Valeur name="datecompta"&gt;2019/04/30&lt;/Valeur&gt;</v>
      </c>
      <c r="AB125" s="15" t="str">
        <f t="shared" si="36"/>
        <v>&lt;Valeur name="compte"&gt;65&lt;/Valeur&gt;</v>
      </c>
      <c r="AC125" s="15" t="str">
        <f t="shared" si="37"/>
        <v>&lt;Valeur name="description"&gt;F.52434 escalier Anor + stockage Maillard + transport&lt;/Valeur&gt;</v>
      </c>
      <c r="AD125" s="15" t="str">
        <f t="shared" si="38"/>
        <v>&lt;Valeur name="valeur"&gt;-507.01&lt;/Valeur&gt;</v>
      </c>
      <c r="AE125" s="15" t="str">
        <f t="shared" si="39"/>
        <v>&lt;Valeur name="tvapct"&gt;20&lt;/Valeur&gt;</v>
      </c>
      <c r="AF125" s="15" t="str">
        <f t="shared" si="40"/>
        <v>&lt;Valeur name="tva"&gt;84.5016666666667&lt;/Valeur&gt;</v>
      </c>
      <c r="AG125" s="15" t="s">
        <v>873</v>
      </c>
      <c r="AH125" s="15" t="str">
        <f t="shared" si="41"/>
        <v>&lt;Insert&gt;&lt;Valeur name="no"&gt;124&lt;/Valeur&gt;&lt;Valeur name="societe"&gt;1&lt;/Valeur&gt;&lt;Valeur name="pointer"&gt;1&lt;/Valeur&gt;&lt;Valeur name="datevaleur"&gt;2019/06/16&lt;/Valeur&gt;&lt;Valeur name="datecompta"&gt;2019/04/30&lt;/Valeur&gt;&lt;Valeur name="compte"&gt;65&lt;/Valeur&gt;&lt;Valeur name="description"&gt;F.52434 escalier Anor + stockage Maillard + transport&lt;/Valeur&gt;&lt;Valeur name="valeur"&gt;-507.01&lt;/Valeur&gt;&lt;Valeur name="tvapct"&gt;20&lt;/Valeur&gt;&lt;Valeur name="tva"&gt;84.5016666666667&lt;/Valeur&gt;&lt;/Insert&gt;</v>
      </c>
    </row>
    <row r="126" spans="1:34" hidden="1" x14ac:dyDescent="0.25">
      <c r="A126" s="9">
        <v>43585</v>
      </c>
      <c r="B126" s="1">
        <v>43615</v>
      </c>
      <c r="C126" t="str">
        <f>INDEX(Balance!A:A,MATCH(D126,Balance!B:B,0))</f>
        <v>Fournisseurs</v>
      </c>
      <c r="D126" t="s">
        <v>261</v>
      </c>
      <c r="E126" t="s">
        <v>682</v>
      </c>
      <c r="F126">
        <v>252</v>
      </c>
      <c r="H126" s="3">
        <f t="shared" si="30"/>
        <v>42</v>
      </c>
      <c r="K126">
        <v>125</v>
      </c>
      <c r="L126">
        <v>1</v>
      </c>
      <c r="M126">
        <v>1</v>
      </c>
      <c r="N126" s="16" t="s">
        <v>897</v>
      </c>
      <c r="O126" s="16" t="s">
        <v>882</v>
      </c>
      <c r="P126">
        <f>IFERROR(VLOOKUP(D126,tab!A:B,2,FALSE),1)</f>
        <v>53</v>
      </c>
      <c r="Q126" s="14" t="str">
        <f t="shared" si="27"/>
        <v>F.19250 Gdc Mcb</v>
      </c>
      <c r="R126">
        <f t="shared" si="28"/>
        <v>-252</v>
      </c>
      <c r="S126">
        <v>20</v>
      </c>
      <c r="T126" s="13">
        <f t="shared" si="29"/>
        <v>42</v>
      </c>
      <c r="V126" t="s">
        <v>872</v>
      </c>
      <c r="W126" t="str">
        <f t="shared" si="31"/>
        <v>&lt;Valeur name="no"&gt;125&lt;/Valeur&gt;</v>
      </c>
      <c r="X126" t="str">
        <f t="shared" si="32"/>
        <v>&lt;Valeur name="societe"&gt;1&lt;/Valeur&gt;</v>
      </c>
      <c r="Y126" t="str">
        <f t="shared" si="33"/>
        <v>&lt;Valeur name="pointer"&gt;1&lt;/Valeur&gt;</v>
      </c>
      <c r="Z126" s="15" t="str">
        <f t="shared" si="34"/>
        <v>&lt;Valeur name="datevaleur"&gt;2019/05/30&lt;/Valeur&gt;</v>
      </c>
      <c r="AA126" s="15" t="str">
        <f t="shared" si="35"/>
        <v>&lt;Valeur name="datecompta"&gt;2019/04/30&lt;/Valeur&gt;</v>
      </c>
      <c r="AB126" s="15" t="str">
        <f t="shared" si="36"/>
        <v>&lt;Valeur name="compte"&gt;53&lt;/Valeur&gt;</v>
      </c>
      <c r="AC126" s="15" t="str">
        <f t="shared" si="37"/>
        <v>&lt;Valeur name="description"&gt;F.19250 Gdc Mcb&lt;/Valeur&gt;</v>
      </c>
      <c r="AD126" s="15" t="str">
        <f t="shared" si="38"/>
        <v>&lt;Valeur name="valeur"&gt;-252&lt;/Valeur&gt;</v>
      </c>
      <c r="AE126" s="15" t="str">
        <f t="shared" si="39"/>
        <v>&lt;Valeur name="tvapct"&gt;20&lt;/Valeur&gt;</v>
      </c>
      <c r="AF126" s="15" t="str">
        <f t="shared" si="40"/>
        <v>&lt;Valeur name="tva"&gt;42&lt;/Valeur&gt;</v>
      </c>
      <c r="AG126" s="15" t="s">
        <v>873</v>
      </c>
      <c r="AH126" s="15" t="str">
        <f t="shared" si="41"/>
        <v>&lt;Insert&gt;&lt;Valeur name="no"&gt;125&lt;/Valeur&gt;&lt;Valeur name="societe"&gt;1&lt;/Valeur&gt;&lt;Valeur name="pointer"&gt;1&lt;/Valeur&gt;&lt;Valeur name="datevaleur"&gt;2019/05/30&lt;/Valeur&gt;&lt;Valeur name="datecompta"&gt;2019/04/30&lt;/Valeur&gt;&lt;Valeur name="compte"&gt;53&lt;/Valeur&gt;&lt;Valeur name="description"&gt;F.19250 Gdc Mcb&lt;/Valeur&gt;&lt;Valeur name="valeur"&gt;-252&lt;/Valeur&gt;&lt;Valeur name="tvapct"&gt;20&lt;/Valeur&gt;&lt;Valeur name="tva"&gt;42&lt;/Valeur&gt;&lt;/Insert&gt;</v>
      </c>
    </row>
    <row r="127" spans="1:34" hidden="1" x14ac:dyDescent="0.25">
      <c r="A127" s="9">
        <v>43585</v>
      </c>
      <c r="B127" s="1">
        <v>43615</v>
      </c>
      <c r="C127" t="str">
        <f>INDEX(Balance!A:A,MATCH(D127,Balance!B:B,0))</f>
        <v>Fournisseurs</v>
      </c>
      <c r="D127" t="s">
        <v>261</v>
      </c>
      <c r="E127" t="s">
        <v>711</v>
      </c>
      <c r="F127">
        <v>780</v>
      </c>
      <c r="H127" s="3">
        <f t="shared" si="30"/>
        <v>130</v>
      </c>
      <c r="K127">
        <v>126</v>
      </c>
      <c r="L127">
        <v>1</v>
      </c>
      <c r="M127">
        <v>1</v>
      </c>
      <c r="N127" s="16" t="s">
        <v>897</v>
      </c>
      <c r="O127" s="16" t="s">
        <v>882</v>
      </c>
      <c r="P127">
        <f>IFERROR(VLOOKUP(D127,tab!A:B,2,FALSE),1)</f>
        <v>53</v>
      </c>
      <c r="Q127" s="14" t="str">
        <f t="shared" si="27"/>
        <v>F.19251 Main courantes Thery Int. + Pied Maxime + Tôle STTN</v>
      </c>
      <c r="R127">
        <f t="shared" si="28"/>
        <v>-780</v>
      </c>
      <c r="S127">
        <v>20</v>
      </c>
      <c r="T127" s="13">
        <f t="shared" si="29"/>
        <v>130</v>
      </c>
      <c r="V127" t="s">
        <v>872</v>
      </c>
      <c r="W127" t="str">
        <f t="shared" si="31"/>
        <v>&lt;Valeur name="no"&gt;126&lt;/Valeur&gt;</v>
      </c>
      <c r="X127" t="str">
        <f t="shared" si="32"/>
        <v>&lt;Valeur name="societe"&gt;1&lt;/Valeur&gt;</v>
      </c>
      <c r="Y127" t="str">
        <f t="shared" si="33"/>
        <v>&lt;Valeur name="pointer"&gt;1&lt;/Valeur&gt;</v>
      </c>
      <c r="Z127" s="15" t="str">
        <f t="shared" si="34"/>
        <v>&lt;Valeur name="datevaleur"&gt;2019/05/30&lt;/Valeur&gt;</v>
      </c>
      <c r="AA127" s="15" t="str">
        <f t="shared" si="35"/>
        <v>&lt;Valeur name="datecompta"&gt;2019/04/30&lt;/Valeur&gt;</v>
      </c>
      <c r="AB127" s="15" t="str">
        <f t="shared" si="36"/>
        <v>&lt;Valeur name="compte"&gt;53&lt;/Valeur&gt;</v>
      </c>
      <c r="AC127" s="15" t="str">
        <f t="shared" si="37"/>
        <v>&lt;Valeur name="description"&gt;F.19251 Main courantes Thery Int. + Pied Maxime + Tôle STTN&lt;/Valeur&gt;</v>
      </c>
      <c r="AD127" s="15" t="str">
        <f t="shared" si="38"/>
        <v>&lt;Valeur name="valeur"&gt;-780&lt;/Valeur&gt;</v>
      </c>
      <c r="AE127" s="15" t="str">
        <f t="shared" si="39"/>
        <v>&lt;Valeur name="tvapct"&gt;20&lt;/Valeur&gt;</v>
      </c>
      <c r="AF127" s="15" t="str">
        <f t="shared" si="40"/>
        <v>&lt;Valeur name="tva"&gt;130&lt;/Valeur&gt;</v>
      </c>
      <c r="AG127" s="15" t="s">
        <v>873</v>
      </c>
      <c r="AH127" s="15" t="str">
        <f t="shared" si="41"/>
        <v>&lt;Insert&gt;&lt;Valeur name="no"&gt;126&lt;/Valeur&gt;&lt;Valeur name="societe"&gt;1&lt;/Valeur&gt;&lt;Valeur name="pointer"&gt;1&lt;/Valeur&gt;&lt;Valeur name="datevaleur"&gt;2019/05/30&lt;/Valeur&gt;&lt;Valeur name="datecompta"&gt;2019/04/30&lt;/Valeur&gt;&lt;Valeur name="compte"&gt;53&lt;/Valeur&gt;&lt;Valeur name="description"&gt;F.19251 Main courantes Thery Int. + Pied Maxime + Tôle STTN&lt;/Valeur&gt;&lt;Valeur name="valeur"&gt;-780&lt;/Valeur&gt;&lt;Valeur name="tvapct"&gt;20&lt;/Valeur&gt;&lt;Valeur name="tva"&gt;130&lt;/Valeur&gt;&lt;/Insert&gt;</v>
      </c>
    </row>
    <row r="128" spans="1:34" hidden="1" x14ac:dyDescent="0.25">
      <c r="A128" s="9">
        <v>43585</v>
      </c>
      <c r="B128" s="1">
        <v>43615</v>
      </c>
      <c r="C128" t="str">
        <f>INDEX(Balance!A:A,MATCH(D128,Balance!B:B,0))</f>
        <v>Fournisseurs</v>
      </c>
      <c r="D128" t="s">
        <v>261</v>
      </c>
      <c r="E128" t="s">
        <v>683</v>
      </c>
      <c r="F128">
        <v>936</v>
      </c>
      <c r="H128" s="3">
        <f t="shared" si="30"/>
        <v>156</v>
      </c>
      <c r="K128">
        <v>127</v>
      </c>
      <c r="L128">
        <v>1</v>
      </c>
      <c r="M128">
        <v>1</v>
      </c>
      <c r="N128" s="16" t="s">
        <v>897</v>
      </c>
      <c r="O128" s="16" t="s">
        <v>882</v>
      </c>
      <c r="P128">
        <f>IFERROR(VLOOKUP(D128,tab!A:B,2,FALSE),1)</f>
        <v>53</v>
      </c>
      <c r="Q128" s="14" t="str">
        <f t="shared" si="27"/>
        <v>F.19249 Ferme d'en haut</v>
      </c>
      <c r="R128">
        <f t="shared" si="28"/>
        <v>-936</v>
      </c>
      <c r="S128">
        <v>20</v>
      </c>
      <c r="T128" s="13">
        <f t="shared" si="29"/>
        <v>156</v>
      </c>
      <c r="V128" t="s">
        <v>872</v>
      </c>
      <c r="W128" t="str">
        <f t="shared" si="31"/>
        <v>&lt;Valeur name="no"&gt;127&lt;/Valeur&gt;</v>
      </c>
      <c r="X128" t="str">
        <f t="shared" si="32"/>
        <v>&lt;Valeur name="societe"&gt;1&lt;/Valeur&gt;</v>
      </c>
      <c r="Y128" t="str">
        <f t="shared" si="33"/>
        <v>&lt;Valeur name="pointer"&gt;1&lt;/Valeur&gt;</v>
      </c>
      <c r="Z128" s="15" t="str">
        <f t="shared" si="34"/>
        <v>&lt;Valeur name="datevaleur"&gt;2019/05/30&lt;/Valeur&gt;</v>
      </c>
      <c r="AA128" s="15" t="str">
        <f t="shared" si="35"/>
        <v>&lt;Valeur name="datecompta"&gt;2019/04/30&lt;/Valeur&gt;</v>
      </c>
      <c r="AB128" s="15" t="str">
        <f t="shared" si="36"/>
        <v>&lt;Valeur name="compte"&gt;53&lt;/Valeur&gt;</v>
      </c>
      <c r="AC128" s="15" t="str">
        <f t="shared" si="37"/>
        <v>&lt;Valeur name="description"&gt;F.19249 Ferme d'en haut&lt;/Valeur&gt;</v>
      </c>
      <c r="AD128" s="15" t="str">
        <f t="shared" si="38"/>
        <v>&lt;Valeur name="valeur"&gt;-936&lt;/Valeur&gt;</v>
      </c>
      <c r="AE128" s="15" t="str">
        <f t="shared" si="39"/>
        <v>&lt;Valeur name="tvapct"&gt;20&lt;/Valeur&gt;</v>
      </c>
      <c r="AF128" s="15" t="str">
        <f t="shared" si="40"/>
        <v>&lt;Valeur name="tva"&gt;156&lt;/Valeur&gt;</v>
      </c>
      <c r="AG128" s="15" t="s">
        <v>873</v>
      </c>
      <c r="AH128" s="15" t="str">
        <f t="shared" si="41"/>
        <v>&lt;Insert&gt;&lt;Valeur name="no"&gt;127&lt;/Valeur&gt;&lt;Valeur name="societe"&gt;1&lt;/Valeur&gt;&lt;Valeur name="pointer"&gt;1&lt;/Valeur&gt;&lt;Valeur name="datevaleur"&gt;2019/05/30&lt;/Valeur&gt;&lt;Valeur name="datecompta"&gt;2019/04/30&lt;/Valeur&gt;&lt;Valeur name="compte"&gt;53&lt;/Valeur&gt;&lt;Valeur name="description"&gt;F.19249 Ferme d'en haut&lt;/Valeur&gt;&lt;Valeur name="valeur"&gt;-936&lt;/Valeur&gt;&lt;Valeur name="tvapct"&gt;20&lt;/Valeur&gt;&lt;Valeur name="tva"&gt;156&lt;/Valeur&gt;&lt;/Insert&gt;</v>
      </c>
    </row>
    <row r="129" spans="1:34" hidden="1" x14ac:dyDescent="0.25">
      <c r="A129" s="9">
        <v>43585</v>
      </c>
      <c r="B129" s="1">
        <v>43630</v>
      </c>
      <c r="C129" t="str">
        <f>INDEX(Balance!A:A,MATCH(D129,Balance!B:B,0))</f>
        <v>Fournisseurs</v>
      </c>
      <c r="D129" t="s">
        <v>270</v>
      </c>
      <c r="E129" t="s">
        <v>684</v>
      </c>
      <c r="F129">
        <v>491.64</v>
      </c>
      <c r="H129" s="3">
        <f t="shared" si="30"/>
        <v>81.94</v>
      </c>
      <c r="K129">
        <v>128</v>
      </c>
      <c r="L129">
        <v>1</v>
      </c>
      <c r="M129">
        <v>1</v>
      </c>
      <c r="N129" s="16" t="s">
        <v>924</v>
      </c>
      <c r="O129" s="16" t="s">
        <v>882</v>
      </c>
      <c r="P129">
        <f>IFERROR(VLOOKUP(D129,tab!A:B,2,FALSE),1)</f>
        <v>110</v>
      </c>
      <c r="Q129" s="14" t="str">
        <f t="shared" si="27"/>
        <v>FA6107 15.92TTC + FA6106 115.44TTC + FA6105 360.28TTC    LCR</v>
      </c>
      <c r="R129">
        <f t="shared" si="28"/>
        <v>-491.64</v>
      </c>
      <c r="S129">
        <v>20</v>
      </c>
      <c r="T129" s="13">
        <f t="shared" si="29"/>
        <v>81.94</v>
      </c>
      <c r="V129" t="s">
        <v>872</v>
      </c>
      <c r="W129" t="str">
        <f t="shared" si="31"/>
        <v>&lt;Valeur name="no"&gt;128&lt;/Valeur&gt;</v>
      </c>
      <c r="X129" t="str">
        <f t="shared" si="32"/>
        <v>&lt;Valeur name="societe"&gt;1&lt;/Valeur&gt;</v>
      </c>
      <c r="Y129" t="str">
        <f t="shared" si="33"/>
        <v>&lt;Valeur name="pointer"&gt;1&lt;/Valeur&gt;</v>
      </c>
      <c r="Z129" s="15" t="str">
        <f t="shared" si="34"/>
        <v>&lt;Valeur name="datevaleur"&gt;2019/06/14&lt;/Valeur&gt;</v>
      </c>
      <c r="AA129" s="15" t="str">
        <f t="shared" si="35"/>
        <v>&lt;Valeur name="datecompta"&gt;2019/04/30&lt;/Valeur&gt;</v>
      </c>
      <c r="AB129" s="15" t="str">
        <f t="shared" si="36"/>
        <v>&lt;Valeur name="compte"&gt;110&lt;/Valeur&gt;</v>
      </c>
      <c r="AC129" s="15" t="str">
        <f t="shared" si="37"/>
        <v>&lt;Valeur name="description"&gt;FA6107 15.92TTC + FA6106 115.44TTC + FA6105 360.28TTC    LCR&lt;/Valeur&gt;</v>
      </c>
      <c r="AD129" s="15" t="str">
        <f t="shared" si="38"/>
        <v>&lt;Valeur name="valeur"&gt;-491.64&lt;/Valeur&gt;</v>
      </c>
      <c r="AE129" s="15" t="str">
        <f t="shared" si="39"/>
        <v>&lt;Valeur name="tvapct"&gt;20&lt;/Valeur&gt;</v>
      </c>
      <c r="AF129" s="15" t="str">
        <f t="shared" si="40"/>
        <v>&lt;Valeur name="tva"&gt;81.94&lt;/Valeur&gt;</v>
      </c>
      <c r="AG129" s="15" t="s">
        <v>873</v>
      </c>
      <c r="AH129" s="15" t="str">
        <f t="shared" si="41"/>
        <v>&lt;Insert&gt;&lt;Valeur name="no"&gt;128&lt;/Valeur&gt;&lt;Valeur name="societe"&gt;1&lt;/Valeur&gt;&lt;Valeur name="pointer"&gt;1&lt;/Valeur&gt;&lt;Valeur name="datevaleur"&gt;2019/06/14&lt;/Valeur&gt;&lt;Valeur name="datecompta"&gt;2019/04/30&lt;/Valeur&gt;&lt;Valeur name="compte"&gt;110&lt;/Valeur&gt;&lt;Valeur name="description"&gt;FA6107 15.92TTC + FA6106 115.44TTC + FA6105 360.28TTC    LCR&lt;/Valeur&gt;&lt;Valeur name="valeur"&gt;-491.64&lt;/Valeur&gt;&lt;Valeur name="tvapct"&gt;20&lt;/Valeur&gt;&lt;Valeur name="tva"&gt;81.94&lt;/Valeur&gt;&lt;/Insert&gt;</v>
      </c>
    </row>
    <row r="130" spans="1:34" hidden="1" x14ac:dyDescent="0.25">
      <c r="A130" s="9">
        <v>43585</v>
      </c>
      <c r="B130" s="1">
        <v>43615</v>
      </c>
      <c r="C130" t="str">
        <f>INDEX(Balance!A:A,MATCH(D130,Balance!B:B,0))</f>
        <v>Fournisseurs</v>
      </c>
      <c r="D130" t="s">
        <v>259</v>
      </c>
      <c r="E130" t="s">
        <v>685</v>
      </c>
      <c r="F130">
        <v>1044.72</v>
      </c>
      <c r="H130" s="3">
        <f t="shared" si="30"/>
        <v>174.12</v>
      </c>
      <c r="K130">
        <v>129</v>
      </c>
      <c r="L130">
        <v>1</v>
      </c>
      <c r="M130">
        <v>1</v>
      </c>
      <c r="N130" s="16" t="s">
        <v>897</v>
      </c>
      <c r="O130" s="16" t="s">
        <v>882</v>
      </c>
      <c r="P130">
        <f>IFERROR(VLOOKUP(D130,tab!A:B,2,FALSE),1)</f>
        <v>72</v>
      </c>
      <c r="Q130" s="14" t="str">
        <f t="shared" si="27"/>
        <v>FA920486  Local Poubelle + long separatif courette  Maillard</v>
      </c>
      <c r="R130">
        <f t="shared" si="28"/>
        <v>-1044.72</v>
      </c>
      <c r="S130">
        <v>20</v>
      </c>
      <c r="T130" s="13">
        <f t="shared" si="29"/>
        <v>174.12</v>
      </c>
      <c r="V130" t="s">
        <v>872</v>
      </c>
      <c r="W130" t="str">
        <f t="shared" si="31"/>
        <v>&lt;Valeur name="no"&gt;129&lt;/Valeur&gt;</v>
      </c>
      <c r="X130" t="str">
        <f t="shared" si="32"/>
        <v>&lt;Valeur name="societe"&gt;1&lt;/Valeur&gt;</v>
      </c>
      <c r="Y130" t="str">
        <f t="shared" si="33"/>
        <v>&lt;Valeur name="pointer"&gt;1&lt;/Valeur&gt;</v>
      </c>
      <c r="Z130" s="15" t="str">
        <f t="shared" si="34"/>
        <v>&lt;Valeur name="datevaleur"&gt;2019/05/30&lt;/Valeur&gt;</v>
      </c>
      <c r="AA130" s="15" t="str">
        <f t="shared" si="35"/>
        <v>&lt;Valeur name="datecompta"&gt;2019/04/30&lt;/Valeur&gt;</v>
      </c>
      <c r="AB130" s="15" t="str">
        <f t="shared" si="36"/>
        <v>&lt;Valeur name="compte"&gt;72&lt;/Valeur&gt;</v>
      </c>
      <c r="AC130" s="15" t="str">
        <f t="shared" si="37"/>
        <v>&lt;Valeur name="description"&gt;FA920486  Local Poubelle + long separatif courette  Maillard&lt;/Valeur&gt;</v>
      </c>
      <c r="AD130" s="15" t="str">
        <f t="shared" si="38"/>
        <v>&lt;Valeur name="valeur"&gt;-1044.72&lt;/Valeur&gt;</v>
      </c>
      <c r="AE130" s="15" t="str">
        <f t="shared" si="39"/>
        <v>&lt;Valeur name="tvapct"&gt;20&lt;/Valeur&gt;</v>
      </c>
      <c r="AF130" s="15" t="str">
        <f t="shared" si="40"/>
        <v>&lt;Valeur name="tva"&gt;174.12&lt;/Valeur&gt;</v>
      </c>
      <c r="AG130" s="15" t="s">
        <v>873</v>
      </c>
      <c r="AH130" s="15" t="str">
        <f t="shared" si="41"/>
        <v>&lt;Insert&gt;&lt;Valeur name="no"&gt;129&lt;/Valeur&gt;&lt;Valeur name="societe"&gt;1&lt;/Valeur&gt;&lt;Valeur name="pointer"&gt;1&lt;/Valeur&gt;&lt;Valeur name="datevaleur"&gt;2019/05/30&lt;/Valeur&gt;&lt;Valeur name="datecompta"&gt;2019/04/30&lt;/Valeur&gt;&lt;Valeur name="compte"&gt;72&lt;/Valeur&gt;&lt;Valeur name="description"&gt;FA920486  Local Poubelle + long separatif courette  Maillard&lt;/Valeur&gt;&lt;Valeur name="valeur"&gt;-1044.72&lt;/Valeur&gt;&lt;Valeur name="tvapct"&gt;20&lt;/Valeur&gt;&lt;Valeur name="tva"&gt;174.12&lt;/Valeur&gt;&lt;/Insert&gt;</v>
      </c>
    </row>
    <row r="131" spans="1:34" hidden="1" x14ac:dyDescent="0.25">
      <c r="A131" s="9">
        <v>43585</v>
      </c>
      <c r="B131" s="1">
        <v>43630</v>
      </c>
      <c r="C131" t="str">
        <f>INDEX(Balance!A:A,MATCH(D131,Balance!B:B,0))</f>
        <v>Fournisseurs</v>
      </c>
      <c r="D131" t="s">
        <v>289</v>
      </c>
      <c r="E131" t="s">
        <v>686</v>
      </c>
      <c r="F131">
        <v>88.32</v>
      </c>
      <c r="H131" s="3">
        <f t="shared" si="30"/>
        <v>14.719999999999999</v>
      </c>
      <c r="K131">
        <v>130</v>
      </c>
      <c r="L131">
        <v>1</v>
      </c>
      <c r="M131">
        <v>1</v>
      </c>
      <c r="N131" s="16" t="s">
        <v>924</v>
      </c>
      <c r="O131" s="16" t="s">
        <v>882</v>
      </c>
      <c r="P131">
        <f>IFERROR(VLOOKUP(D131,tab!A:B,2,FALSE),1)</f>
        <v>57</v>
      </c>
      <c r="Q131" s="14" t="str">
        <f t="shared" ref="Q131:Q183" si="42">IF(ISBLANK(E131),"",E131)</f>
        <v>F.3595 Manchette + bandeaux</v>
      </c>
      <c r="R131">
        <f t="shared" ref="R131:R183" si="43">G131-F131</f>
        <v>-88.32</v>
      </c>
      <c r="S131">
        <v>20</v>
      </c>
      <c r="T131" s="13">
        <f t="shared" ref="T131:T183" si="44">H131</f>
        <v>14.719999999999999</v>
      </c>
      <c r="V131" t="s">
        <v>872</v>
      </c>
      <c r="W131" t="str">
        <f t="shared" ref="W131:AF131" si="45">"&lt;Valeur "&amp;K$1&amp;"&gt;"&amp;K131&amp;"&lt;/Valeur&gt;"</f>
        <v>&lt;Valeur name="no"&gt;130&lt;/Valeur&gt;</v>
      </c>
      <c r="X131" t="str">
        <f t="shared" si="45"/>
        <v>&lt;Valeur name="societe"&gt;1&lt;/Valeur&gt;</v>
      </c>
      <c r="Y131" t="str">
        <f t="shared" si="45"/>
        <v>&lt;Valeur name="pointer"&gt;1&lt;/Valeur&gt;</v>
      </c>
      <c r="Z131" s="15" t="str">
        <f t="shared" si="45"/>
        <v>&lt;Valeur name="datevaleur"&gt;2019/06/14&lt;/Valeur&gt;</v>
      </c>
      <c r="AA131" s="15" t="str">
        <f t="shared" si="45"/>
        <v>&lt;Valeur name="datecompta"&gt;2019/04/30&lt;/Valeur&gt;</v>
      </c>
      <c r="AB131" s="15" t="str">
        <f t="shared" si="45"/>
        <v>&lt;Valeur name="compte"&gt;57&lt;/Valeur&gt;</v>
      </c>
      <c r="AC131" s="15" t="str">
        <f t="shared" si="45"/>
        <v>&lt;Valeur name="description"&gt;F.3595 Manchette + bandeaux&lt;/Valeur&gt;</v>
      </c>
      <c r="AD131" s="15" t="str">
        <f t="shared" si="45"/>
        <v>&lt;Valeur name="valeur"&gt;-88.32&lt;/Valeur&gt;</v>
      </c>
      <c r="AE131" s="15" t="str">
        <f t="shared" si="45"/>
        <v>&lt;Valeur name="tvapct"&gt;20&lt;/Valeur&gt;</v>
      </c>
      <c r="AF131" s="15" t="str">
        <f t="shared" si="45"/>
        <v>&lt;Valeur name="tva"&gt;14.72&lt;/Valeur&gt;</v>
      </c>
      <c r="AG131" s="15" t="s">
        <v>873</v>
      </c>
      <c r="AH131" s="15" t="str">
        <f>CONCATENATE(V131,W131,X131,Y131,Z131,AA131,AB131,AC131,AD131,AE131,AF131,AG131)</f>
        <v>&lt;Insert&gt;&lt;Valeur name="no"&gt;130&lt;/Valeur&gt;&lt;Valeur name="societe"&gt;1&lt;/Valeur&gt;&lt;Valeur name="pointer"&gt;1&lt;/Valeur&gt;&lt;Valeur name="datevaleur"&gt;2019/06/14&lt;/Valeur&gt;&lt;Valeur name="datecompta"&gt;2019/04/30&lt;/Valeur&gt;&lt;Valeur name="compte"&gt;57&lt;/Valeur&gt;&lt;Valeur name="description"&gt;F.3595 Manchette + bandeaux&lt;/Valeur&gt;&lt;Valeur name="valeur"&gt;-88.32&lt;/Valeur&gt;&lt;Valeur name="tvapct"&gt;20&lt;/Valeur&gt;&lt;Valeur name="tva"&gt;14.72&lt;/Valeur&gt;&lt;/Insert&gt;</v>
      </c>
    </row>
    <row r="132" spans="1:34" hidden="1" x14ac:dyDescent="0.25">
      <c r="A132" s="9">
        <v>43585</v>
      </c>
      <c r="B132" s="1">
        <v>43630</v>
      </c>
      <c r="C132" t="str">
        <f>INDEX(Balance!A:A,MATCH(D132,Balance!B:B,0))</f>
        <v>Fournisseurs</v>
      </c>
      <c r="D132" t="s">
        <v>281</v>
      </c>
      <c r="E132" t="s">
        <v>687</v>
      </c>
      <c r="F132">
        <v>538.79999999999995</v>
      </c>
      <c r="H132" s="3">
        <f t="shared" ref="H132:H183" si="46">IF(F132&gt;0,F132-(F132/TVA),-(G132-(G132/TVA)))</f>
        <v>89.799999999999955</v>
      </c>
      <c r="K132">
        <v>131</v>
      </c>
      <c r="L132">
        <v>1</v>
      </c>
      <c r="M132">
        <v>1</v>
      </c>
      <c r="N132" s="16" t="s">
        <v>924</v>
      </c>
      <c r="O132" s="16" t="s">
        <v>882</v>
      </c>
      <c r="P132">
        <f>IFERROR(VLOOKUP(D132,tab!A:B,2,FALSE),1)</f>
        <v>77</v>
      </c>
      <c r="Q132" s="14" t="str">
        <f t="shared" si="42"/>
        <v xml:space="preserve">FAL09136 Töle Alu porte MCB + ? </v>
      </c>
      <c r="R132">
        <f t="shared" si="43"/>
        <v>-538.79999999999995</v>
      </c>
      <c r="S132">
        <v>20</v>
      </c>
      <c r="T132" s="13">
        <f t="shared" si="44"/>
        <v>89.799999999999955</v>
      </c>
      <c r="V132" t="s">
        <v>872</v>
      </c>
      <c r="W132" t="str">
        <f t="shared" ref="W132:W138" si="47">"&lt;Valeur "&amp;K$1&amp;"&gt;"&amp;K132&amp;"&lt;/Valeur&gt;"</f>
        <v>&lt;Valeur name="no"&gt;131&lt;/Valeur&gt;</v>
      </c>
      <c r="X132" t="str">
        <f t="shared" ref="X132:X138" si="48">"&lt;Valeur "&amp;L$1&amp;"&gt;"&amp;L132&amp;"&lt;/Valeur&gt;"</f>
        <v>&lt;Valeur name="societe"&gt;1&lt;/Valeur&gt;</v>
      </c>
      <c r="Y132" t="str">
        <f t="shared" ref="Y132:Y138" si="49">"&lt;Valeur "&amp;M$1&amp;"&gt;"&amp;M132&amp;"&lt;/Valeur&gt;"</f>
        <v>&lt;Valeur name="pointer"&gt;1&lt;/Valeur&gt;</v>
      </c>
      <c r="Z132" s="15" t="str">
        <f t="shared" ref="Z132:Z138" si="50">"&lt;Valeur "&amp;N$1&amp;"&gt;"&amp;N132&amp;"&lt;/Valeur&gt;"</f>
        <v>&lt;Valeur name="datevaleur"&gt;2019/06/14&lt;/Valeur&gt;</v>
      </c>
      <c r="AA132" s="15" t="str">
        <f t="shared" ref="AA132:AA138" si="51">"&lt;Valeur "&amp;O$1&amp;"&gt;"&amp;O132&amp;"&lt;/Valeur&gt;"</f>
        <v>&lt;Valeur name="datecompta"&gt;2019/04/30&lt;/Valeur&gt;</v>
      </c>
      <c r="AB132" s="15" t="str">
        <f t="shared" ref="AB132:AB138" si="52">"&lt;Valeur "&amp;P$1&amp;"&gt;"&amp;P132&amp;"&lt;/Valeur&gt;"</f>
        <v>&lt;Valeur name="compte"&gt;77&lt;/Valeur&gt;</v>
      </c>
      <c r="AC132" s="15" t="str">
        <f t="shared" ref="AC132:AC138" si="53">"&lt;Valeur "&amp;Q$1&amp;"&gt;"&amp;Q132&amp;"&lt;/Valeur&gt;"</f>
        <v>&lt;Valeur name="description"&gt;FAL09136 Töle Alu porte MCB + ? &lt;/Valeur&gt;</v>
      </c>
      <c r="AD132" s="15" t="str">
        <f t="shared" ref="AD132:AD138" si="54">"&lt;Valeur "&amp;R$1&amp;"&gt;"&amp;R132&amp;"&lt;/Valeur&gt;"</f>
        <v>&lt;Valeur name="valeur"&gt;-538.8&lt;/Valeur&gt;</v>
      </c>
      <c r="AE132" s="15" t="str">
        <f t="shared" ref="AE132:AE138" si="55">"&lt;Valeur "&amp;S$1&amp;"&gt;"&amp;S132&amp;"&lt;/Valeur&gt;"</f>
        <v>&lt;Valeur name="tvapct"&gt;20&lt;/Valeur&gt;</v>
      </c>
      <c r="AF132" s="15" t="str">
        <f t="shared" ref="AF132:AF138" si="56">"&lt;Valeur "&amp;T$1&amp;"&gt;"&amp;T132&amp;"&lt;/Valeur&gt;"</f>
        <v>&lt;Valeur name="tva"&gt;89.8&lt;/Valeur&gt;</v>
      </c>
      <c r="AG132" s="15" t="s">
        <v>873</v>
      </c>
      <c r="AH132" s="15" t="str">
        <f t="shared" ref="AH132:AH138" si="57">CONCATENATE(V132,W132,X132,Y132,Z132,AA132,AB132,AC132,AD132,AE132,AF132,AG132)</f>
        <v>&lt;Insert&gt;&lt;Valeur name="no"&gt;131&lt;/Valeur&gt;&lt;Valeur name="societe"&gt;1&lt;/Valeur&gt;&lt;Valeur name="pointer"&gt;1&lt;/Valeur&gt;&lt;Valeur name="datevaleur"&gt;2019/06/14&lt;/Valeur&gt;&lt;Valeur name="datecompta"&gt;2019/04/30&lt;/Valeur&gt;&lt;Valeur name="compte"&gt;77&lt;/Valeur&gt;&lt;Valeur name="description"&gt;FAL09136 Töle Alu porte MCB + ? &lt;/Valeur&gt;&lt;Valeur name="valeur"&gt;-538.8&lt;/Valeur&gt;&lt;Valeur name="tvapct"&gt;20&lt;/Valeur&gt;&lt;Valeur name="tva"&gt;89.8&lt;/Valeur&gt;&lt;/Insert&gt;</v>
      </c>
    </row>
    <row r="133" spans="1:34" hidden="1" x14ac:dyDescent="0.25">
      <c r="A133" s="9">
        <v>43585</v>
      </c>
      <c r="B133" s="1">
        <v>43615</v>
      </c>
      <c r="C133" t="str">
        <f>INDEX(Balance!A:A,MATCH(D133,Balance!B:B,0))</f>
        <v>Fournisseurs</v>
      </c>
      <c r="D133" t="s">
        <v>352</v>
      </c>
      <c r="E133" t="s">
        <v>688</v>
      </c>
      <c r="F133">
        <v>1307.82</v>
      </c>
      <c r="H133" s="3">
        <f t="shared" si="46"/>
        <v>217.97000000000003</v>
      </c>
      <c r="K133">
        <v>132</v>
      </c>
      <c r="L133">
        <v>1</v>
      </c>
      <c r="M133">
        <v>1</v>
      </c>
      <c r="N133" s="16" t="s">
        <v>897</v>
      </c>
      <c r="O133" s="16" t="s">
        <v>882</v>
      </c>
      <c r="P133">
        <f>IFERROR(VLOOKUP(D133,tab!A:B,2,FALSE),1)</f>
        <v>119</v>
      </c>
      <c r="Q133" s="14" t="str">
        <f t="shared" si="42"/>
        <v>F19040956  stock foret + tarauds + outils</v>
      </c>
      <c r="R133">
        <f t="shared" si="43"/>
        <v>-1307.82</v>
      </c>
      <c r="S133">
        <v>20</v>
      </c>
      <c r="T133" s="13">
        <f t="shared" si="44"/>
        <v>217.97000000000003</v>
      </c>
      <c r="V133" t="s">
        <v>872</v>
      </c>
      <c r="W133" t="str">
        <f t="shared" si="47"/>
        <v>&lt;Valeur name="no"&gt;132&lt;/Valeur&gt;</v>
      </c>
      <c r="X133" t="str">
        <f t="shared" si="48"/>
        <v>&lt;Valeur name="societe"&gt;1&lt;/Valeur&gt;</v>
      </c>
      <c r="Y133" t="str">
        <f t="shared" si="49"/>
        <v>&lt;Valeur name="pointer"&gt;1&lt;/Valeur&gt;</v>
      </c>
      <c r="Z133" s="15" t="str">
        <f t="shared" si="50"/>
        <v>&lt;Valeur name="datevaleur"&gt;2019/05/30&lt;/Valeur&gt;</v>
      </c>
      <c r="AA133" s="15" t="str">
        <f t="shared" si="51"/>
        <v>&lt;Valeur name="datecompta"&gt;2019/04/30&lt;/Valeur&gt;</v>
      </c>
      <c r="AB133" s="15" t="str">
        <f t="shared" si="52"/>
        <v>&lt;Valeur name="compte"&gt;119&lt;/Valeur&gt;</v>
      </c>
      <c r="AC133" s="15" t="str">
        <f t="shared" si="53"/>
        <v>&lt;Valeur name="description"&gt;F19040956  stock foret + tarauds + outils&lt;/Valeur&gt;</v>
      </c>
      <c r="AD133" s="15" t="str">
        <f t="shared" si="54"/>
        <v>&lt;Valeur name="valeur"&gt;-1307.82&lt;/Valeur&gt;</v>
      </c>
      <c r="AE133" s="15" t="str">
        <f t="shared" si="55"/>
        <v>&lt;Valeur name="tvapct"&gt;20&lt;/Valeur&gt;</v>
      </c>
      <c r="AF133" s="15" t="str">
        <f t="shared" si="56"/>
        <v>&lt;Valeur name="tva"&gt;217.97&lt;/Valeur&gt;</v>
      </c>
      <c r="AG133" s="15" t="s">
        <v>873</v>
      </c>
      <c r="AH133" s="15" t="str">
        <f t="shared" si="57"/>
        <v>&lt;Insert&gt;&lt;Valeur name="no"&gt;132&lt;/Valeur&gt;&lt;Valeur name="societe"&gt;1&lt;/Valeur&gt;&lt;Valeur name="pointer"&gt;1&lt;/Valeur&gt;&lt;Valeur name="datevaleur"&gt;2019/05/30&lt;/Valeur&gt;&lt;Valeur name="datecompta"&gt;2019/04/30&lt;/Valeur&gt;&lt;Valeur name="compte"&gt;119&lt;/Valeur&gt;&lt;Valeur name="description"&gt;F19040956  stock foret + tarauds + outils&lt;/Valeur&gt;&lt;Valeur name="valeur"&gt;-1307.82&lt;/Valeur&gt;&lt;Valeur name="tvapct"&gt;20&lt;/Valeur&gt;&lt;Valeur name="tva"&gt;217.97&lt;/Valeur&gt;&lt;/Insert&gt;</v>
      </c>
    </row>
    <row r="134" spans="1:34" hidden="1" x14ac:dyDescent="0.25">
      <c r="A134" s="9">
        <v>43585</v>
      </c>
      <c r="B134" s="1">
        <v>43626</v>
      </c>
      <c r="C134" t="str">
        <f>INDEX(Balance!A:A,MATCH(D134,Balance!B:B,0))</f>
        <v>Fournisseurs</v>
      </c>
      <c r="D134" t="s">
        <v>288</v>
      </c>
      <c r="E134" t="s">
        <v>691</v>
      </c>
      <c r="F134">
        <v>235.66</v>
      </c>
      <c r="H134" s="3">
        <f t="shared" si="46"/>
        <v>39.276666666666671</v>
      </c>
      <c r="K134">
        <v>133</v>
      </c>
      <c r="L134">
        <v>1</v>
      </c>
      <c r="M134">
        <v>1</v>
      </c>
      <c r="N134" s="16" t="s">
        <v>921</v>
      </c>
      <c r="O134" s="16" t="s">
        <v>882</v>
      </c>
      <c r="P134">
        <f>IFERROR(VLOOKUP(D134,tab!A:B,2,FALSE),1)</f>
        <v>120</v>
      </c>
      <c r="Q134" s="14" t="str">
        <f t="shared" si="42"/>
        <v>F.03-JJS891 Meuleuse + ecrou serrage</v>
      </c>
      <c r="R134">
        <f t="shared" si="43"/>
        <v>-235.66</v>
      </c>
      <c r="S134">
        <v>20</v>
      </c>
      <c r="T134" s="13">
        <f t="shared" si="44"/>
        <v>39.276666666666671</v>
      </c>
      <c r="V134" t="s">
        <v>872</v>
      </c>
      <c r="W134" t="str">
        <f t="shared" si="47"/>
        <v>&lt;Valeur name="no"&gt;133&lt;/Valeur&gt;</v>
      </c>
      <c r="X134" t="str">
        <f t="shared" si="48"/>
        <v>&lt;Valeur name="societe"&gt;1&lt;/Valeur&gt;</v>
      </c>
      <c r="Y134" t="str">
        <f t="shared" si="49"/>
        <v>&lt;Valeur name="pointer"&gt;1&lt;/Valeur&gt;</v>
      </c>
      <c r="Z134" s="15" t="str">
        <f t="shared" si="50"/>
        <v>&lt;Valeur name="datevaleur"&gt;2019/06/10&lt;/Valeur&gt;</v>
      </c>
      <c r="AA134" s="15" t="str">
        <f t="shared" si="51"/>
        <v>&lt;Valeur name="datecompta"&gt;2019/04/30&lt;/Valeur&gt;</v>
      </c>
      <c r="AB134" s="15" t="str">
        <f t="shared" si="52"/>
        <v>&lt;Valeur name="compte"&gt;120&lt;/Valeur&gt;</v>
      </c>
      <c r="AC134" s="15" t="str">
        <f t="shared" si="53"/>
        <v>&lt;Valeur name="description"&gt;F.03-JJS891 Meuleuse + ecrou serrage&lt;/Valeur&gt;</v>
      </c>
      <c r="AD134" s="15" t="str">
        <f t="shared" si="54"/>
        <v>&lt;Valeur name="valeur"&gt;-235.66&lt;/Valeur&gt;</v>
      </c>
      <c r="AE134" s="15" t="str">
        <f t="shared" si="55"/>
        <v>&lt;Valeur name="tvapct"&gt;20&lt;/Valeur&gt;</v>
      </c>
      <c r="AF134" s="15" t="str">
        <f t="shared" si="56"/>
        <v>&lt;Valeur name="tva"&gt;39.2766666666667&lt;/Valeur&gt;</v>
      </c>
      <c r="AG134" s="15" t="s">
        <v>873</v>
      </c>
      <c r="AH134" s="15" t="str">
        <f t="shared" si="57"/>
        <v>&lt;Insert&gt;&lt;Valeur name="no"&gt;133&lt;/Valeur&gt;&lt;Valeur name="societe"&gt;1&lt;/Valeur&gt;&lt;Valeur name="pointer"&gt;1&lt;/Valeur&gt;&lt;Valeur name="datevaleur"&gt;2019/06/10&lt;/Valeur&gt;&lt;Valeur name="datecompta"&gt;2019/04/30&lt;/Valeur&gt;&lt;Valeur name="compte"&gt;120&lt;/Valeur&gt;&lt;Valeur name="description"&gt;F.03-JJS891 Meuleuse + ecrou serrage&lt;/Valeur&gt;&lt;Valeur name="valeur"&gt;-235.66&lt;/Valeur&gt;&lt;Valeur name="tvapct"&gt;20&lt;/Valeur&gt;&lt;Valeur name="tva"&gt;39.2766666666667&lt;/Valeur&gt;&lt;/Insert&gt;</v>
      </c>
    </row>
    <row r="135" spans="1:34" hidden="1" x14ac:dyDescent="0.25">
      <c r="A135" s="9">
        <v>43579</v>
      </c>
      <c r="B135" s="1">
        <v>43579</v>
      </c>
      <c r="C135" t="str">
        <f>INDEX(Balance!A:A,MATCH(D135,Balance!B:B,0))</f>
        <v>Fournisseurs</v>
      </c>
      <c r="D135" t="s">
        <v>437</v>
      </c>
      <c r="E135" t="s">
        <v>694</v>
      </c>
      <c r="F135">
        <v>252</v>
      </c>
      <c r="H135" s="3">
        <f t="shared" si="46"/>
        <v>42</v>
      </c>
      <c r="K135">
        <v>134</v>
      </c>
      <c r="L135">
        <v>1</v>
      </c>
      <c r="M135">
        <v>1</v>
      </c>
      <c r="N135" s="16" t="s">
        <v>918</v>
      </c>
      <c r="O135" s="16" t="s">
        <v>918</v>
      </c>
      <c r="P135">
        <f>IFERROR(VLOOKUP(D135,tab!A:B,2,FALSE),1)</f>
        <v>41</v>
      </c>
      <c r="Q135" s="14" t="str">
        <f t="shared" si="42"/>
        <v>Location camion porte de cave Leroy</v>
      </c>
      <c r="R135">
        <f t="shared" si="43"/>
        <v>-252</v>
      </c>
      <c r="S135">
        <v>20</v>
      </c>
      <c r="T135" s="13">
        <f t="shared" si="44"/>
        <v>42</v>
      </c>
      <c r="V135" t="s">
        <v>872</v>
      </c>
      <c r="W135" t="str">
        <f t="shared" si="47"/>
        <v>&lt;Valeur name="no"&gt;134&lt;/Valeur&gt;</v>
      </c>
      <c r="X135" t="str">
        <f t="shared" si="48"/>
        <v>&lt;Valeur name="societe"&gt;1&lt;/Valeur&gt;</v>
      </c>
      <c r="Y135" t="str">
        <f t="shared" si="49"/>
        <v>&lt;Valeur name="pointer"&gt;1&lt;/Valeur&gt;</v>
      </c>
      <c r="Z135" s="15" t="str">
        <f t="shared" si="50"/>
        <v>&lt;Valeur name="datevaleur"&gt;2019/04/24&lt;/Valeur&gt;</v>
      </c>
      <c r="AA135" s="15" t="str">
        <f t="shared" si="51"/>
        <v>&lt;Valeur name="datecompta"&gt;2019/04/24&lt;/Valeur&gt;</v>
      </c>
      <c r="AB135" s="15" t="str">
        <f t="shared" si="52"/>
        <v>&lt;Valeur name="compte"&gt;41&lt;/Valeur&gt;</v>
      </c>
      <c r="AC135" s="15" t="str">
        <f t="shared" si="53"/>
        <v>&lt;Valeur name="description"&gt;Location camion porte de cave Leroy&lt;/Valeur&gt;</v>
      </c>
      <c r="AD135" s="15" t="str">
        <f t="shared" si="54"/>
        <v>&lt;Valeur name="valeur"&gt;-252&lt;/Valeur&gt;</v>
      </c>
      <c r="AE135" s="15" t="str">
        <f t="shared" si="55"/>
        <v>&lt;Valeur name="tvapct"&gt;20&lt;/Valeur&gt;</v>
      </c>
      <c r="AF135" s="15" t="str">
        <f t="shared" si="56"/>
        <v>&lt;Valeur name="tva"&gt;42&lt;/Valeur&gt;</v>
      </c>
      <c r="AG135" s="15" t="s">
        <v>873</v>
      </c>
      <c r="AH135" s="15" t="str">
        <f t="shared" si="57"/>
        <v>&lt;Insert&gt;&lt;Valeur name="no"&gt;134&lt;/Valeur&gt;&lt;Valeur name="societe"&gt;1&lt;/Valeur&gt;&lt;Valeur name="pointer"&gt;1&lt;/Valeur&gt;&lt;Valeur name="datevaleur"&gt;2019/04/24&lt;/Valeur&gt;&lt;Valeur name="datecompta"&gt;2019/04/24&lt;/Valeur&gt;&lt;Valeur name="compte"&gt;41&lt;/Valeur&gt;&lt;Valeur name="description"&gt;Location camion porte de cave Leroy&lt;/Valeur&gt;&lt;Valeur name="valeur"&gt;-252&lt;/Valeur&gt;&lt;Valeur name="tvapct"&gt;20&lt;/Valeur&gt;&lt;Valeur name="tva"&gt;42&lt;/Valeur&gt;&lt;/Insert&gt;</v>
      </c>
    </row>
    <row r="136" spans="1:34" hidden="1" x14ac:dyDescent="0.25">
      <c r="A136" s="9">
        <v>43585</v>
      </c>
      <c r="B136" s="1">
        <v>43615</v>
      </c>
      <c r="C136" t="str">
        <f>INDEX(Balance!A:A,MATCH(D136,Balance!B:B,0))</f>
        <v>Fournisseurs</v>
      </c>
      <c r="D136" t="s">
        <v>698</v>
      </c>
      <c r="E136" t="s">
        <v>697</v>
      </c>
      <c r="F136">
        <v>0</v>
      </c>
      <c r="G136">
        <v>1560</v>
      </c>
      <c r="H136" s="3">
        <f t="shared" si="46"/>
        <v>-260</v>
      </c>
      <c r="K136">
        <v>135</v>
      </c>
      <c r="L136">
        <v>1</v>
      </c>
      <c r="M136">
        <v>1</v>
      </c>
      <c r="N136" s="16" t="s">
        <v>897</v>
      </c>
      <c r="O136" s="16" t="s">
        <v>882</v>
      </c>
      <c r="P136">
        <f>IFERROR(VLOOKUP(D136,tab!A:B,2,FALSE),1)</f>
        <v>89</v>
      </c>
      <c r="Q136" s="14" t="str">
        <f t="shared" si="42"/>
        <v>AF258-1 MCB structure + MO</v>
      </c>
      <c r="R136">
        <f t="shared" si="43"/>
        <v>1560</v>
      </c>
      <c r="S136">
        <v>20</v>
      </c>
      <c r="T136" s="13">
        <f t="shared" si="44"/>
        <v>-260</v>
      </c>
      <c r="V136" t="s">
        <v>872</v>
      </c>
      <c r="W136" t="str">
        <f t="shared" si="47"/>
        <v>&lt;Valeur name="no"&gt;135&lt;/Valeur&gt;</v>
      </c>
      <c r="X136" t="str">
        <f t="shared" si="48"/>
        <v>&lt;Valeur name="societe"&gt;1&lt;/Valeur&gt;</v>
      </c>
      <c r="Y136" t="str">
        <f t="shared" si="49"/>
        <v>&lt;Valeur name="pointer"&gt;1&lt;/Valeur&gt;</v>
      </c>
      <c r="Z136" s="15" t="str">
        <f t="shared" si="50"/>
        <v>&lt;Valeur name="datevaleur"&gt;2019/05/30&lt;/Valeur&gt;</v>
      </c>
      <c r="AA136" s="15" t="str">
        <f t="shared" si="51"/>
        <v>&lt;Valeur name="datecompta"&gt;2019/04/30&lt;/Valeur&gt;</v>
      </c>
      <c r="AB136" s="15" t="str">
        <f t="shared" si="52"/>
        <v>&lt;Valeur name="compte"&gt;89&lt;/Valeur&gt;</v>
      </c>
      <c r="AC136" s="15" t="str">
        <f t="shared" si="53"/>
        <v>&lt;Valeur name="description"&gt;AF258-1 MCB structure + MO&lt;/Valeur&gt;</v>
      </c>
      <c r="AD136" s="15" t="str">
        <f t="shared" si="54"/>
        <v>&lt;Valeur name="valeur"&gt;1560&lt;/Valeur&gt;</v>
      </c>
      <c r="AE136" s="15" t="str">
        <f t="shared" si="55"/>
        <v>&lt;Valeur name="tvapct"&gt;20&lt;/Valeur&gt;</v>
      </c>
      <c r="AF136" s="15" t="str">
        <f t="shared" si="56"/>
        <v>&lt;Valeur name="tva"&gt;-260&lt;/Valeur&gt;</v>
      </c>
      <c r="AG136" s="15" t="s">
        <v>873</v>
      </c>
      <c r="AH136" s="15" t="str">
        <f t="shared" si="57"/>
        <v>&lt;Insert&gt;&lt;Valeur name="no"&gt;135&lt;/Valeur&gt;&lt;Valeur name="societe"&gt;1&lt;/Valeur&gt;&lt;Valeur name="pointer"&gt;1&lt;/Valeur&gt;&lt;Valeur name="datevaleur"&gt;2019/05/30&lt;/Valeur&gt;&lt;Valeur name="datecompta"&gt;2019/04/30&lt;/Valeur&gt;&lt;Valeur name="compte"&gt;89&lt;/Valeur&gt;&lt;Valeur name="description"&gt;AF258-1 MCB structure + MO&lt;/Valeur&gt;&lt;Valeur name="valeur"&gt;1560&lt;/Valeur&gt;&lt;Valeur name="tvapct"&gt;20&lt;/Valeur&gt;&lt;Valeur name="tva"&gt;-260&lt;/Valeur&gt;&lt;/Insert&gt;</v>
      </c>
    </row>
    <row r="137" spans="1:34" hidden="1" x14ac:dyDescent="0.25">
      <c r="A137" s="9">
        <v>43585</v>
      </c>
      <c r="B137" s="1">
        <v>43615</v>
      </c>
      <c r="C137" t="str">
        <f>INDEX(Balance!A:A,MATCH(D137,Balance!B:B,0))</f>
        <v>Fournisseurs</v>
      </c>
      <c r="D137" t="s">
        <v>273</v>
      </c>
      <c r="E137" t="s">
        <v>712</v>
      </c>
      <c r="F137">
        <v>42.38</v>
      </c>
      <c r="H137" s="3">
        <f t="shared" si="46"/>
        <v>7.0633333333333326</v>
      </c>
      <c r="K137">
        <v>136</v>
      </c>
      <c r="L137">
        <v>1</v>
      </c>
      <c r="M137">
        <v>1</v>
      </c>
      <c r="N137" s="16" t="s">
        <v>897</v>
      </c>
      <c r="O137" s="16" t="s">
        <v>882</v>
      </c>
      <c r="P137">
        <f>IFERROR(VLOOKUP(D137,tab!A:B,2,FALSE),1)</f>
        <v>32</v>
      </c>
      <c r="Q137" s="14" t="str">
        <f t="shared" si="42"/>
        <v>F.955265378</v>
      </c>
      <c r="R137">
        <f t="shared" si="43"/>
        <v>-42.38</v>
      </c>
      <c r="S137">
        <v>20</v>
      </c>
      <c r="T137" s="13">
        <f t="shared" si="44"/>
        <v>7.0633333333333326</v>
      </c>
      <c r="V137" t="s">
        <v>872</v>
      </c>
      <c r="W137" t="str">
        <f t="shared" si="47"/>
        <v>&lt;Valeur name="no"&gt;136&lt;/Valeur&gt;</v>
      </c>
      <c r="X137" t="str">
        <f t="shared" si="48"/>
        <v>&lt;Valeur name="societe"&gt;1&lt;/Valeur&gt;</v>
      </c>
      <c r="Y137" t="str">
        <f t="shared" si="49"/>
        <v>&lt;Valeur name="pointer"&gt;1&lt;/Valeur&gt;</v>
      </c>
      <c r="Z137" s="15" t="str">
        <f t="shared" si="50"/>
        <v>&lt;Valeur name="datevaleur"&gt;2019/05/30&lt;/Valeur&gt;</v>
      </c>
      <c r="AA137" s="15" t="str">
        <f t="shared" si="51"/>
        <v>&lt;Valeur name="datecompta"&gt;2019/04/30&lt;/Valeur&gt;</v>
      </c>
      <c r="AB137" s="15" t="str">
        <f t="shared" si="52"/>
        <v>&lt;Valeur name="compte"&gt;32&lt;/Valeur&gt;</v>
      </c>
      <c r="AC137" s="15" t="str">
        <f t="shared" si="53"/>
        <v>&lt;Valeur name="description"&gt;F.955265378&lt;/Valeur&gt;</v>
      </c>
      <c r="AD137" s="15" t="str">
        <f t="shared" si="54"/>
        <v>&lt;Valeur name="valeur"&gt;-42.38&lt;/Valeur&gt;</v>
      </c>
      <c r="AE137" s="15" t="str">
        <f t="shared" si="55"/>
        <v>&lt;Valeur name="tvapct"&gt;20&lt;/Valeur&gt;</v>
      </c>
      <c r="AF137" s="15" t="str">
        <f t="shared" si="56"/>
        <v>&lt;Valeur name="tva"&gt;7.06333333333333&lt;/Valeur&gt;</v>
      </c>
      <c r="AG137" s="15" t="s">
        <v>873</v>
      </c>
      <c r="AH137" s="15" t="str">
        <f t="shared" si="57"/>
        <v>&lt;Insert&gt;&lt;Valeur name="no"&gt;136&lt;/Valeur&gt;&lt;Valeur name="societe"&gt;1&lt;/Valeur&gt;&lt;Valeur name="pointer"&gt;1&lt;/Valeur&gt;&lt;Valeur name="datevaleur"&gt;2019/05/30&lt;/Valeur&gt;&lt;Valeur name="datecompta"&gt;2019/04/30&lt;/Valeur&gt;&lt;Valeur name="compte"&gt;32&lt;/Valeur&gt;&lt;Valeur name="description"&gt;F.955265378&lt;/Valeur&gt;&lt;Valeur name="valeur"&gt;-42.38&lt;/Valeur&gt;&lt;Valeur name="tvapct"&gt;20&lt;/Valeur&gt;&lt;Valeur name="tva"&gt;7.06333333333333&lt;/Valeur&gt;&lt;/Insert&gt;</v>
      </c>
    </row>
    <row r="138" spans="1:34" hidden="1" x14ac:dyDescent="0.25">
      <c r="A138" s="9">
        <v>43585</v>
      </c>
      <c r="B138" s="1">
        <v>43631</v>
      </c>
      <c r="C138" t="str">
        <f>INDEX(Balance!A:A,MATCH(D138,Balance!B:B,0))</f>
        <v>Fournisseurs</v>
      </c>
      <c r="D138" t="s">
        <v>268</v>
      </c>
      <c r="E138" t="s">
        <v>713</v>
      </c>
      <c r="F138">
        <v>376.2</v>
      </c>
      <c r="H138" s="3">
        <f t="shared" si="46"/>
        <v>62.699999999999989</v>
      </c>
      <c r="K138">
        <v>137</v>
      </c>
      <c r="L138">
        <v>1</v>
      </c>
      <c r="M138">
        <v>1</v>
      </c>
      <c r="N138" s="16" t="s">
        <v>919</v>
      </c>
      <c r="O138" s="16" t="s">
        <v>882</v>
      </c>
      <c r="P138">
        <f>IFERROR(VLOOKUP(D138,tab!A:B,2,FALSE),-1000)</f>
        <v>106</v>
      </c>
      <c r="Q138" s="14" t="str">
        <f t="shared" si="42"/>
        <v>F.1904309</v>
      </c>
      <c r="R138">
        <f t="shared" si="43"/>
        <v>-376.2</v>
      </c>
      <c r="S138">
        <v>20</v>
      </c>
      <c r="T138" s="13">
        <f t="shared" si="44"/>
        <v>62.699999999999989</v>
      </c>
      <c r="V138" t="s">
        <v>872</v>
      </c>
      <c r="W138" t="str">
        <f t="shared" si="47"/>
        <v>&lt;Valeur name="no"&gt;137&lt;/Valeur&gt;</v>
      </c>
      <c r="X138" t="str">
        <f t="shared" si="48"/>
        <v>&lt;Valeur name="societe"&gt;1&lt;/Valeur&gt;</v>
      </c>
      <c r="Y138" t="str">
        <f t="shared" si="49"/>
        <v>&lt;Valeur name="pointer"&gt;1&lt;/Valeur&gt;</v>
      </c>
      <c r="Z138" s="15" t="str">
        <f t="shared" si="50"/>
        <v>&lt;Valeur name="datevaleur"&gt;2019/06/15&lt;/Valeur&gt;</v>
      </c>
      <c r="AA138" s="15" t="str">
        <f t="shared" si="51"/>
        <v>&lt;Valeur name="datecompta"&gt;2019/04/30&lt;/Valeur&gt;</v>
      </c>
      <c r="AB138" s="15" t="str">
        <f t="shared" si="52"/>
        <v>&lt;Valeur name="compte"&gt;106&lt;/Valeur&gt;</v>
      </c>
      <c r="AC138" s="15" t="str">
        <f t="shared" si="53"/>
        <v>&lt;Valeur name="description"&gt;F.1904309&lt;/Valeur&gt;</v>
      </c>
      <c r="AD138" s="15" t="str">
        <f t="shared" si="54"/>
        <v>&lt;Valeur name="valeur"&gt;-376.2&lt;/Valeur&gt;</v>
      </c>
      <c r="AE138" s="15" t="str">
        <f t="shared" si="55"/>
        <v>&lt;Valeur name="tvapct"&gt;20&lt;/Valeur&gt;</v>
      </c>
      <c r="AF138" s="15" t="str">
        <f t="shared" si="56"/>
        <v>&lt;Valeur name="tva"&gt;62.7&lt;/Valeur&gt;</v>
      </c>
      <c r="AG138" s="15" t="s">
        <v>873</v>
      </c>
      <c r="AH138" s="15" t="str">
        <f t="shared" si="57"/>
        <v>&lt;Insert&gt;&lt;Valeur name="no"&gt;137&lt;/Valeur&gt;&lt;Valeur name="societe"&gt;1&lt;/Valeur&gt;&lt;Valeur name="pointer"&gt;1&lt;/Valeur&gt;&lt;Valeur name="datevaleur"&gt;2019/06/15&lt;/Valeur&gt;&lt;Valeur name="datecompta"&gt;2019/04/30&lt;/Valeur&gt;&lt;Valeur name="compte"&gt;106&lt;/Valeur&gt;&lt;Valeur name="description"&gt;F.1904309&lt;/Valeur&gt;&lt;Valeur name="valeur"&gt;-376.2&lt;/Valeur&gt;&lt;Valeur name="tvapct"&gt;20&lt;/Valeur&gt;&lt;Valeur name="tva"&gt;62.7&lt;/Valeur&gt;&lt;/Insert&gt;</v>
      </c>
    </row>
    <row r="139" spans="1:34" hidden="1" x14ac:dyDescent="0.25">
      <c r="A139" s="9">
        <v>43585</v>
      </c>
      <c r="B139" s="1">
        <v>43615</v>
      </c>
      <c r="C139" t="str">
        <f>INDEX(Balance!A:A,MATCH(D139,Balance!B:B,0))</f>
        <v>Fournisseurs</v>
      </c>
      <c r="D139" t="s">
        <v>274</v>
      </c>
      <c r="E139" t="s">
        <v>714</v>
      </c>
      <c r="F139">
        <v>946.12</v>
      </c>
      <c r="H139" s="3">
        <f t="shared" si="46"/>
        <v>157.68666666666661</v>
      </c>
      <c r="K139">
        <v>138</v>
      </c>
      <c r="L139">
        <v>1</v>
      </c>
      <c r="M139">
        <v>1</v>
      </c>
      <c r="N139" s="16" t="s">
        <v>897</v>
      </c>
      <c r="O139" s="16" t="s">
        <v>882</v>
      </c>
      <c r="P139">
        <f>IFERROR(VLOOKUP(D139,tab!A:B,2,FALSE),-1000)</f>
        <v>63</v>
      </c>
      <c r="Q139" s="14" t="str">
        <f t="shared" si="42"/>
        <v>F.T12420325</v>
      </c>
      <c r="R139">
        <f t="shared" si="43"/>
        <v>-946.12</v>
      </c>
      <c r="S139">
        <v>20</v>
      </c>
      <c r="T139" s="13">
        <f t="shared" si="44"/>
        <v>157.68666666666661</v>
      </c>
      <c r="V139" t="s">
        <v>872</v>
      </c>
      <c r="W139" t="str">
        <f t="shared" ref="W139:AF139" si="58">"&lt;Valeur "&amp;K$1&amp;"&gt;"&amp;K139&amp;"&lt;/Valeur&gt;"</f>
        <v>&lt;Valeur name="no"&gt;138&lt;/Valeur&gt;</v>
      </c>
      <c r="X139" t="str">
        <f t="shared" si="58"/>
        <v>&lt;Valeur name="societe"&gt;1&lt;/Valeur&gt;</v>
      </c>
      <c r="Y139" t="str">
        <f t="shared" si="58"/>
        <v>&lt;Valeur name="pointer"&gt;1&lt;/Valeur&gt;</v>
      </c>
      <c r="Z139" s="15" t="str">
        <f t="shared" si="58"/>
        <v>&lt;Valeur name="datevaleur"&gt;2019/05/30&lt;/Valeur&gt;</v>
      </c>
      <c r="AA139" s="15" t="str">
        <f t="shared" si="58"/>
        <v>&lt;Valeur name="datecompta"&gt;2019/04/30&lt;/Valeur&gt;</v>
      </c>
      <c r="AB139" s="15" t="str">
        <f t="shared" si="58"/>
        <v>&lt;Valeur name="compte"&gt;63&lt;/Valeur&gt;</v>
      </c>
      <c r="AC139" s="15" t="str">
        <f t="shared" si="58"/>
        <v>&lt;Valeur name="description"&gt;F.T12420325&lt;/Valeur&gt;</v>
      </c>
      <c r="AD139" s="15" t="str">
        <f t="shared" si="58"/>
        <v>&lt;Valeur name="valeur"&gt;-946.12&lt;/Valeur&gt;</v>
      </c>
      <c r="AE139" s="15" t="str">
        <f t="shared" si="58"/>
        <v>&lt;Valeur name="tvapct"&gt;20&lt;/Valeur&gt;</v>
      </c>
      <c r="AF139" s="15" t="str">
        <f t="shared" si="58"/>
        <v>&lt;Valeur name="tva"&gt;157.686666666667&lt;/Valeur&gt;</v>
      </c>
      <c r="AG139" s="15" t="s">
        <v>873</v>
      </c>
      <c r="AH139" s="15" t="str">
        <f>CONCATENATE(V139,W139,X139,Y139,Z139,AA139,AB139,AC139,AD139,AE139,AF139,AG139)</f>
        <v>&lt;Insert&gt;&lt;Valeur name="no"&gt;138&lt;/Valeur&gt;&lt;Valeur name="societe"&gt;1&lt;/Valeur&gt;&lt;Valeur name="pointer"&gt;1&lt;/Valeur&gt;&lt;Valeur name="datevaleur"&gt;2019/05/30&lt;/Valeur&gt;&lt;Valeur name="datecompta"&gt;2019/04/30&lt;/Valeur&gt;&lt;Valeur name="compte"&gt;63&lt;/Valeur&gt;&lt;Valeur name="description"&gt;F.T12420325&lt;/Valeur&gt;&lt;Valeur name="valeur"&gt;-946.12&lt;/Valeur&gt;&lt;Valeur name="tvapct"&gt;20&lt;/Valeur&gt;&lt;Valeur name="tva"&gt;157.686666666667&lt;/Valeur&gt;&lt;/Insert&gt;</v>
      </c>
    </row>
    <row r="140" spans="1:34" hidden="1" x14ac:dyDescent="0.25">
      <c r="A140" s="9">
        <v>43592</v>
      </c>
      <c r="B140" s="1">
        <v>43656</v>
      </c>
      <c r="C140" t="str">
        <f>INDEX(Balance!A:A,MATCH(D140,Balance!B:B,0))</f>
        <v>Fournisseurs</v>
      </c>
      <c r="D140" t="s">
        <v>288</v>
      </c>
      <c r="E140" t="s">
        <v>715</v>
      </c>
      <c r="F140">
        <v>240.19</v>
      </c>
      <c r="H140" s="3">
        <f t="shared" si="46"/>
        <v>40.031666666666666</v>
      </c>
      <c r="K140">
        <v>139</v>
      </c>
      <c r="L140">
        <v>1</v>
      </c>
      <c r="M140">
        <v>1</v>
      </c>
      <c r="N140" s="16" t="s">
        <v>927</v>
      </c>
      <c r="O140" s="16" t="s">
        <v>912</v>
      </c>
      <c r="P140">
        <f>IFERROR(VLOOKUP(D140,tab!A:B,2,FALSE),-1000)</f>
        <v>120</v>
      </c>
      <c r="Q140" s="14" t="str">
        <f t="shared" si="42"/>
        <v>F.03-JMT213 Lames de scie x5 + 2 gratuites</v>
      </c>
      <c r="R140">
        <f t="shared" si="43"/>
        <v>-240.19</v>
      </c>
      <c r="S140">
        <v>20</v>
      </c>
      <c r="T140" s="13">
        <f t="shared" si="44"/>
        <v>40.031666666666666</v>
      </c>
      <c r="V140" t="s">
        <v>872</v>
      </c>
      <c r="W140" t="str">
        <f t="shared" ref="W140:W156" si="59">"&lt;Valeur "&amp;K$1&amp;"&gt;"&amp;K140&amp;"&lt;/Valeur&gt;"</f>
        <v>&lt;Valeur name="no"&gt;139&lt;/Valeur&gt;</v>
      </c>
      <c r="X140" t="str">
        <f t="shared" ref="X140:X156" si="60">"&lt;Valeur "&amp;L$1&amp;"&gt;"&amp;L140&amp;"&lt;/Valeur&gt;"</f>
        <v>&lt;Valeur name="societe"&gt;1&lt;/Valeur&gt;</v>
      </c>
      <c r="Y140" t="str">
        <f t="shared" ref="Y140:Y156" si="61">"&lt;Valeur "&amp;M$1&amp;"&gt;"&amp;M140&amp;"&lt;/Valeur&gt;"</f>
        <v>&lt;Valeur name="pointer"&gt;1&lt;/Valeur&gt;</v>
      </c>
      <c r="Z140" s="15" t="str">
        <f t="shared" ref="Z140:Z156" si="62">"&lt;Valeur "&amp;N$1&amp;"&gt;"&amp;N140&amp;"&lt;/Valeur&gt;"</f>
        <v>&lt;Valeur name="datevaleur"&gt;2019/07/10&lt;/Valeur&gt;</v>
      </c>
      <c r="AA140" s="15" t="str">
        <f t="shared" ref="AA140:AA156" si="63">"&lt;Valeur "&amp;O$1&amp;"&gt;"&amp;O140&amp;"&lt;/Valeur&gt;"</f>
        <v>&lt;Valeur name="datecompta"&gt;2019/05/07&lt;/Valeur&gt;</v>
      </c>
      <c r="AB140" s="15" t="str">
        <f t="shared" ref="AB140:AB156" si="64">"&lt;Valeur "&amp;P$1&amp;"&gt;"&amp;P140&amp;"&lt;/Valeur&gt;"</f>
        <v>&lt;Valeur name="compte"&gt;120&lt;/Valeur&gt;</v>
      </c>
      <c r="AC140" s="15" t="str">
        <f t="shared" ref="AC140:AC156" si="65">"&lt;Valeur "&amp;Q$1&amp;"&gt;"&amp;Q140&amp;"&lt;/Valeur&gt;"</f>
        <v>&lt;Valeur name="description"&gt;F.03-JMT213 Lames de scie x5 + 2 gratuites&lt;/Valeur&gt;</v>
      </c>
      <c r="AD140" s="15" t="str">
        <f t="shared" ref="AD140:AD156" si="66">"&lt;Valeur "&amp;R$1&amp;"&gt;"&amp;R140&amp;"&lt;/Valeur&gt;"</f>
        <v>&lt;Valeur name="valeur"&gt;-240.19&lt;/Valeur&gt;</v>
      </c>
      <c r="AE140" s="15" t="str">
        <f t="shared" ref="AE140:AE156" si="67">"&lt;Valeur "&amp;S$1&amp;"&gt;"&amp;S140&amp;"&lt;/Valeur&gt;"</f>
        <v>&lt;Valeur name="tvapct"&gt;20&lt;/Valeur&gt;</v>
      </c>
      <c r="AF140" s="15" t="str">
        <f t="shared" ref="AF140:AF156" si="68">"&lt;Valeur "&amp;T$1&amp;"&gt;"&amp;T140&amp;"&lt;/Valeur&gt;"</f>
        <v>&lt;Valeur name="tva"&gt;40.0316666666667&lt;/Valeur&gt;</v>
      </c>
      <c r="AG140" s="15" t="s">
        <v>873</v>
      </c>
      <c r="AH140" s="15" t="str">
        <f t="shared" ref="AH140:AH156" si="69">CONCATENATE(V140,W140,X140,Y140,Z140,AA140,AB140,AC140,AD140,AE140,AF140,AG140)</f>
        <v>&lt;Insert&gt;&lt;Valeur name="no"&gt;139&lt;/Valeur&gt;&lt;Valeur name="societe"&gt;1&lt;/Valeur&gt;&lt;Valeur name="pointer"&gt;1&lt;/Valeur&gt;&lt;Valeur name="datevaleur"&gt;2019/07/10&lt;/Valeur&gt;&lt;Valeur name="datecompta"&gt;2019/05/07&lt;/Valeur&gt;&lt;Valeur name="compte"&gt;120&lt;/Valeur&gt;&lt;Valeur name="description"&gt;F.03-JMT213 Lames de scie x5 + 2 gratuites&lt;/Valeur&gt;&lt;Valeur name="valeur"&gt;-240.19&lt;/Valeur&gt;&lt;Valeur name="tvapct"&gt;20&lt;/Valeur&gt;&lt;Valeur name="tva"&gt;40.0316666666667&lt;/Valeur&gt;&lt;/Insert&gt;</v>
      </c>
    </row>
    <row r="141" spans="1:34" hidden="1" x14ac:dyDescent="0.25">
      <c r="A141" s="9">
        <v>43600</v>
      </c>
      <c r="B141" s="1">
        <v>43661</v>
      </c>
      <c r="C141" t="str">
        <f>INDEX(Balance!A:A,MATCH(D141,Balance!B:B,0))</f>
        <v>Fournisseurs</v>
      </c>
      <c r="D141" t="s">
        <v>262</v>
      </c>
      <c r="E141" t="s">
        <v>795</v>
      </c>
      <c r="F141">
        <v>115.08</v>
      </c>
      <c r="H141" s="3">
        <f t="shared" si="46"/>
        <v>19.179999999999993</v>
      </c>
      <c r="K141">
        <v>140</v>
      </c>
      <c r="L141">
        <v>1</v>
      </c>
      <c r="M141">
        <v>1</v>
      </c>
      <c r="N141" s="16" t="s">
        <v>928</v>
      </c>
      <c r="O141" s="16" t="s">
        <v>881</v>
      </c>
      <c r="P141">
        <f>IFERROR(VLOOKUP(D141,tab!A:B,2,FALSE),-1000)</f>
        <v>65</v>
      </c>
      <c r="Q141" s="14" t="str">
        <f t="shared" si="42"/>
        <v xml:space="preserve">F.52537 </v>
      </c>
      <c r="R141">
        <f t="shared" si="43"/>
        <v>-115.08</v>
      </c>
      <c r="S141">
        <v>20</v>
      </c>
      <c r="T141" s="13">
        <f t="shared" si="44"/>
        <v>19.179999999999993</v>
      </c>
      <c r="V141" t="s">
        <v>872</v>
      </c>
      <c r="W141" t="str">
        <f t="shared" si="59"/>
        <v>&lt;Valeur name="no"&gt;140&lt;/Valeur&gt;</v>
      </c>
      <c r="X141" t="str">
        <f t="shared" si="60"/>
        <v>&lt;Valeur name="societe"&gt;1&lt;/Valeur&gt;</v>
      </c>
      <c r="Y141" t="str">
        <f t="shared" si="61"/>
        <v>&lt;Valeur name="pointer"&gt;1&lt;/Valeur&gt;</v>
      </c>
      <c r="Z141" s="15" t="str">
        <f t="shared" si="62"/>
        <v>&lt;Valeur name="datevaleur"&gt;2019/07/15&lt;/Valeur&gt;</v>
      </c>
      <c r="AA141" s="15" t="str">
        <f t="shared" si="63"/>
        <v>&lt;Valeur name="datecompta"&gt;2019/05/15&lt;/Valeur&gt;</v>
      </c>
      <c r="AB141" s="15" t="str">
        <f t="shared" si="64"/>
        <v>&lt;Valeur name="compte"&gt;65&lt;/Valeur&gt;</v>
      </c>
      <c r="AC141" s="15" t="str">
        <f t="shared" si="65"/>
        <v>&lt;Valeur name="description"&gt;F.52537 &lt;/Valeur&gt;</v>
      </c>
      <c r="AD141" s="15" t="str">
        <f t="shared" si="66"/>
        <v>&lt;Valeur name="valeur"&gt;-115.08&lt;/Valeur&gt;</v>
      </c>
      <c r="AE141" s="15" t="str">
        <f t="shared" si="67"/>
        <v>&lt;Valeur name="tvapct"&gt;20&lt;/Valeur&gt;</v>
      </c>
      <c r="AF141" s="15" t="str">
        <f t="shared" si="68"/>
        <v>&lt;Valeur name="tva"&gt;19.18&lt;/Valeur&gt;</v>
      </c>
      <c r="AG141" s="15" t="s">
        <v>873</v>
      </c>
      <c r="AH141" s="15" t="str">
        <f t="shared" si="69"/>
        <v>&lt;Insert&gt;&lt;Valeur name="no"&gt;140&lt;/Valeur&gt;&lt;Valeur name="societe"&gt;1&lt;/Valeur&gt;&lt;Valeur name="pointer"&gt;1&lt;/Valeur&gt;&lt;Valeur name="datevaleur"&gt;2019/07/15&lt;/Valeur&gt;&lt;Valeur name="datecompta"&gt;2019/05/15&lt;/Valeur&gt;&lt;Valeur name="compte"&gt;65&lt;/Valeur&gt;&lt;Valeur name="description"&gt;F.52537 &lt;/Valeur&gt;&lt;Valeur name="valeur"&gt;-115.08&lt;/Valeur&gt;&lt;Valeur name="tvapct"&gt;20&lt;/Valeur&gt;&lt;Valeur name="tva"&gt;19.18&lt;/Valeur&gt;&lt;/Insert&gt;</v>
      </c>
    </row>
    <row r="142" spans="1:34" hidden="1" x14ac:dyDescent="0.25">
      <c r="A142" s="9">
        <v>43601</v>
      </c>
      <c r="B142" s="1">
        <v>43661</v>
      </c>
      <c r="C142" t="str">
        <f>INDEX(Balance!A:A,MATCH(D142,Balance!B:B,0))</f>
        <v>Fournisseurs</v>
      </c>
      <c r="D142" t="s">
        <v>277</v>
      </c>
      <c r="E142" t="s">
        <v>796</v>
      </c>
      <c r="F142">
        <v>35.659999999999997</v>
      </c>
      <c r="H142" s="3">
        <f t="shared" si="46"/>
        <v>5.9433333333333316</v>
      </c>
      <c r="K142">
        <v>141</v>
      </c>
      <c r="L142">
        <v>1</v>
      </c>
      <c r="M142">
        <v>1</v>
      </c>
      <c r="N142" s="16" t="s">
        <v>928</v>
      </c>
      <c r="O142" s="16" t="s">
        <v>929</v>
      </c>
      <c r="P142">
        <f>IFERROR(VLOOKUP(D142,tab!A:B,2,FALSE),-1000)</f>
        <v>62</v>
      </c>
      <c r="Q142" s="14" t="str">
        <f t="shared" si="42"/>
        <v>F.919036514  ecrous maillard</v>
      </c>
      <c r="R142">
        <f t="shared" si="43"/>
        <v>-35.659999999999997</v>
      </c>
      <c r="S142">
        <v>20</v>
      </c>
      <c r="T142" s="13">
        <f t="shared" si="44"/>
        <v>5.9433333333333316</v>
      </c>
      <c r="V142" t="s">
        <v>872</v>
      </c>
      <c r="W142" t="str">
        <f t="shared" si="59"/>
        <v>&lt;Valeur name="no"&gt;141&lt;/Valeur&gt;</v>
      </c>
      <c r="X142" t="str">
        <f t="shared" si="60"/>
        <v>&lt;Valeur name="societe"&gt;1&lt;/Valeur&gt;</v>
      </c>
      <c r="Y142" t="str">
        <f t="shared" si="61"/>
        <v>&lt;Valeur name="pointer"&gt;1&lt;/Valeur&gt;</v>
      </c>
      <c r="Z142" s="15" t="str">
        <f t="shared" si="62"/>
        <v>&lt;Valeur name="datevaleur"&gt;2019/07/15&lt;/Valeur&gt;</v>
      </c>
      <c r="AA142" s="15" t="str">
        <f t="shared" si="63"/>
        <v>&lt;Valeur name="datecompta"&gt;2019/05/16&lt;/Valeur&gt;</v>
      </c>
      <c r="AB142" s="15" t="str">
        <f t="shared" si="64"/>
        <v>&lt;Valeur name="compte"&gt;62&lt;/Valeur&gt;</v>
      </c>
      <c r="AC142" s="15" t="str">
        <f t="shared" si="65"/>
        <v>&lt;Valeur name="description"&gt;F.919036514  ecrous maillard&lt;/Valeur&gt;</v>
      </c>
      <c r="AD142" s="15" t="str">
        <f t="shared" si="66"/>
        <v>&lt;Valeur name="valeur"&gt;-35.66&lt;/Valeur&gt;</v>
      </c>
      <c r="AE142" s="15" t="str">
        <f t="shared" si="67"/>
        <v>&lt;Valeur name="tvapct"&gt;20&lt;/Valeur&gt;</v>
      </c>
      <c r="AF142" s="15" t="str">
        <f t="shared" si="68"/>
        <v>&lt;Valeur name="tva"&gt;5.94333333333333&lt;/Valeur&gt;</v>
      </c>
      <c r="AG142" s="15" t="s">
        <v>873</v>
      </c>
      <c r="AH142" s="15" t="str">
        <f t="shared" si="69"/>
        <v>&lt;Insert&gt;&lt;Valeur name="no"&gt;141&lt;/Valeur&gt;&lt;Valeur name="societe"&gt;1&lt;/Valeur&gt;&lt;Valeur name="pointer"&gt;1&lt;/Valeur&gt;&lt;Valeur name="datevaleur"&gt;2019/07/15&lt;/Valeur&gt;&lt;Valeur name="datecompta"&gt;2019/05/16&lt;/Valeur&gt;&lt;Valeur name="compte"&gt;62&lt;/Valeur&gt;&lt;Valeur name="description"&gt;F.919036514  ecrous maillard&lt;/Valeur&gt;&lt;Valeur name="valeur"&gt;-35.66&lt;/Valeur&gt;&lt;Valeur name="tvapct"&gt;20&lt;/Valeur&gt;&lt;Valeur name="tva"&gt;5.94333333333333&lt;/Valeur&gt;&lt;/Insert&gt;</v>
      </c>
    </row>
    <row r="143" spans="1:34" hidden="1" x14ac:dyDescent="0.25">
      <c r="A143" s="9">
        <v>43600</v>
      </c>
      <c r="B143" s="1">
        <v>43646</v>
      </c>
      <c r="C143" t="str">
        <f>INDEX(Balance!A:A,MATCH(D143,Balance!B:B,0))</f>
        <v>Fournisseurs</v>
      </c>
      <c r="D143" t="s">
        <v>797</v>
      </c>
      <c r="E143" t="s">
        <v>798</v>
      </c>
      <c r="F143">
        <v>1149.48</v>
      </c>
      <c r="H143" s="3">
        <f t="shared" si="46"/>
        <v>191.57999999999993</v>
      </c>
      <c r="K143">
        <v>142</v>
      </c>
      <c r="L143">
        <v>1</v>
      </c>
      <c r="M143">
        <v>1</v>
      </c>
      <c r="N143" s="16" t="s">
        <v>883</v>
      </c>
      <c r="O143" s="16" t="s">
        <v>881</v>
      </c>
      <c r="P143">
        <f>IFERROR(VLOOKUP(D143,tab!A:B,2,FALSE),-1000)</f>
        <v>72</v>
      </c>
      <c r="Q143" s="14" t="str">
        <f t="shared" si="42"/>
        <v>FA921083 grillage maillard + IPE Dias + tole noir sainghien</v>
      </c>
      <c r="R143">
        <f t="shared" si="43"/>
        <v>-1149.48</v>
      </c>
      <c r="S143">
        <v>20</v>
      </c>
      <c r="T143" s="13">
        <f t="shared" si="44"/>
        <v>191.57999999999993</v>
      </c>
      <c r="V143" t="s">
        <v>872</v>
      </c>
      <c r="W143" t="str">
        <f t="shared" si="59"/>
        <v>&lt;Valeur name="no"&gt;142&lt;/Valeur&gt;</v>
      </c>
      <c r="X143" t="str">
        <f t="shared" si="60"/>
        <v>&lt;Valeur name="societe"&gt;1&lt;/Valeur&gt;</v>
      </c>
      <c r="Y143" t="str">
        <f t="shared" si="61"/>
        <v>&lt;Valeur name="pointer"&gt;1&lt;/Valeur&gt;</v>
      </c>
      <c r="Z143" s="15" t="str">
        <f t="shared" si="62"/>
        <v>&lt;Valeur name="datevaleur"&gt;2019/06/30&lt;/Valeur&gt;</v>
      </c>
      <c r="AA143" s="15" t="str">
        <f t="shared" si="63"/>
        <v>&lt;Valeur name="datecompta"&gt;2019/05/15&lt;/Valeur&gt;</v>
      </c>
      <c r="AB143" s="15" t="str">
        <f t="shared" si="64"/>
        <v>&lt;Valeur name="compte"&gt;72&lt;/Valeur&gt;</v>
      </c>
      <c r="AC143" s="15" t="str">
        <f t="shared" si="65"/>
        <v>&lt;Valeur name="description"&gt;FA921083 grillage maillard + IPE Dias + tole noir sainghien&lt;/Valeur&gt;</v>
      </c>
      <c r="AD143" s="15" t="str">
        <f t="shared" si="66"/>
        <v>&lt;Valeur name="valeur"&gt;-1149.48&lt;/Valeur&gt;</v>
      </c>
      <c r="AE143" s="15" t="str">
        <f t="shared" si="67"/>
        <v>&lt;Valeur name="tvapct"&gt;20&lt;/Valeur&gt;</v>
      </c>
      <c r="AF143" s="15" t="str">
        <f t="shared" si="68"/>
        <v>&lt;Valeur name="tva"&gt;191.58&lt;/Valeur&gt;</v>
      </c>
      <c r="AG143" s="15" t="s">
        <v>873</v>
      </c>
      <c r="AH143" s="15" t="str">
        <f t="shared" si="69"/>
        <v>&lt;Insert&gt;&lt;Valeur name="no"&gt;142&lt;/Valeur&gt;&lt;Valeur name="societe"&gt;1&lt;/Valeur&gt;&lt;Valeur name="pointer"&gt;1&lt;/Valeur&gt;&lt;Valeur name="datevaleur"&gt;2019/06/30&lt;/Valeur&gt;&lt;Valeur name="datecompta"&gt;2019/05/15&lt;/Valeur&gt;&lt;Valeur name="compte"&gt;72&lt;/Valeur&gt;&lt;Valeur name="description"&gt;FA921083 grillage maillard + IPE Dias + tole noir sainghien&lt;/Valeur&gt;&lt;Valeur name="valeur"&gt;-1149.48&lt;/Valeur&gt;&lt;Valeur name="tvapct"&gt;20&lt;/Valeur&gt;&lt;Valeur name="tva"&gt;191.58&lt;/Valeur&gt;&lt;/Insert&gt;</v>
      </c>
    </row>
    <row r="144" spans="1:34" hidden="1" x14ac:dyDescent="0.25">
      <c r="A144" s="9">
        <v>43604</v>
      </c>
      <c r="B144" s="1">
        <v>43646</v>
      </c>
      <c r="C144" t="str">
        <f>INDEX(Balance!A:A,MATCH(D144,Balance!B:B,0))</f>
        <v>Fournisseurs</v>
      </c>
      <c r="D144" t="s">
        <v>285</v>
      </c>
      <c r="E144" t="s">
        <v>801</v>
      </c>
      <c r="F144">
        <v>1813.68</v>
      </c>
      <c r="H144" s="3">
        <f t="shared" si="46"/>
        <v>302.27999999999997</v>
      </c>
      <c r="K144">
        <v>143</v>
      </c>
      <c r="L144">
        <v>1</v>
      </c>
      <c r="M144">
        <v>1</v>
      </c>
      <c r="N144" s="16" t="s">
        <v>883</v>
      </c>
      <c r="O144" s="16" t="s">
        <v>930</v>
      </c>
      <c r="P144">
        <f>IFERROR(VLOOKUP(D144,tab!A:B,2,FALSE),-1000)</f>
        <v>122</v>
      </c>
      <c r="Q144" s="14" t="str">
        <f t="shared" si="42"/>
        <v xml:space="preserve">FAC1194  Marche HEVEA44 CAPH </v>
      </c>
      <c r="R144">
        <f t="shared" si="43"/>
        <v>-1813.68</v>
      </c>
      <c r="S144">
        <v>20</v>
      </c>
      <c r="T144" s="13">
        <f t="shared" si="44"/>
        <v>302.27999999999997</v>
      </c>
      <c r="V144" t="s">
        <v>872</v>
      </c>
      <c r="W144" t="str">
        <f t="shared" si="59"/>
        <v>&lt;Valeur name="no"&gt;143&lt;/Valeur&gt;</v>
      </c>
      <c r="X144" t="str">
        <f t="shared" si="60"/>
        <v>&lt;Valeur name="societe"&gt;1&lt;/Valeur&gt;</v>
      </c>
      <c r="Y144" t="str">
        <f t="shared" si="61"/>
        <v>&lt;Valeur name="pointer"&gt;1&lt;/Valeur&gt;</v>
      </c>
      <c r="Z144" s="15" t="str">
        <f t="shared" si="62"/>
        <v>&lt;Valeur name="datevaleur"&gt;2019/06/30&lt;/Valeur&gt;</v>
      </c>
      <c r="AA144" s="15" t="str">
        <f t="shared" si="63"/>
        <v>&lt;Valeur name="datecompta"&gt;2019/05/19&lt;/Valeur&gt;</v>
      </c>
      <c r="AB144" s="15" t="str">
        <f t="shared" si="64"/>
        <v>&lt;Valeur name="compte"&gt;122&lt;/Valeur&gt;</v>
      </c>
      <c r="AC144" s="15" t="str">
        <f t="shared" si="65"/>
        <v>&lt;Valeur name="description"&gt;FAC1194  Marche HEVEA44 CAPH &lt;/Valeur&gt;</v>
      </c>
      <c r="AD144" s="15" t="str">
        <f t="shared" si="66"/>
        <v>&lt;Valeur name="valeur"&gt;-1813.68&lt;/Valeur&gt;</v>
      </c>
      <c r="AE144" s="15" t="str">
        <f t="shared" si="67"/>
        <v>&lt;Valeur name="tvapct"&gt;20&lt;/Valeur&gt;</v>
      </c>
      <c r="AF144" s="15" t="str">
        <f t="shared" si="68"/>
        <v>&lt;Valeur name="tva"&gt;302.28&lt;/Valeur&gt;</v>
      </c>
      <c r="AG144" s="15" t="s">
        <v>873</v>
      </c>
      <c r="AH144" s="15" t="str">
        <f t="shared" si="69"/>
        <v>&lt;Insert&gt;&lt;Valeur name="no"&gt;143&lt;/Valeur&gt;&lt;Valeur name="societe"&gt;1&lt;/Valeur&gt;&lt;Valeur name="pointer"&gt;1&lt;/Valeur&gt;&lt;Valeur name="datevaleur"&gt;2019/06/30&lt;/Valeur&gt;&lt;Valeur name="datecompta"&gt;2019/05/19&lt;/Valeur&gt;&lt;Valeur name="compte"&gt;122&lt;/Valeur&gt;&lt;Valeur name="description"&gt;FAC1194  Marche HEVEA44 CAPH &lt;/Valeur&gt;&lt;Valeur name="valeur"&gt;-1813.68&lt;/Valeur&gt;&lt;Valeur name="tvapct"&gt;20&lt;/Valeur&gt;&lt;Valeur name="tva"&gt;302.28&lt;/Valeur&gt;&lt;/Insert&gt;</v>
      </c>
    </row>
    <row r="145" spans="1:34" hidden="1" x14ac:dyDescent="0.25">
      <c r="A145" s="9">
        <v>43615</v>
      </c>
      <c r="B145" s="1">
        <v>43646</v>
      </c>
      <c r="C145" t="str">
        <f>INDEX(Balance!A:A,MATCH(D145,Balance!B:B,0))</f>
        <v>Fournisseurs</v>
      </c>
      <c r="D145" t="s">
        <v>298</v>
      </c>
      <c r="E145" t="s">
        <v>836</v>
      </c>
      <c r="F145">
        <v>189.1</v>
      </c>
      <c r="H145" s="3">
        <f t="shared" si="46"/>
        <v>31.516666666666652</v>
      </c>
      <c r="K145">
        <v>144</v>
      </c>
      <c r="L145">
        <v>1</v>
      </c>
      <c r="M145">
        <v>1</v>
      </c>
      <c r="N145" s="16" t="s">
        <v>883</v>
      </c>
      <c r="O145" s="16" t="s">
        <v>897</v>
      </c>
      <c r="P145">
        <f>IFERROR(VLOOKUP(D145,tab!A:B,2,FALSE),-1000)</f>
        <v>81</v>
      </c>
      <c r="Q145" s="14" t="str">
        <f t="shared" si="42"/>
        <v>F.9318342 visserie</v>
      </c>
      <c r="R145">
        <f t="shared" si="43"/>
        <v>-189.1</v>
      </c>
      <c r="S145">
        <v>20</v>
      </c>
      <c r="T145" s="13">
        <f t="shared" si="44"/>
        <v>31.516666666666652</v>
      </c>
      <c r="V145" t="s">
        <v>872</v>
      </c>
      <c r="W145" t="str">
        <f t="shared" si="59"/>
        <v>&lt;Valeur name="no"&gt;144&lt;/Valeur&gt;</v>
      </c>
      <c r="X145" t="str">
        <f t="shared" si="60"/>
        <v>&lt;Valeur name="societe"&gt;1&lt;/Valeur&gt;</v>
      </c>
      <c r="Y145" t="str">
        <f t="shared" si="61"/>
        <v>&lt;Valeur name="pointer"&gt;1&lt;/Valeur&gt;</v>
      </c>
      <c r="Z145" s="15" t="str">
        <f t="shared" si="62"/>
        <v>&lt;Valeur name="datevaleur"&gt;2019/06/30&lt;/Valeur&gt;</v>
      </c>
      <c r="AA145" s="15" t="str">
        <f t="shared" si="63"/>
        <v>&lt;Valeur name="datecompta"&gt;2019/05/30&lt;/Valeur&gt;</v>
      </c>
      <c r="AB145" s="15" t="str">
        <f t="shared" si="64"/>
        <v>&lt;Valeur name="compte"&gt;81&lt;/Valeur&gt;</v>
      </c>
      <c r="AC145" s="15" t="str">
        <f t="shared" si="65"/>
        <v>&lt;Valeur name="description"&gt;F.9318342 visserie&lt;/Valeur&gt;</v>
      </c>
      <c r="AD145" s="15" t="str">
        <f t="shared" si="66"/>
        <v>&lt;Valeur name="valeur"&gt;-189.1&lt;/Valeur&gt;</v>
      </c>
      <c r="AE145" s="15" t="str">
        <f t="shared" si="67"/>
        <v>&lt;Valeur name="tvapct"&gt;20&lt;/Valeur&gt;</v>
      </c>
      <c r="AF145" s="15" t="str">
        <f t="shared" si="68"/>
        <v>&lt;Valeur name="tva"&gt;31.5166666666667&lt;/Valeur&gt;</v>
      </c>
      <c r="AG145" s="15" t="s">
        <v>873</v>
      </c>
      <c r="AH145" s="15" t="str">
        <f t="shared" si="69"/>
        <v>&lt;Insert&gt;&lt;Valeur name="no"&gt;144&lt;/Valeur&gt;&lt;Valeur name="societe"&gt;1&lt;/Valeur&gt;&lt;Valeur name="pointer"&gt;1&lt;/Valeur&gt;&lt;Valeur name="datevaleur"&gt;2019/06/30&lt;/Valeur&gt;&lt;Valeur name="datecompta"&gt;2019/05/30&lt;/Valeur&gt;&lt;Valeur name="compte"&gt;81&lt;/Valeur&gt;&lt;Valeur name="description"&gt;F.9318342 visserie&lt;/Valeur&gt;&lt;Valeur name="valeur"&gt;-189.1&lt;/Valeur&gt;&lt;Valeur name="tvapct"&gt;20&lt;/Valeur&gt;&lt;Valeur name="tva"&gt;31.5166666666667&lt;/Valeur&gt;&lt;/Insert&gt;</v>
      </c>
    </row>
    <row r="146" spans="1:34" hidden="1" x14ac:dyDescent="0.25">
      <c r="A146" s="9">
        <v>43615</v>
      </c>
      <c r="B146" s="1">
        <v>43646</v>
      </c>
      <c r="C146" t="str">
        <f>INDEX(Balance!A:A,MATCH(D146,Balance!B:B,0))</f>
        <v>Fournisseurs</v>
      </c>
      <c r="D146" t="s">
        <v>281</v>
      </c>
      <c r="E146" t="s">
        <v>837</v>
      </c>
      <c r="F146">
        <v>847.2</v>
      </c>
      <c r="H146" s="3">
        <f t="shared" si="46"/>
        <v>141.19999999999993</v>
      </c>
      <c r="K146">
        <v>145</v>
      </c>
      <c r="L146">
        <v>1</v>
      </c>
      <c r="M146">
        <v>1</v>
      </c>
      <c r="N146" s="16" t="s">
        <v>883</v>
      </c>
      <c r="O146" s="16" t="s">
        <v>897</v>
      </c>
      <c r="P146">
        <f>IFERROR(VLOOKUP(D146,tab!A:B,2,FALSE),-1000)</f>
        <v>77</v>
      </c>
      <c r="Q146" s="14" t="str">
        <f t="shared" si="42"/>
        <v>F.FAL09225 tôles Inox CAPH</v>
      </c>
      <c r="R146">
        <f t="shared" si="43"/>
        <v>-847.2</v>
      </c>
      <c r="S146">
        <v>20</v>
      </c>
      <c r="T146" s="13">
        <f t="shared" si="44"/>
        <v>141.19999999999993</v>
      </c>
      <c r="V146" t="s">
        <v>872</v>
      </c>
      <c r="W146" t="str">
        <f t="shared" si="59"/>
        <v>&lt;Valeur name="no"&gt;145&lt;/Valeur&gt;</v>
      </c>
      <c r="X146" t="str">
        <f t="shared" si="60"/>
        <v>&lt;Valeur name="societe"&gt;1&lt;/Valeur&gt;</v>
      </c>
      <c r="Y146" t="str">
        <f t="shared" si="61"/>
        <v>&lt;Valeur name="pointer"&gt;1&lt;/Valeur&gt;</v>
      </c>
      <c r="Z146" s="15" t="str">
        <f t="shared" si="62"/>
        <v>&lt;Valeur name="datevaleur"&gt;2019/06/30&lt;/Valeur&gt;</v>
      </c>
      <c r="AA146" s="15" t="str">
        <f t="shared" si="63"/>
        <v>&lt;Valeur name="datecompta"&gt;2019/05/30&lt;/Valeur&gt;</v>
      </c>
      <c r="AB146" s="15" t="str">
        <f t="shared" si="64"/>
        <v>&lt;Valeur name="compte"&gt;77&lt;/Valeur&gt;</v>
      </c>
      <c r="AC146" s="15" t="str">
        <f t="shared" si="65"/>
        <v>&lt;Valeur name="description"&gt;F.FAL09225 tôles Inox CAPH&lt;/Valeur&gt;</v>
      </c>
      <c r="AD146" s="15" t="str">
        <f t="shared" si="66"/>
        <v>&lt;Valeur name="valeur"&gt;-847.2&lt;/Valeur&gt;</v>
      </c>
      <c r="AE146" s="15" t="str">
        <f t="shared" si="67"/>
        <v>&lt;Valeur name="tvapct"&gt;20&lt;/Valeur&gt;</v>
      </c>
      <c r="AF146" s="15" t="str">
        <f t="shared" si="68"/>
        <v>&lt;Valeur name="tva"&gt;141.2&lt;/Valeur&gt;</v>
      </c>
      <c r="AG146" s="15" t="s">
        <v>873</v>
      </c>
      <c r="AH146" s="15" t="str">
        <f t="shared" si="69"/>
        <v>&lt;Insert&gt;&lt;Valeur name="no"&gt;145&lt;/Valeur&gt;&lt;Valeur name="societe"&gt;1&lt;/Valeur&gt;&lt;Valeur name="pointer"&gt;1&lt;/Valeur&gt;&lt;Valeur name="datevaleur"&gt;2019/06/30&lt;/Valeur&gt;&lt;Valeur name="datecompta"&gt;2019/05/30&lt;/Valeur&gt;&lt;Valeur name="compte"&gt;77&lt;/Valeur&gt;&lt;Valeur name="description"&gt;F.FAL09225 tôles Inox CAPH&lt;/Valeur&gt;&lt;Valeur name="valeur"&gt;-847.2&lt;/Valeur&gt;&lt;Valeur name="tvapct"&gt;20&lt;/Valeur&gt;&lt;Valeur name="tva"&gt;141.2&lt;/Valeur&gt;&lt;/Insert&gt;</v>
      </c>
    </row>
    <row r="147" spans="1:34" hidden="1" x14ac:dyDescent="0.25">
      <c r="A147" s="9">
        <v>43615</v>
      </c>
      <c r="B147" s="1">
        <v>43646</v>
      </c>
      <c r="C147" t="str">
        <f>INDEX(Balance!A:A,MATCH(D147,Balance!B:B,0))</f>
        <v>Fournisseurs</v>
      </c>
      <c r="D147" t="s">
        <v>357</v>
      </c>
      <c r="E147" t="s">
        <v>838</v>
      </c>
      <c r="F147">
        <v>206.94</v>
      </c>
      <c r="H147" s="3">
        <f t="shared" si="46"/>
        <v>34.489999999999981</v>
      </c>
      <c r="K147">
        <v>146</v>
      </c>
      <c r="L147">
        <v>1</v>
      </c>
      <c r="M147">
        <v>1</v>
      </c>
      <c r="N147" s="16" t="s">
        <v>883</v>
      </c>
      <c r="O147" s="16" t="s">
        <v>897</v>
      </c>
      <c r="P147">
        <f>IFERROR(VLOOKUP(D147,tab!A:B,2,FALSE),-1000)</f>
        <v>50</v>
      </c>
      <c r="Q147" s="14" t="str">
        <f t="shared" si="42"/>
        <v>F.1905006 Solde Prorata Thery</v>
      </c>
      <c r="R147">
        <f t="shared" si="43"/>
        <v>-206.94</v>
      </c>
      <c r="S147">
        <v>20</v>
      </c>
      <c r="T147" s="13">
        <f t="shared" si="44"/>
        <v>34.489999999999981</v>
      </c>
      <c r="V147" t="s">
        <v>872</v>
      </c>
      <c r="W147" t="str">
        <f t="shared" si="59"/>
        <v>&lt;Valeur name="no"&gt;146&lt;/Valeur&gt;</v>
      </c>
      <c r="X147" t="str">
        <f t="shared" si="60"/>
        <v>&lt;Valeur name="societe"&gt;1&lt;/Valeur&gt;</v>
      </c>
      <c r="Y147" t="str">
        <f t="shared" si="61"/>
        <v>&lt;Valeur name="pointer"&gt;1&lt;/Valeur&gt;</v>
      </c>
      <c r="Z147" s="15" t="str">
        <f t="shared" si="62"/>
        <v>&lt;Valeur name="datevaleur"&gt;2019/06/30&lt;/Valeur&gt;</v>
      </c>
      <c r="AA147" s="15" t="str">
        <f t="shared" si="63"/>
        <v>&lt;Valeur name="datecompta"&gt;2019/05/30&lt;/Valeur&gt;</v>
      </c>
      <c r="AB147" s="15" t="str">
        <f t="shared" si="64"/>
        <v>&lt;Valeur name="compte"&gt;50&lt;/Valeur&gt;</v>
      </c>
      <c r="AC147" s="15" t="str">
        <f t="shared" si="65"/>
        <v>&lt;Valeur name="description"&gt;F.1905006 Solde Prorata Thery&lt;/Valeur&gt;</v>
      </c>
      <c r="AD147" s="15" t="str">
        <f t="shared" si="66"/>
        <v>&lt;Valeur name="valeur"&gt;-206.94&lt;/Valeur&gt;</v>
      </c>
      <c r="AE147" s="15" t="str">
        <f t="shared" si="67"/>
        <v>&lt;Valeur name="tvapct"&gt;20&lt;/Valeur&gt;</v>
      </c>
      <c r="AF147" s="15" t="str">
        <f t="shared" si="68"/>
        <v>&lt;Valeur name="tva"&gt;34.49&lt;/Valeur&gt;</v>
      </c>
      <c r="AG147" s="15" t="s">
        <v>873</v>
      </c>
      <c r="AH147" s="15" t="str">
        <f t="shared" si="69"/>
        <v>&lt;Insert&gt;&lt;Valeur name="no"&gt;146&lt;/Valeur&gt;&lt;Valeur name="societe"&gt;1&lt;/Valeur&gt;&lt;Valeur name="pointer"&gt;1&lt;/Valeur&gt;&lt;Valeur name="datevaleur"&gt;2019/06/30&lt;/Valeur&gt;&lt;Valeur name="datecompta"&gt;2019/05/30&lt;/Valeur&gt;&lt;Valeur name="compte"&gt;50&lt;/Valeur&gt;&lt;Valeur name="description"&gt;F.1905006 Solde Prorata Thery&lt;/Valeur&gt;&lt;Valeur name="valeur"&gt;-206.94&lt;/Valeur&gt;&lt;Valeur name="tvapct"&gt;20&lt;/Valeur&gt;&lt;Valeur name="tva"&gt;34.49&lt;/Valeur&gt;&lt;/Insert&gt;</v>
      </c>
    </row>
    <row r="148" spans="1:34" hidden="1" x14ac:dyDescent="0.25">
      <c r="A148" s="9">
        <v>43615</v>
      </c>
      <c r="B148" s="1">
        <v>43646</v>
      </c>
      <c r="C148" t="str">
        <f>INDEX(Balance!A:A,MATCH(D148,Balance!B:B,0))</f>
        <v>Fournisseurs</v>
      </c>
      <c r="D148" t="s">
        <v>259</v>
      </c>
      <c r="E148" t="s">
        <v>839</v>
      </c>
      <c r="F148">
        <v>1073.9000000000001</v>
      </c>
      <c r="H148" s="3">
        <f t="shared" si="46"/>
        <v>178.98333333333335</v>
      </c>
      <c r="K148">
        <v>147</v>
      </c>
      <c r="L148">
        <v>1</v>
      </c>
      <c r="M148">
        <v>1</v>
      </c>
      <c r="N148" s="16" t="s">
        <v>883</v>
      </c>
      <c r="O148" s="16" t="s">
        <v>897</v>
      </c>
      <c r="P148">
        <f>IFERROR(VLOOKUP(D148,tab!A:B,2,FALSE),-1000)</f>
        <v>72</v>
      </c>
      <c r="Q148" s="14" t="str">
        <f t="shared" si="42"/>
        <v xml:space="preserve">F.FA921690 </v>
      </c>
      <c r="R148">
        <f t="shared" si="43"/>
        <v>-1073.9000000000001</v>
      </c>
      <c r="S148">
        <v>20</v>
      </c>
      <c r="T148" s="13">
        <f t="shared" si="44"/>
        <v>178.98333333333335</v>
      </c>
      <c r="V148" t="s">
        <v>872</v>
      </c>
      <c r="W148" t="str">
        <f t="shared" si="59"/>
        <v>&lt;Valeur name="no"&gt;147&lt;/Valeur&gt;</v>
      </c>
      <c r="X148" t="str">
        <f t="shared" si="60"/>
        <v>&lt;Valeur name="societe"&gt;1&lt;/Valeur&gt;</v>
      </c>
      <c r="Y148" t="str">
        <f t="shared" si="61"/>
        <v>&lt;Valeur name="pointer"&gt;1&lt;/Valeur&gt;</v>
      </c>
      <c r="Z148" s="15" t="str">
        <f t="shared" si="62"/>
        <v>&lt;Valeur name="datevaleur"&gt;2019/06/30&lt;/Valeur&gt;</v>
      </c>
      <c r="AA148" s="15" t="str">
        <f t="shared" si="63"/>
        <v>&lt;Valeur name="datecompta"&gt;2019/05/30&lt;/Valeur&gt;</v>
      </c>
      <c r="AB148" s="15" t="str">
        <f t="shared" si="64"/>
        <v>&lt;Valeur name="compte"&gt;72&lt;/Valeur&gt;</v>
      </c>
      <c r="AC148" s="15" t="str">
        <f t="shared" si="65"/>
        <v>&lt;Valeur name="description"&gt;F.FA921690 &lt;/Valeur&gt;</v>
      </c>
      <c r="AD148" s="15" t="str">
        <f t="shared" si="66"/>
        <v>&lt;Valeur name="valeur"&gt;-1073.9&lt;/Valeur&gt;</v>
      </c>
      <c r="AE148" s="15" t="str">
        <f t="shared" si="67"/>
        <v>&lt;Valeur name="tvapct"&gt;20&lt;/Valeur&gt;</v>
      </c>
      <c r="AF148" s="15" t="str">
        <f t="shared" si="68"/>
        <v>&lt;Valeur name="tva"&gt;178.983333333333&lt;/Valeur&gt;</v>
      </c>
      <c r="AG148" s="15" t="s">
        <v>873</v>
      </c>
      <c r="AH148" s="15" t="str">
        <f t="shared" si="69"/>
        <v>&lt;Insert&gt;&lt;Valeur name="no"&gt;147&lt;/Valeur&gt;&lt;Valeur name="societe"&gt;1&lt;/Valeur&gt;&lt;Valeur name="pointer"&gt;1&lt;/Valeur&gt;&lt;Valeur name="datevaleur"&gt;2019/06/30&lt;/Valeur&gt;&lt;Valeur name="datecompta"&gt;2019/05/30&lt;/Valeur&gt;&lt;Valeur name="compte"&gt;72&lt;/Valeur&gt;&lt;Valeur name="description"&gt;F.FA921690 &lt;/Valeur&gt;&lt;Valeur name="valeur"&gt;-1073.9&lt;/Valeur&gt;&lt;Valeur name="tvapct"&gt;20&lt;/Valeur&gt;&lt;Valeur name="tva"&gt;178.983333333333&lt;/Valeur&gt;&lt;/Insert&gt;</v>
      </c>
    </row>
    <row r="149" spans="1:34" hidden="1" x14ac:dyDescent="0.25">
      <c r="A149" s="9">
        <v>43615</v>
      </c>
      <c r="B149" s="1">
        <v>43646</v>
      </c>
      <c r="C149" t="str">
        <f>INDEX(Balance!A:A,MATCH(D149,Balance!B:B,0))</f>
        <v>Fournisseurs</v>
      </c>
      <c r="D149" t="s">
        <v>586</v>
      </c>
      <c r="E149" t="s">
        <v>840</v>
      </c>
      <c r="F149">
        <v>2122.98</v>
      </c>
      <c r="H149" s="3">
        <f t="shared" si="46"/>
        <v>353.82999999999993</v>
      </c>
      <c r="K149">
        <v>148</v>
      </c>
      <c r="L149">
        <v>1</v>
      </c>
      <c r="M149">
        <v>1</v>
      </c>
      <c r="N149" s="16" t="s">
        <v>883</v>
      </c>
      <c r="O149" s="16" t="s">
        <v>897</v>
      </c>
      <c r="P149">
        <f>IFERROR(VLOOKUP(D149,tab!A:B,2,FALSE),-1000)</f>
        <v>92</v>
      </c>
      <c r="Q149" s="14" t="str">
        <f t="shared" si="42"/>
        <v>F.T101291 Hevea 33 3panneaux + bois palissade Maillard</v>
      </c>
      <c r="R149">
        <f t="shared" si="43"/>
        <v>-2122.98</v>
      </c>
      <c r="S149">
        <v>20</v>
      </c>
      <c r="T149" s="13">
        <f t="shared" si="44"/>
        <v>353.82999999999993</v>
      </c>
      <c r="V149" t="s">
        <v>872</v>
      </c>
      <c r="W149" t="str">
        <f t="shared" si="59"/>
        <v>&lt;Valeur name="no"&gt;148&lt;/Valeur&gt;</v>
      </c>
      <c r="X149" t="str">
        <f t="shared" si="60"/>
        <v>&lt;Valeur name="societe"&gt;1&lt;/Valeur&gt;</v>
      </c>
      <c r="Y149" t="str">
        <f t="shared" si="61"/>
        <v>&lt;Valeur name="pointer"&gt;1&lt;/Valeur&gt;</v>
      </c>
      <c r="Z149" s="15" t="str">
        <f t="shared" si="62"/>
        <v>&lt;Valeur name="datevaleur"&gt;2019/06/30&lt;/Valeur&gt;</v>
      </c>
      <c r="AA149" s="15" t="str">
        <f t="shared" si="63"/>
        <v>&lt;Valeur name="datecompta"&gt;2019/05/30&lt;/Valeur&gt;</v>
      </c>
      <c r="AB149" s="15" t="str">
        <f t="shared" si="64"/>
        <v>&lt;Valeur name="compte"&gt;92&lt;/Valeur&gt;</v>
      </c>
      <c r="AC149" s="15" t="str">
        <f t="shared" si="65"/>
        <v>&lt;Valeur name="description"&gt;F.T101291 Hevea 33 3panneaux + bois palissade Maillard&lt;/Valeur&gt;</v>
      </c>
      <c r="AD149" s="15" t="str">
        <f t="shared" si="66"/>
        <v>&lt;Valeur name="valeur"&gt;-2122.98&lt;/Valeur&gt;</v>
      </c>
      <c r="AE149" s="15" t="str">
        <f t="shared" si="67"/>
        <v>&lt;Valeur name="tvapct"&gt;20&lt;/Valeur&gt;</v>
      </c>
      <c r="AF149" s="15" t="str">
        <f t="shared" si="68"/>
        <v>&lt;Valeur name="tva"&gt;353.83&lt;/Valeur&gt;</v>
      </c>
      <c r="AG149" s="15" t="s">
        <v>873</v>
      </c>
      <c r="AH149" s="15" t="str">
        <f t="shared" si="69"/>
        <v>&lt;Insert&gt;&lt;Valeur name="no"&gt;148&lt;/Valeur&gt;&lt;Valeur name="societe"&gt;1&lt;/Valeur&gt;&lt;Valeur name="pointer"&gt;1&lt;/Valeur&gt;&lt;Valeur name="datevaleur"&gt;2019/06/30&lt;/Valeur&gt;&lt;Valeur name="datecompta"&gt;2019/05/30&lt;/Valeur&gt;&lt;Valeur name="compte"&gt;92&lt;/Valeur&gt;&lt;Valeur name="description"&gt;F.T101291 Hevea 33 3panneaux + bois palissade Maillard&lt;/Valeur&gt;&lt;Valeur name="valeur"&gt;-2122.98&lt;/Valeur&gt;&lt;Valeur name="tvapct"&gt;20&lt;/Valeur&gt;&lt;Valeur name="tva"&gt;353.83&lt;/Valeur&gt;&lt;/Insert&gt;</v>
      </c>
    </row>
    <row r="150" spans="1:34" hidden="1" x14ac:dyDescent="0.25">
      <c r="A150" s="9">
        <v>43615</v>
      </c>
      <c r="B150" s="1">
        <v>43646</v>
      </c>
      <c r="C150" t="str">
        <f>INDEX(Balance!A:A,MATCH(D150,Balance!B:B,0))</f>
        <v>Fournisseurs</v>
      </c>
      <c r="D150" t="s">
        <v>270</v>
      </c>
      <c r="E150" t="s">
        <v>845</v>
      </c>
      <c r="F150">
        <v>3253.81</v>
      </c>
      <c r="H150" s="3">
        <f t="shared" si="46"/>
        <v>542.30166666666673</v>
      </c>
      <c r="K150">
        <v>149</v>
      </c>
      <c r="L150">
        <v>1</v>
      </c>
      <c r="M150">
        <v>1</v>
      </c>
      <c r="N150" s="16" t="s">
        <v>883</v>
      </c>
      <c r="O150" s="16" t="s">
        <v>897</v>
      </c>
      <c r="P150">
        <f>IFERROR(VLOOKUP(D150,tab!A:B,2,FALSE),-1000)</f>
        <v>110</v>
      </c>
      <c r="Q150" s="14" t="str">
        <f t="shared" si="42"/>
        <v>F.FA6432  RDP 128+130+131+133  LCR Total</v>
      </c>
      <c r="R150">
        <f t="shared" si="43"/>
        <v>-3253.81</v>
      </c>
      <c r="S150">
        <v>20</v>
      </c>
      <c r="T150" s="13">
        <f t="shared" si="44"/>
        <v>542.30166666666673</v>
      </c>
      <c r="V150" t="s">
        <v>872</v>
      </c>
      <c r="W150" t="str">
        <f t="shared" si="59"/>
        <v>&lt;Valeur name="no"&gt;149&lt;/Valeur&gt;</v>
      </c>
      <c r="X150" t="str">
        <f t="shared" si="60"/>
        <v>&lt;Valeur name="societe"&gt;1&lt;/Valeur&gt;</v>
      </c>
      <c r="Y150" t="str">
        <f t="shared" si="61"/>
        <v>&lt;Valeur name="pointer"&gt;1&lt;/Valeur&gt;</v>
      </c>
      <c r="Z150" s="15" t="str">
        <f t="shared" si="62"/>
        <v>&lt;Valeur name="datevaleur"&gt;2019/06/30&lt;/Valeur&gt;</v>
      </c>
      <c r="AA150" s="15" t="str">
        <f t="shared" si="63"/>
        <v>&lt;Valeur name="datecompta"&gt;2019/05/30&lt;/Valeur&gt;</v>
      </c>
      <c r="AB150" s="15" t="str">
        <f t="shared" si="64"/>
        <v>&lt;Valeur name="compte"&gt;110&lt;/Valeur&gt;</v>
      </c>
      <c r="AC150" s="15" t="str">
        <f t="shared" si="65"/>
        <v>&lt;Valeur name="description"&gt;F.FA6432  RDP 128+130+131+133  LCR Total&lt;/Valeur&gt;</v>
      </c>
      <c r="AD150" s="15" t="str">
        <f t="shared" si="66"/>
        <v>&lt;Valeur name="valeur"&gt;-3253.81&lt;/Valeur&gt;</v>
      </c>
      <c r="AE150" s="15" t="str">
        <f t="shared" si="67"/>
        <v>&lt;Valeur name="tvapct"&gt;20&lt;/Valeur&gt;</v>
      </c>
      <c r="AF150" s="15" t="str">
        <f t="shared" si="68"/>
        <v>&lt;Valeur name="tva"&gt;542.301666666667&lt;/Valeur&gt;</v>
      </c>
      <c r="AG150" s="15" t="s">
        <v>873</v>
      </c>
      <c r="AH150" s="15" t="str">
        <f t="shared" si="69"/>
        <v>&lt;Insert&gt;&lt;Valeur name="no"&gt;149&lt;/Valeur&gt;&lt;Valeur name="societe"&gt;1&lt;/Valeur&gt;&lt;Valeur name="pointer"&gt;1&lt;/Valeur&gt;&lt;Valeur name="datevaleur"&gt;2019/06/30&lt;/Valeur&gt;&lt;Valeur name="datecompta"&gt;2019/05/30&lt;/Valeur&gt;&lt;Valeur name="compte"&gt;110&lt;/Valeur&gt;&lt;Valeur name="description"&gt;F.FA6432  RDP 128+130+131+133  LCR Total&lt;/Valeur&gt;&lt;Valeur name="valeur"&gt;-3253.81&lt;/Valeur&gt;&lt;Valeur name="tvapct"&gt;20&lt;/Valeur&gt;&lt;Valeur name="tva"&gt;542.301666666667&lt;/Valeur&gt;&lt;/Insert&gt;</v>
      </c>
    </row>
    <row r="151" spans="1:34" hidden="1" x14ac:dyDescent="0.25">
      <c r="A151" s="9">
        <v>43615</v>
      </c>
      <c r="B151" s="1">
        <v>43646</v>
      </c>
      <c r="C151" t="str">
        <f>INDEX(Balance!A:A,MATCH(D151,Balance!B:B,0))</f>
        <v>Fournisseurs</v>
      </c>
      <c r="D151" t="s">
        <v>285</v>
      </c>
      <c r="E151" t="s">
        <v>846</v>
      </c>
      <c r="F151">
        <v>1813.68</v>
      </c>
      <c r="H151" s="3">
        <f t="shared" si="46"/>
        <v>302.27999999999997</v>
      </c>
      <c r="K151">
        <v>150</v>
      </c>
      <c r="L151">
        <v>1</v>
      </c>
      <c r="M151">
        <v>1</v>
      </c>
      <c r="N151" s="16" t="s">
        <v>883</v>
      </c>
      <c r="O151" s="16" t="s">
        <v>897</v>
      </c>
      <c r="P151">
        <f>IFERROR(VLOOKUP(D151,tab!A:B,2,FALSE),-1000)</f>
        <v>122</v>
      </c>
      <c r="Q151" s="14" t="str">
        <f t="shared" si="42"/>
        <v>F.FAC1194 marches escalier CAPH</v>
      </c>
      <c r="R151">
        <f t="shared" si="43"/>
        <v>-1813.68</v>
      </c>
      <c r="S151">
        <v>20</v>
      </c>
      <c r="T151" s="13">
        <f t="shared" si="44"/>
        <v>302.27999999999997</v>
      </c>
      <c r="V151" t="s">
        <v>872</v>
      </c>
      <c r="W151" t="str">
        <f t="shared" si="59"/>
        <v>&lt;Valeur name="no"&gt;150&lt;/Valeur&gt;</v>
      </c>
      <c r="X151" t="str">
        <f t="shared" si="60"/>
        <v>&lt;Valeur name="societe"&gt;1&lt;/Valeur&gt;</v>
      </c>
      <c r="Y151" t="str">
        <f t="shared" si="61"/>
        <v>&lt;Valeur name="pointer"&gt;1&lt;/Valeur&gt;</v>
      </c>
      <c r="Z151" s="15" t="str">
        <f t="shared" si="62"/>
        <v>&lt;Valeur name="datevaleur"&gt;2019/06/30&lt;/Valeur&gt;</v>
      </c>
      <c r="AA151" s="15" t="str">
        <f t="shared" si="63"/>
        <v>&lt;Valeur name="datecompta"&gt;2019/05/30&lt;/Valeur&gt;</v>
      </c>
      <c r="AB151" s="15" t="str">
        <f t="shared" si="64"/>
        <v>&lt;Valeur name="compte"&gt;122&lt;/Valeur&gt;</v>
      </c>
      <c r="AC151" s="15" t="str">
        <f t="shared" si="65"/>
        <v>&lt;Valeur name="description"&gt;F.FAC1194 marches escalier CAPH&lt;/Valeur&gt;</v>
      </c>
      <c r="AD151" s="15" t="str">
        <f t="shared" si="66"/>
        <v>&lt;Valeur name="valeur"&gt;-1813.68&lt;/Valeur&gt;</v>
      </c>
      <c r="AE151" s="15" t="str">
        <f t="shared" si="67"/>
        <v>&lt;Valeur name="tvapct"&gt;20&lt;/Valeur&gt;</v>
      </c>
      <c r="AF151" s="15" t="str">
        <f t="shared" si="68"/>
        <v>&lt;Valeur name="tva"&gt;302.28&lt;/Valeur&gt;</v>
      </c>
      <c r="AG151" s="15" t="s">
        <v>873</v>
      </c>
      <c r="AH151" s="15" t="str">
        <f t="shared" si="69"/>
        <v>&lt;Insert&gt;&lt;Valeur name="no"&gt;150&lt;/Valeur&gt;&lt;Valeur name="societe"&gt;1&lt;/Valeur&gt;&lt;Valeur name="pointer"&gt;1&lt;/Valeur&gt;&lt;Valeur name="datevaleur"&gt;2019/06/30&lt;/Valeur&gt;&lt;Valeur name="datecompta"&gt;2019/05/30&lt;/Valeur&gt;&lt;Valeur name="compte"&gt;122&lt;/Valeur&gt;&lt;Valeur name="description"&gt;F.FAC1194 marches escalier CAPH&lt;/Valeur&gt;&lt;Valeur name="valeur"&gt;-1813.68&lt;/Valeur&gt;&lt;Valeur name="tvapct"&gt;20&lt;/Valeur&gt;&lt;Valeur name="tva"&gt;302.28&lt;/Valeur&gt;&lt;/Insert&gt;</v>
      </c>
    </row>
    <row r="152" spans="1:34" hidden="1" x14ac:dyDescent="0.25">
      <c r="A152" s="9">
        <v>43615</v>
      </c>
      <c r="B152" s="1">
        <v>43646</v>
      </c>
      <c r="C152" t="str">
        <f>INDEX(Balance!A:A,MATCH(D152,Balance!B:B,0))</f>
        <v>Fournisseurs</v>
      </c>
      <c r="D152" t="s">
        <v>262</v>
      </c>
      <c r="E152" t="s">
        <v>847</v>
      </c>
      <c r="F152">
        <v>279.48</v>
      </c>
      <c r="H152" s="3">
        <f t="shared" si="46"/>
        <v>46.579999999999984</v>
      </c>
      <c r="K152">
        <v>151</v>
      </c>
      <c r="L152">
        <v>1</v>
      </c>
      <c r="M152">
        <v>1</v>
      </c>
      <c r="N152" s="16" t="s">
        <v>883</v>
      </c>
      <c r="O152" s="16" t="s">
        <v>897</v>
      </c>
      <c r="P152">
        <f>IFERROR(VLOOKUP(D152,tab!A:B,2,FALSE),-1000)</f>
        <v>65</v>
      </c>
      <c r="Q152" s="14" t="str">
        <f t="shared" si="42"/>
        <v>F.52679  Local poubelle Maillard</v>
      </c>
      <c r="R152">
        <f t="shared" si="43"/>
        <v>-279.48</v>
      </c>
      <c r="S152">
        <v>20</v>
      </c>
      <c r="T152" s="13">
        <f t="shared" si="44"/>
        <v>46.579999999999984</v>
      </c>
      <c r="V152" t="s">
        <v>872</v>
      </c>
      <c r="W152" t="str">
        <f t="shared" si="59"/>
        <v>&lt;Valeur name="no"&gt;151&lt;/Valeur&gt;</v>
      </c>
      <c r="X152" t="str">
        <f t="shared" si="60"/>
        <v>&lt;Valeur name="societe"&gt;1&lt;/Valeur&gt;</v>
      </c>
      <c r="Y152" t="str">
        <f t="shared" si="61"/>
        <v>&lt;Valeur name="pointer"&gt;1&lt;/Valeur&gt;</v>
      </c>
      <c r="Z152" s="15" t="str">
        <f t="shared" si="62"/>
        <v>&lt;Valeur name="datevaleur"&gt;2019/06/30&lt;/Valeur&gt;</v>
      </c>
      <c r="AA152" s="15" t="str">
        <f t="shared" si="63"/>
        <v>&lt;Valeur name="datecompta"&gt;2019/05/30&lt;/Valeur&gt;</v>
      </c>
      <c r="AB152" s="15" t="str">
        <f t="shared" si="64"/>
        <v>&lt;Valeur name="compte"&gt;65&lt;/Valeur&gt;</v>
      </c>
      <c r="AC152" s="15" t="str">
        <f t="shared" si="65"/>
        <v>&lt;Valeur name="description"&gt;F.52679  Local poubelle Maillard&lt;/Valeur&gt;</v>
      </c>
      <c r="AD152" s="15" t="str">
        <f t="shared" si="66"/>
        <v>&lt;Valeur name="valeur"&gt;-279.48&lt;/Valeur&gt;</v>
      </c>
      <c r="AE152" s="15" t="str">
        <f t="shared" si="67"/>
        <v>&lt;Valeur name="tvapct"&gt;20&lt;/Valeur&gt;</v>
      </c>
      <c r="AF152" s="15" t="str">
        <f t="shared" si="68"/>
        <v>&lt;Valeur name="tva"&gt;46.58&lt;/Valeur&gt;</v>
      </c>
      <c r="AG152" s="15" t="s">
        <v>873</v>
      </c>
      <c r="AH152" s="15" t="str">
        <f t="shared" si="69"/>
        <v>&lt;Insert&gt;&lt;Valeur name="no"&gt;151&lt;/Valeur&gt;&lt;Valeur name="societe"&gt;1&lt;/Valeur&gt;&lt;Valeur name="pointer"&gt;1&lt;/Valeur&gt;&lt;Valeur name="datevaleur"&gt;2019/06/30&lt;/Valeur&gt;&lt;Valeur name="datecompta"&gt;2019/05/30&lt;/Valeur&gt;&lt;Valeur name="compte"&gt;65&lt;/Valeur&gt;&lt;Valeur name="description"&gt;F.52679  Local poubelle Maillard&lt;/Valeur&gt;&lt;Valeur name="valeur"&gt;-279.48&lt;/Valeur&gt;&lt;Valeur name="tvapct"&gt;20&lt;/Valeur&gt;&lt;Valeur name="tva"&gt;46.58&lt;/Valeur&gt;&lt;/Insert&gt;</v>
      </c>
    </row>
    <row r="153" spans="1:34" hidden="1" x14ac:dyDescent="0.25">
      <c r="A153" s="9">
        <v>43615</v>
      </c>
      <c r="B153" s="1">
        <v>43646</v>
      </c>
      <c r="C153" t="str">
        <f>INDEX(Balance!A:A,MATCH(D153,Balance!B:B,0))</f>
        <v>Fournisseurs</v>
      </c>
      <c r="D153" t="s">
        <v>262</v>
      </c>
      <c r="E153" t="s">
        <v>848</v>
      </c>
      <c r="F153">
        <v>65.760000000000005</v>
      </c>
      <c r="H153" s="3">
        <f t="shared" si="46"/>
        <v>10.96</v>
      </c>
      <c r="K153">
        <v>152</v>
      </c>
      <c r="L153">
        <v>1</v>
      </c>
      <c r="M153">
        <v>1</v>
      </c>
      <c r="N153" s="16" t="s">
        <v>883</v>
      </c>
      <c r="O153" s="16" t="s">
        <v>897</v>
      </c>
      <c r="P153">
        <f>IFERROR(VLOOKUP(D153,tab!A:B,2,FALSE),-1000)</f>
        <v>65</v>
      </c>
      <c r="Q153" s="14" t="str">
        <f t="shared" si="42"/>
        <v xml:space="preserve">F.52625 </v>
      </c>
      <c r="R153">
        <f t="shared" si="43"/>
        <v>-65.760000000000005</v>
      </c>
      <c r="S153">
        <v>20</v>
      </c>
      <c r="T153" s="13">
        <f t="shared" si="44"/>
        <v>10.96</v>
      </c>
      <c r="V153" t="s">
        <v>872</v>
      </c>
      <c r="W153" t="str">
        <f t="shared" si="59"/>
        <v>&lt;Valeur name="no"&gt;152&lt;/Valeur&gt;</v>
      </c>
      <c r="X153" t="str">
        <f t="shared" si="60"/>
        <v>&lt;Valeur name="societe"&gt;1&lt;/Valeur&gt;</v>
      </c>
      <c r="Y153" t="str">
        <f t="shared" si="61"/>
        <v>&lt;Valeur name="pointer"&gt;1&lt;/Valeur&gt;</v>
      </c>
      <c r="Z153" s="15" t="str">
        <f t="shared" si="62"/>
        <v>&lt;Valeur name="datevaleur"&gt;2019/06/30&lt;/Valeur&gt;</v>
      </c>
      <c r="AA153" s="15" t="str">
        <f t="shared" si="63"/>
        <v>&lt;Valeur name="datecompta"&gt;2019/05/30&lt;/Valeur&gt;</v>
      </c>
      <c r="AB153" s="15" t="str">
        <f t="shared" si="64"/>
        <v>&lt;Valeur name="compte"&gt;65&lt;/Valeur&gt;</v>
      </c>
      <c r="AC153" s="15" t="str">
        <f t="shared" si="65"/>
        <v>&lt;Valeur name="description"&gt;F.52625 &lt;/Valeur&gt;</v>
      </c>
      <c r="AD153" s="15" t="str">
        <f t="shared" si="66"/>
        <v>&lt;Valeur name="valeur"&gt;-65.76&lt;/Valeur&gt;</v>
      </c>
      <c r="AE153" s="15" t="str">
        <f t="shared" si="67"/>
        <v>&lt;Valeur name="tvapct"&gt;20&lt;/Valeur&gt;</v>
      </c>
      <c r="AF153" s="15" t="str">
        <f t="shared" si="68"/>
        <v>&lt;Valeur name="tva"&gt;10.96&lt;/Valeur&gt;</v>
      </c>
      <c r="AG153" s="15" t="s">
        <v>873</v>
      </c>
      <c r="AH153" s="15" t="str">
        <f t="shared" si="69"/>
        <v>&lt;Insert&gt;&lt;Valeur name="no"&gt;152&lt;/Valeur&gt;&lt;Valeur name="societe"&gt;1&lt;/Valeur&gt;&lt;Valeur name="pointer"&gt;1&lt;/Valeur&gt;&lt;Valeur name="datevaleur"&gt;2019/06/30&lt;/Valeur&gt;&lt;Valeur name="datecompta"&gt;2019/05/30&lt;/Valeur&gt;&lt;Valeur name="compte"&gt;65&lt;/Valeur&gt;&lt;Valeur name="description"&gt;F.52625 &lt;/Valeur&gt;&lt;Valeur name="valeur"&gt;-65.76&lt;/Valeur&gt;&lt;Valeur name="tvapct"&gt;20&lt;/Valeur&gt;&lt;Valeur name="tva"&gt;10.96&lt;/Valeur&gt;&lt;/Insert&gt;</v>
      </c>
    </row>
    <row r="154" spans="1:34" hidden="1" x14ac:dyDescent="0.25">
      <c r="A154" s="9">
        <v>43615</v>
      </c>
      <c r="B154" s="1">
        <v>43676</v>
      </c>
      <c r="C154" t="str">
        <f>INDEX(Balance!A:A,MATCH(D154,Balance!B:B,0))</f>
        <v>Fournisseurs</v>
      </c>
      <c r="D154" t="s">
        <v>277</v>
      </c>
      <c r="E154" t="s">
        <v>849</v>
      </c>
      <c r="F154">
        <v>49.46</v>
      </c>
      <c r="H154" s="3">
        <f t="shared" si="46"/>
        <v>8.2433333333333323</v>
      </c>
      <c r="K154">
        <v>153</v>
      </c>
      <c r="L154">
        <v>1</v>
      </c>
      <c r="M154">
        <v>1</v>
      </c>
      <c r="N154" s="16" t="s">
        <v>931</v>
      </c>
      <c r="O154" s="16" t="s">
        <v>897</v>
      </c>
      <c r="P154">
        <f>IFERROR(VLOOKUP(D154,tab!A:B,2,FALSE),-1000)</f>
        <v>62</v>
      </c>
      <c r="Q154" s="14" t="str">
        <f t="shared" si="42"/>
        <v>F.919039125</v>
      </c>
      <c r="R154">
        <f t="shared" si="43"/>
        <v>-49.46</v>
      </c>
      <c r="S154">
        <v>20</v>
      </c>
      <c r="T154" s="13">
        <f t="shared" si="44"/>
        <v>8.2433333333333323</v>
      </c>
      <c r="V154" t="s">
        <v>872</v>
      </c>
      <c r="W154" t="str">
        <f t="shared" si="59"/>
        <v>&lt;Valeur name="no"&gt;153&lt;/Valeur&gt;</v>
      </c>
      <c r="X154" t="str">
        <f t="shared" si="60"/>
        <v>&lt;Valeur name="societe"&gt;1&lt;/Valeur&gt;</v>
      </c>
      <c r="Y154" t="str">
        <f t="shared" si="61"/>
        <v>&lt;Valeur name="pointer"&gt;1&lt;/Valeur&gt;</v>
      </c>
      <c r="Z154" s="15" t="str">
        <f t="shared" si="62"/>
        <v>&lt;Valeur name="datevaleur"&gt;2019/07/30&lt;/Valeur&gt;</v>
      </c>
      <c r="AA154" s="15" t="str">
        <f t="shared" si="63"/>
        <v>&lt;Valeur name="datecompta"&gt;2019/05/30&lt;/Valeur&gt;</v>
      </c>
      <c r="AB154" s="15" t="str">
        <f t="shared" si="64"/>
        <v>&lt;Valeur name="compte"&gt;62&lt;/Valeur&gt;</v>
      </c>
      <c r="AC154" s="15" t="str">
        <f t="shared" si="65"/>
        <v>&lt;Valeur name="description"&gt;F.919039125&lt;/Valeur&gt;</v>
      </c>
      <c r="AD154" s="15" t="str">
        <f t="shared" si="66"/>
        <v>&lt;Valeur name="valeur"&gt;-49.46&lt;/Valeur&gt;</v>
      </c>
      <c r="AE154" s="15" t="str">
        <f t="shared" si="67"/>
        <v>&lt;Valeur name="tvapct"&gt;20&lt;/Valeur&gt;</v>
      </c>
      <c r="AF154" s="15" t="str">
        <f t="shared" si="68"/>
        <v>&lt;Valeur name="tva"&gt;8.24333333333333&lt;/Valeur&gt;</v>
      </c>
      <c r="AG154" s="15" t="s">
        <v>873</v>
      </c>
      <c r="AH154" s="15" t="str">
        <f t="shared" si="69"/>
        <v>&lt;Insert&gt;&lt;Valeur name="no"&gt;153&lt;/Valeur&gt;&lt;Valeur name="societe"&gt;1&lt;/Valeur&gt;&lt;Valeur name="pointer"&gt;1&lt;/Valeur&gt;&lt;Valeur name="datevaleur"&gt;2019/07/30&lt;/Valeur&gt;&lt;Valeur name="datecompta"&gt;2019/05/30&lt;/Valeur&gt;&lt;Valeur name="compte"&gt;62&lt;/Valeur&gt;&lt;Valeur name="description"&gt;F.919039125&lt;/Valeur&gt;&lt;Valeur name="valeur"&gt;-49.46&lt;/Valeur&gt;&lt;Valeur name="tvapct"&gt;20&lt;/Valeur&gt;&lt;Valeur name="tva"&gt;8.24333333333333&lt;/Valeur&gt;&lt;/Insert&gt;</v>
      </c>
    </row>
    <row r="155" spans="1:34" hidden="1" x14ac:dyDescent="0.25">
      <c r="A155" s="9">
        <v>43615</v>
      </c>
      <c r="B155" s="1">
        <v>43661</v>
      </c>
      <c r="C155" t="str">
        <f>INDEX(Balance!A:A,MATCH(D155,Balance!B:B,0))</f>
        <v>Fournisseurs</v>
      </c>
      <c r="D155" t="s">
        <v>268</v>
      </c>
      <c r="E155" t="s">
        <v>850</v>
      </c>
      <c r="F155">
        <v>132</v>
      </c>
      <c r="H155" s="3">
        <f t="shared" si="46"/>
        <v>22</v>
      </c>
      <c r="K155">
        <v>154</v>
      </c>
      <c r="L155">
        <v>1</v>
      </c>
      <c r="M155">
        <v>1</v>
      </c>
      <c r="N155" s="16" t="s">
        <v>928</v>
      </c>
      <c r="O155" s="16" t="s">
        <v>897</v>
      </c>
      <c r="P155">
        <f>IFERROR(VLOOKUP(D155,tab!A:B,2,FALSE),-1000)</f>
        <v>106</v>
      </c>
      <c r="Q155" s="14" t="str">
        <f t="shared" si="42"/>
        <v xml:space="preserve">F.1905005 </v>
      </c>
      <c r="R155">
        <f t="shared" si="43"/>
        <v>-132</v>
      </c>
      <c r="S155">
        <v>20</v>
      </c>
      <c r="T155" s="13">
        <f t="shared" si="44"/>
        <v>22</v>
      </c>
      <c r="V155" t="s">
        <v>872</v>
      </c>
      <c r="W155" t="str">
        <f t="shared" si="59"/>
        <v>&lt;Valeur name="no"&gt;154&lt;/Valeur&gt;</v>
      </c>
      <c r="X155" t="str">
        <f t="shared" si="60"/>
        <v>&lt;Valeur name="societe"&gt;1&lt;/Valeur&gt;</v>
      </c>
      <c r="Y155" t="str">
        <f t="shared" si="61"/>
        <v>&lt;Valeur name="pointer"&gt;1&lt;/Valeur&gt;</v>
      </c>
      <c r="Z155" s="15" t="str">
        <f t="shared" si="62"/>
        <v>&lt;Valeur name="datevaleur"&gt;2019/07/15&lt;/Valeur&gt;</v>
      </c>
      <c r="AA155" s="15" t="str">
        <f t="shared" si="63"/>
        <v>&lt;Valeur name="datecompta"&gt;2019/05/30&lt;/Valeur&gt;</v>
      </c>
      <c r="AB155" s="15" t="str">
        <f t="shared" si="64"/>
        <v>&lt;Valeur name="compte"&gt;106&lt;/Valeur&gt;</v>
      </c>
      <c r="AC155" s="15" t="str">
        <f t="shared" si="65"/>
        <v>&lt;Valeur name="description"&gt;F.1905005 &lt;/Valeur&gt;</v>
      </c>
      <c r="AD155" s="15" t="str">
        <f t="shared" si="66"/>
        <v>&lt;Valeur name="valeur"&gt;-132&lt;/Valeur&gt;</v>
      </c>
      <c r="AE155" s="15" t="str">
        <f t="shared" si="67"/>
        <v>&lt;Valeur name="tvapct"&gt;20&lt;/Valeur&gt;</v>
      </c>
      <c r="AF155" s="15" t="str">
        <f t="shared" si="68"/>
        <v>&lt;Valeur name="tva"&gt;22&lt;/Valeur&gt;</v>
      </c>
      <c r="AG155" s="15" t="s">
        <v>873</v>
      </c>
      <c r="AH155" s="15" t="str">
        <f t="shared" si="69"/>
        <v>&lt;Insert&gt;&lt;Valeur name="no"&gt;154&lt;/Valeur&gt;&lt;Valeur name="societe"&gt;1&lt;/Valeur&gt;&lt;Valeur name="pointer"&gt;1&lt;/Valeur&gt;&lt;Valeur name="datevaleur"&gt;2019/07/15&lt;/Valeur&gt;&lt;Valeur name="datecompta"&gt;2019/05/30&lt;/Valeur&gt;&lt;Valeur name="compte"&gt;106&lt;/Valeur&gt;&lt;Valeur name="description"&gt;F.1905005 &lt;/Valeur&gt;&lt;Valeur name="valeur"&gt;-132&lt;/Valeur&gt;&lt;Valeur name="tvapct"&gt;20&lt;/Valeur&gt;&lt;Valeur name="tva"&gt;22&lt;/Valeur&gt;&lt;/Insert&gt;</v>
      </c>
    </row>
    <row r="156" spans="1:34" hidden="1" x14ac:dyDescent="0.25">
      <c r="A156" s="9">
        <v>43615</v>
      </c>
      <c r="B156" s="1">
        <v>43654</v>
      </c>
      <c r="C156" t="str">
        <f>INDEX(Balance!A:A,MATCH(D156,Balance!B:B,0))</f>
        <v>Fournisseurs</v>
      </c>
      <c r="D156" t="s">
        <v>613</v>
      </c>
      <c r="E156" t="s">
        <v>851</v>
      </c>
      <c r="F156">
        <v>202.18</v>
      </c>
      <c r="H156" s="3">
        <f t="shared" si="46"/>
        <v>33.696666666666658</v>
      </c>
      <c r="K156">
        <v>155</v>
      </c>
      <c r="L156">
        <v>1</v>
      </c>
      <c r="M156">
        <v>1</v>
      </c>
      <c r="N156" s="16" t="s">
        <v>932</v>
      </c>
      <c r="O156" s="16" t="s">
        <v>897</v>
      </c>
      <c r="P156">
        <f>IFERROR(VLOOKUP(D156,tab!A:B,2,FALSE),-1000)</f>
        <v>62</v>
      </c>
      <c r="Q156" s="14" t="str">
        <f t="shared" si="42"/>
        <v>F.919037371</v>
      </c>
      <c r="R156">
        <f t="shared" si="43"/>
        <v>-202.18</v>
      </c>
      <c r="S156">
        <v>20</v>
      </c>
      <c r="T156" s="13">
        <f t="shared" si="44"/>
        <v>33.696666666666658</v>
      </c>
      <c r="V156" t="s">
        <v>872</v>
      </c>
      <c r="W156" t="str">
        <f t="shared" si="59"/>
        <v>&lt;Valeur name="no"&gt;155&lt;/Valeur&gt;</v>
      </c>
      <c r="X156" t="str">
        <f t="shared" si="60"/>
        <v>&lt;Valeur name="societe"&gt;1&lt;/Valeur&gt;</v>
      </c>
      <c r="Y156" t="str">
        <f t="shared" si="61"/>
        <v>&lt;Valeur name="pointer"&gt;1&lt;/Valeur&gt;</v>
      </c>
      <c r="Z156" s="15" t="str">
        <f t="shared" si="62"/>
        <v>&lt;Valeur name="datevaleur"&gt;2019/07/08&lt;/Valeur&gt;</v>
      </c>
      <c r="AA156" s="15" t="str">
        <f t="shared" si="63"/>
        <v>&lt;Valeur name="datecompta"&gt;2019/05/30&lt;/Valeur&gt;</v>
      </c>
      <c r="AB156" s="15" t="str">
        <f t="shared" si="64"/>
        <v>&lt;Valeur name="compte"&gt;62&lt;/Valeur&gt;</v>
      </c>
      <c r="AC156" s="15" t="str">
        <f t="shared" si="65"/>
        <v>&lt;Valeur name="description"&gt;F.919037371&lt;/Valeur&gt;</v>
      </c>
      <c r="AD156" s="15" t="str">
        <f t="shared" si="66"/>
        <v>&lt;Valeur name="valeur"&gt;-202.18&lt;/Valeur&gt;</v>
      </c>
      <c r="AE156" s="15" t="str">
        <f t="shared" si="67"/>
        <v>&lt;Valeur name="tvapct"&gt;20&lt;/Valeur&gt;</v>
      </c>
      <c r="AF156" s="15" t="str">
        <f t="shared" si="68"/>
        <v>&lt;Valeur name="tva"&gt;33.6966666666667&lt;/Valeur&gt;</v>
      </c>
      <c r="AG156" s="15" t="s">
        <v>873</v>
      </c>
      <c r="AH156" s="15" t="str">
        <f t="shared" si="69"/>
        <v>&lt;Insert&gt;&lt;Valeur name="no"&gt;155&lt;/Valeur&gt;&lt;Valeur name="societe"&gt;1&lt;/Valeur&gt;&lt;Valeur name="pointer"&gt;1&lt;/Valeur&gt;&lt;Valeur name="datevaleur"&gt;2019/07/08&lt;/Valeur&gt;&lt;Valeur name="datecompta"&gt;2019/05/30&lt;/Valeur&gt;&lt;Valeur name="compte"&gt;62&lt;/Valeur&gt;&lt;Valeur name="description"&gt;F.919037371&lt;/Valeur&gt;&lt;Valeur name="valeur"&gt;-202.18&lt;/Valeur&gt;&lt;Valeur name="tvapct"&gt;20&lt;/Valeur&gt;&lt;Valeur name="tva"&gt;33.6966666666667&lt;/Valeur&gt;&lt;/Insert&gt;</v>
      </c>
    </row>
    <row r="157" spans="1:34" hidden="1" x14ac:dyDescent="0.25">
      <c r="A157" s="9">
        <v>43615</v>
      </c>
      <c r="B157" s="1">
        <v>43646</v>
      </c>
      <c r="C157" t="str">
        <f>INDEX(Balance!A:A,MATCH(D157,Balance!B:B,0))</f>
        <v>Fournisseurs</v>
      </c>
      <c r="D157" t="s">
        <v>291</v>
      </c>
      <c r="E157" t="s">
        <v>854</v>
      </c>
      <c r="F157">
        <v>216</v>
      </c>
      <c r="H157" s="3">
        <f t="shared" si="46"/>
        <v>36</v>
      </c>
      <c r="K157">
        <v>156</v>
      </c>
      <c r="L157">
        <v>1</v>
      </c>
      <c r="M157">
        <v>1</v>
      </c>
      <c r="N157" s="16" t="s">
        <v>883</v>
      </c>
      <c r="O157" s="16" t="s">
        <v>897</v>
      </c>
      <c r="P157">
        <f>IFERROR(VLOOKUP(D157,tab!A:B,2,FALSE),-1000)</f>
        <v>71</v>
      </c>
      <c r="Q157" s="14" t="str">
        <f t="shared" si="42"/>
        <v>F.0511/19  toles noir Saingien + debit/livraison grillage Maillard</v>
      </c>
      <c r="R157">
        <f t="shared" si="43"/>
        <v>-216</v>
      </c>
      <c r="S157">
        <v>20</v>
      </c>
      <c r="T157" s="13">
        <f t="shared" si="44"/>
        <v>36</v>
      </c>
      <c r="V157" t="s">
        <v>872</v>
      </c>
      <c r="W157" t="str">
        <f t="shared" ref="W157:AF157" si="70">"&lt;Valeur "&amp;K$1&amp;"&gt;"&amp;K157&amp;"&lt;/Valeur&gt;"</f>
        <v>&lt;Valeur name="no"&gt;156&lt;/Valeur&gt;</v>
      </c>
      <c r="X157" t="str">
        <f t="shared" si="70"/>
        <v>&lt;Valeur name="societe"&gt;1&lt;/Valeur&gt;</v>
      </c>
      <c r="Y157" t="str">
        <f t="shared" si="70"/>
        <v>&lt;Valeur name="pointer"&gt;1&lt;/Valeur&gt;</v>
      </c>
      <c r="Z157" s="15" t="str">
        <f t="shared" si="70"/>
        <v>&lt;Valeur name="datevaleur"&gt;2019/06/30&lt;/Valeur&gt;</v>
      </c>
      <c r="AA157" s="15" t="str">
        <f t="shared" si="70"/>
        <v>&lt;Valeur name="datecompta"&gt;2019/05/30&lt;/Valeur&gt;</v>
      </c>
      <c r="AB157" s="15" t="str">
        <f t="shared" si="70"/>
        <v>&lt;Valeur name="compte"&gt;71&lt;/Valeur&gt;</v>
      </c>
      <c r="AC157" s="15" t="str">
        <f t="shared" si="70"/>
        <v>&lt;Valeur name="description"&gt;F.0511/19  toles noir Saingien + debit/livraison grillage Maillard&lt;/Valeur&gt;</v>
      </c>
      <c r="AD157" s="15" t="str">
        <f t="shared" si="70"/>
        <v>&lt;Valeur name="valeur"&gt;-216&lt;/Valeur&gt;</v>
      </c>
      <c r="AE157" s="15" t="str">
        <f t="shared" si="70"/>
        <v>&lt;Valeur name="tvapct"&gt;20&lt;/Valeur&gt;</v>
      </c>
      <c r="AF157" s="15" t="str">
        <f t="shared" si="70"/>
        <v>&lt;Valeur name="tva"&gt;36&lt;/Valeur&gt;</v>
      </c>
      <c r="AG157" s="15" t="s">
        <v>873</v>
      </c>
      <c r="AH157" s="15" t="str">
        <f>CONCATENATE(V157,W157,X157,Y157,Z157,AA157,AB157,AC157,AD157,AE157,AF157,AG157)</f>
        <v>&lt;Insert&gt;&lt;Valeur name="no"&gt;156&lt;/Valeur&gt;&lt;Valeur name="societe"&gt;1&lt;/Valeur&gt;&lt;Valeur name="pointer"&gt;1&lt;/Valeur&gt;&lt;Valeur name="datevaleur"&gt;2019/06/30&lt;/Valeur&gt;&lt;Valeur name="datecompta"&gt;2019/05/30&lt;/Valeur&gt;&lt;Valeur name="compte"&gt;71&lt;/Valeur&gt;&lt;Valeur name="description"&gt;F.0511/19  toles noir Saingien + debit/livraison grillage Maillard&lt;/Valeur&gt;&lt;Valeur name="valeur"&gt;-216&lt;/Valeur&gt;&lt;Valeur name="tvapct"&gt;20&lt;/Valeur&gt;&lt;Valeur name="tva"&gt;36&lt;/Valeur&gt;&lt;/Insert&gt;</v>
      </c>
    </row>
    <row r="158" spans="1:34" hidden="1" x14ac:dyDescent="0.25">
      <c r="A158" s="9">
        <v>43525</v>
      </c>
      <c r="B158" s="1">
        <v>43585</v>
      </c>
      <c r="C158" t="str">
        <f>INDEX(Balance!A:A,MATCH(D158,Balance!B:B,0))</f>
        <v>Prorata</v>
      </c>
      <c r="D158" t="s">
        <v>283</v>
      </c>
      <c r="F158">
        <v>86.87</v>
      </c>
      <c r="H158" s="3">
        <f t="shared" si="46"/>
        <v>14.478333333333325</v>
      </c>
      <c r="K158">
        <v>157</v>
      </c>
      <c r="L158">
        <v>1</v>
      </c>
      <c r="M158">
        <v>1</v>
      </c>
      <c r="N158" s="16" t="s">
        <v>882</v>
      </c>
      <c r="O158" s="16" t="s">
        <v>891</v>
      </c>
      <c r="P158">
        <f>IFERROR(VLOOKUP(D158,tab!A:B,2,FALSE),-1000)</f>
        <v>124</v>
      </c>
      <c r="Q158" s="14" t="str">
        <f t="shared" si="42"/>
        <v/>
      </c>
      <c r="R158">
        <f t="shared" si="43"/>
        <v>-86.87</v>
      </c>
      <c r="S158">
        <v>20</v>
      </c>
      <c r="T158" s="13">
        <f t="shared" si="44"/>
        <v>14.478333333333325</v>
      </c>
      <c r="V158" t="s">
        <v>872</v>
      </c>
      <c r="W158" t="str">
        <f t="shared" ref="W158:W182" si="71">"&lt;Valeur "&amp;K$1&amp;"&gt;"&amp;K158&amp;"&lt;/Valeur&gt;"</f>
        <v>&lt;Valeur name="no"&gt;157&lt;/Valeur&gt;</v>
      </c>
      <c r="X158" t="str">
        <f t="shared" ref="X158:X182" si="72">"&lt;Valeur "&amp;L$1&amp;"&gt;"&amp;L158&amp;"&lt;/Valeur&gt;"</f>
        <v>&lt;Valeur name="societe"&gt;1&lt;/Valeur&gt;</v>
      </c>
      <c r="Y158" t="str">
        <f t="shared" ref="Y158:Y182" si="73">"&lt;Valeur "&amp;M$1&amp;"&gt;"&amp;M158&amp;"&lt;/Valeur&gt;"</f>
        <v>&lt;Valeur name="pointer"&gt;1&lt;/Valeur&gt;</v>
      </c>
      <c r="Z158" s="15" t="str">
        <f t="shared" ref="Z158:Z182" si="74">"&lt;Valeur "&amp;N$1&amp;"&gt;"&amp;N158&amp;"&lt;/Valeur&gt;"</f>
        <v>&lt;Valeur name="datevaleur"&gt;2019/04/30&lt;/Valeur&gt;</v>
      </c>
      <c r="AA158" s="15" t="str">
        <f t="shared" ref="AA158:AA182" si="75">"&lt;Valeur "&amp;O$1&amp;"&gt;"&amp;O158&amp;"&lt;/Valeur&gt;"</f>
        <v>&lt;Valeur name="datecompta"&gt;2019/03/01&lt;/Valeur&gt;</v>
      </c>
      <c r="AB158" s="15" t="str">
        <f t="shared" ref="AB158:AB182" si="76">"&lt;Valeur "&amp;P$1&amp;"&gt;"&amp;P158&amp;"&lt;/Valeur&gt;"</f>
        <v>&lt;Valeur name="compte"&gt;124&lt;/Valeur&gt;</v>
      </c>
      <c r="AC158" s="15" t="str">
        <f t="shared" ref="AC158:AC182" si="77">"&lt;Valeur "&amp;Q$1&amp;"&gt;"&amp;Q158&amp;"&lt;/Valeur&gt;"</f>
        <v>&lt;Valeur name="description"&gt;&lt;/Valeur&gt;</v>
      </c>
      <c r="AD158" s="15" t="str">
        <f t="shared" ref="AD158:AD182" si="78">"&lt;Valeur "&amp;R$1&amp;"&gt;"&amp;R158&amp;"&lt;/Valeur&gt;"</f>
        <v>&lt;Valeur name="valeur"&gt;-86.87&lt;/Valeur&gt;</v>
      </c>
      <c r="AE158" s="15" t="str">
        <f t="shared" ref="AE158:AE182" si="79">"&lt;Valeur "&amp;S$1&amp;"&gt;"&amp;S158&amp;"&lt;/Valeur&gt;"</f>
        <v>&lt;Valeur name="tvapct"&gt;20&lt;/Valeur&gt;</v>
      </c>
      <c r="AF158" s="15" t="str">
        <f t="shared" ref="AF158:AF182" si="80">"&lt;Valeur "&amp;T$1&amp;"&gt;"&amp;T158&amp;"&lt;/Valeur&gt;"</f>
        <v>&lt;Valeur name="tva"&gt;14.4783333333333&lt;/Valeur&gt;</v>
      </c>
      <c r="AG158" s="15" t="s">
        <v>873</v>
      </c>
      <c r="AH158" s="15" t="str">
        <f t="shared" ref="AH158:AH182" si="81">CONCATENATE(V158,W158,X158,Y158,Z158,AA158,AB158,AC158,AD158,AE158,AF158,AG158)</f>
        <v>&lt;Insert&gt;&lt;Valeur name="no"&gt;157&lt;/Valeur&gt;&lt;Valeur name="societe"&gt;1&lt;/Valeur&gt;&lt;Valeur name="pointer"&gt;1&lt;/Valeur&gt;&lt;Valeur name="datevaleur"&gt;2019/04/30&lt;/Valeur&gt;&lt;Valeur name="datecompta"&gt;2019/03/01&lt;/Valeur&gt;&lt;Valeur name="compte"&gt;124&lt;/Valeur&gt;&lt;Valeur name="description"&gt;&lt;/Valeur&gt;&lt;Valeur name="valeur"&gt;-86.87&lt;/Valeur&gt;&lt;Valeur name="tvapct"&gt;20&lt;/Valeur&gt;&lt;Valeur name="tva"&gt;14.4783333333333&lt;/Valeur&gt;&lt;/Insert&gt;</v>
      </c>
    </row>
    <row r="159" spans="1:34" hidden="1" x14ac:dyDescent="0.25">
      <c r="A159" s="9">
        <v>43525</v>
      </c>
      <c r="B159" s="1">
        <v>43585</v>
      </c>
      <c r="C159" t="str">
        <f>INDEX(Balance!A:A,MATCH(D159,Balance!B:B,0))</f>
        <v>Prorata</v>
      </c>
      <c r="D159" t="s">
        <v>301</v>
      </c>
      <c r="F159">
        <v>360.91</v>
      </c>
      <c r="H159" s="3">
        <f t="shared" si="46"/>
        <v>60.151666666666642</v>
      </c>
      <c r="K159">
        <v>158</v>
      </c>
      <c r="L159">
        <v>1</v>
      </c>
      <c r="M159">
        <v>1</v>
      </c>
      <c r="N159" s="16" t="s">
        <v>882</v>
      </c>
      <c r="O159" s="16" t="s">
        <v>891</v>
      </c>
      <c r="P159">
        <f>IFERROR(VLOOKUP(D159,tab!A:B,2,FALSE),-1000)</f>
        <v>123</v>
      </c>
      <c r="Q159" s="14" t="str">
        <f t="shared" si="42"/>
        <v/>
      </c>
      <c r="R159">
        <f t="shared" si="43"/>
        <v>-360.91</v>
      </c>
      <c r="S159">
        <v>20</v>
      </c>
      <c r="T159" s="13">
        <f t="shared" si="44"/>
        <v>60.151666666666642</v>
      </c>
      <c r="V159" t="s">
        <v>872</v>
      </c>
      <c r="W159" t="str">
        <f t="shared" si="71"/>
        <v>&lt;Valeur name="no"&gt;158&lt;/Valeur&gt;</v>
      </c>
      <c r="X159" t="str">
        <f t="shared" si="72"/>
        <v>&lt;Valeur name="societe"&gt;1&lt;/Valeur&gt;</v>
      </c>
      <c r="Y159" t="str">
        <f t="shared" si="73"/>
        <v>&lt;Valeur name="pointer"&gt;1&lt;/Valeur&gt;</v>
      </c>
      <c r="Z159" s="15" t="str">
        <f t="shared" si="74"/>
        <v>&lt;Valeur name="datevaleur"&gt;2019/04/30&lt;/Valeur&gt;</v>
      </c>
      <c r="AA159" s="15" t="str">
        <f t="shared" si="75"/>
        <v>&lt;Valeur name="datecompta"&gt;2019/03/01&lt;/Valeur&gt;</v>
      </c>
      <c r="AB159" s="15" t="str">
        <f t="shared" si="76"/>
        <v>&lt;Valeur name="compte"&gt;123&lt;/Valeur&gt;</v>
      </c>
      <c r="AC159" s="15" t="str">
        <f t="shared" si="77"/>
        <v>&lt;Valeur name="description"&gt;&lt;/Valeur&gt;</v>
      </c>
      <c r="AD159" s="15" t="str">
        <f t="shared" si="78"/>
        <v>&lt;Valeur name="valeur"&gt;-360.91&lt;/Valeur&gt;</v>
      </c>
      <c r="AE159" s="15" t="str">
        <f t="shared" si="79"/>
        <v>&lt;Valeur name="tvapct"&gt;20&lt;/Valeur&gt;</v>
      </c>
      <c r="AF159" s="15" t="str">
        <f t="shared" si="80"/>
        <v>&lt;Valeur name="tva"&gt;60.1516666666666&lt;/Valeur&gt;</v>
      </c>
      <c r="AG159" s="15" t="s">
        <v>873</v>
      </c>
      <c r="AH159" s="15" t="str">
        <f t="shared" si="81"/>
        <v>&lt;Insert&gt;&lt;Valeur name="no"&gt;158&lt;/Valeur&gt;&lt;Valeur name="societe"&gt;1&lt;/Valeur&gt;&lt;Valeur name="pointer"&gt;1&lt;/Valeur&gt;&lt;Valeur name="datevaleur"&gt;2019/04/30&lt;/Valeur&gt;&lt;Valeur name="datecompta"&gt;2019/03/01&lt;/Valeur&gt;&lt;Valeur name="compte"&gt;123&lt;/Valeur&gt;&lt;Valeur name="description"&gt;&lt;/Valeur&gt;&lt;Valeur name="valeur"&gt;-360.91&lt;/Valeur&gt;&lt;Valeur name="tvapct"&gt;20&lt;/Valeur&gt;&lt;Valeur name="tva"&gt;60.1516666666666&lt;/Valeur&gt;&lt;/Insert&gt;</v>
      </c>
    </row>
    <row r="160" spans="1:34" hidden="1" x14ac:dyDescent="0.25">
      <c r="A160" s="9">
        <v>43525</v>
      </c>
      <c r="B160" s="1">
        <v>43585</v>
      </c>
      <c r="C160" t="str">
        <f>INDEX(Balance!A:A,MATCH(D160,Balance!B:B,0))</f>
        <v>Prorata</v>
      </c>
      <c r="D160" t="s">
        <v>302</v>
      </c>
      <c r="F160">
        <v>448.01</v>
      </c>
      <c r="H160" s="3">
        <f t="shared" si="46"/>
        <v>74.668333333333294</v>
      </c>
      <c r="K160">
        <v>159</v>
      </c>
      <c r="L160">
        <v>1</v>
      </c>
      <c r="M160">
        <v>1</v>
      </c>
      <c r="N160" s="16" t="s">
        <v>882</v>
      </c>
      <c r="O160" s="16" t="s">
        <v>891</v>
      </c>
      <c r="P160">
        <f>IFERROR(VLOOKUP(D160,tab!A:B,2,FALSE),-1000)</f>
        <v>125</v>
      </c>
      <c r="Q160" s="14" t="str">
        <f t="shared" si="42"/>
        <v/>
      </c>
      <c r="R160">
        <f t="shared" si="43"/>
        <v>-448.01</v>
      </c>
      <c r="S160">
        <v>20</v>
      </c>
      <c r="T160" s="13">
        <f t="shared" si="44"/>
        <v>74.668333333333294</v>
      </c>
      <c r="V160" t="s">
        <v>872</v>
      </c>
      <c r="W160" t="str">
        <f t="shared" si="71"/>
        <v>&lt;Valeur name="no"&gt;159&lt;/Valeur&gt;</v>
      </c>
      <c r="X160" t="str">
        <f t="shared" si="72"/>
        <v>&lt;Valeur name="societe"&gt;1&lt;/Valeur&gt;</v>
      </c>
      <c r="Y160" t="str">
        <f t="shared" si="73"/>
        <v>&lt;Valeur name="pointer"&gt;1&lt;/Valeur&gt;</v>
      </c>
      <c r="Z160" s="15" t="str">
        <f t="shared" si="74"/>
        <v>&lt;Valeur name="datevaleur"&gt;2019/04/30&lt;/Valeur&gt;</v>
      </c>
      <c r="AA160" s="15" t="str">
        <f t="shared" si="75"/>
        <v>&lt;Valeur name="datecompta"&gt;2019/03/01&lt;/Valeur&gt;</v>
      </c>
      <c r="AB160" s="15" t="str">
        <f t="shared" si="76"/>
        <v>&lt;Valeur name="compte"&gt;125&lt;/Valeur&gt;</v>
      </c>
      <c r="AC160" s="15" t="str">
        <f t="shared" si="77"/>
        <v>&lt;Valeur name="description"&gt;&lt;/Valeur&gt;</v>
      </c>
      <c r="AD160" s="15" t="str">
        <f t="shared" si="78"/>
        <v>&lt;Valeur name="valeur"&gt;-448.01&lt;/Valeur&gt;</v>
      </c>
      <c r="AE160" s="15" t="str">
        <f t="shared" si="79"/>
        <v>&lt;Valeur name="tvapct"&gt;20&lt;/Valeur&gt;</v>
      </c>
      <c r="AF160" s="15" t="str">
        <f t="shared" si="80"/>
        <v>&lt;Valeur name="tva"&gt;74.6683333333333&lt;/Valeur&gt;</v>
      </c>
      <c r="AG160" s="15" t="s">
        <v>873</v>
      </c>
      <c r="AH160" s="15" t="str">
        <f t="shared" si="81"/>
        <v>&lt;Insert&gt;&lt;Valeur name="no"&gt;159&lt;/Valeur&gt;&lt;Valeur name="societe"&gt;1&lt;/Valeur&gt;&lt;Valeur name="pointer"&gt;1&lt;/Valeur&gt;&lt;Valeur name="datevaleur"&gt;2019/04/30&lt;/Valeur&gt;&lt;Valeur name="datecompta"&gt;2019/03/01&lt;/Valeur&gt;&lt;Valeur name="compte"&gt;125&lt;/Valeur&gt;&lt;Valeur name="description"&gt;&lt;/Valeur&gt;&lt;Valeur name="valeur"&gt;-448.01&lt;/Valeur&gt;&lt;Valeur name="tvapct"&gt;20&lt;/Valeur&gt;&lt;Valeur name="tva"&gt;74.6683333333333&lt;/Valeur&gt;&lt;/Insert&gt;</v>
      </c>
    </row>
    <row r="161" spans="1:34" hidden="1" x14ac:dyDescent="0.25">
      <c r="A161" s="9">
        <v>43554</v>
      </c>
      <c r="B161" s="1">
        <v>43585</v>
      </c>
      <c r="C161" t="str">
        <f>INDEX(Balance!A:A,MATCH(D161,Balance!B:B,0))</f>
        <v>Recette</v>
      </c>
      <c r="D161" t="s">
        <v>540</v>
      </c>
      <c r="E161" t="s">
        <v>541</v>
      </c>
      <c r="G161">
        <v>738</v>
      </c>
      <c r="H161" s="3">
        <f t="shared" si="46"/>
        <v>-123</v>
      </c>
      <c r="K161">
        <v>160</v>
      </c>
      <c r="L161">
        <v>1</v>
      </c>
      <c r="M161">
        <v>1</v>
      </c>
      <c r="N161" s="16" t="s">
        <v>882</v>
      </c>
      <c r="O161" s="16" t="s">
        <v>892</v>
      </c>
      <c r="P161">
        <f>IFERROR(VLOOKUP(D161,tab!A:B,2,FALSE),-1000)</f>
        <v>126</v>
      </c>
      <c r="Q161" s="14" t="str">
        <f t="shared" si="42"/>
        <v>AF255-2 Aide Maxime 01.02.03/2019</v>
      </c>
      <c r="R161">
        <f t="shared" si="43"/>
        <v>738</v>
      </c>
      <c r="S161">
        <v>20</v>
      </c>
      <c r="T161" s="13">
        <f t="shared" si="44"/>
        <v>-123</v>
      </c>
      <c r="V161" t="s">
        <v>872</v>
      </c>
      <c r="W161" t="str">
        <f t="shared" si="71"/>
        <v>&lt;Valeur name="no"&gt;160&lt;/Valeur&gt;</v>
      </c>
      <c r="X161" t="str">
        <f t="shared" si="72"/>
        <v>&lt;Valeur name="societe"&gt;1&lt;/Valeur&gt;</v>
      </c>
      <c r="Y161" t="str">
        <f t="shared" si="73"/>
        <v>&lt;Valeur name="pointer"&gt;1&lt;/Valeur&gt;</v>
      </c>
      <c r="Z161" s="15" t="str">
        <f t="shared" si="74"/>
        <v>&lt;Valeur name="datevaleur"&gt;2019/04/30&lt;/Valeur&gt;</v>
      </c>
      <c r="AA161" s="15" t="str">
        <f t="shared" si="75"/>
        <v>&lt;Valeur name="datecompta"&gt;2019/03/30&lt;/Valeur&gt;</v>
      </c>
      <c r="AB161" s="15" t="str">
        <f t="shared" si="76"/>
        <v>&lt;Valeur name="compte"&gt;126&lt;/Valeur&gt;</v>
      </c>
      <c r="AC161" s="15" t="str">
        <f t="shared" si="77"/>
        <v>&lt;Valeur name="description"&gt;AF255-2 Aide Maxime 01.02.03/2019&lt;/Valeur&gt;</v>
      </c>
      <c r="AD161" s="15" t="str">
        <f t="shared" si="78"/>
        <v>&lt;Valeur name="valeur"&gt;738&lt;/Valeur&gt;</v>
      </c>
      <c r="AE161" s="15" t="str">
        <f t="shared" si="79"/>
        <v>&lt;Valeur name="tvapct"&gt;20&lt;/Valeur&gt;</v>
      </c>
      <c r="AF161" s="15" t="str">
        <f t="shared" si="80"/>
        <v>&lt;Valeur name="tva"&gt;-123&lt;/Valeur&gt;</v>
      </c>
      <c r="AG161" s="15" t="s">
        <v>873</v>
      </c>
      <c r="AH161" s="15" t="str">
        <f t="shared" si="81"/>
        <v>&lt;Insert&gt;&lt;Valeur name="no"&gt;160&lt;/Valeur&gt;&lt;Valeur name="societe"&gt;1&lt;/Valeur&gt;&lt;Valeur name="pointer"&gt;1&lt;/Valeur&gt;&lt;Valeur name="datevaleur"&gt;2019/04/30&lt;/Valeur&gt;&lt;Valeur name="datecompta"&gt;2019/03/30&lt;/Valeur&gt;&lt;Valeur name="compte"&gt;126&lt;/Valeur&gt;&lt;Valeur name="description"&gt;AF255-2 Aide Maxime 01.02.03/2019&lt;/Valeur&gt;&lt;Valeur name="valeur"&gt;738&lt;/Valeur&gt;&lt;Valeur name="tvapct"&gt;20&lt;/Valeur&gt;&lt;Valeur name="tva"&gt;-123&lt;/Valeur&gt;&lt;/Insert&gt;</v>
      </c>
    </row>
    <row r="162" spans="1:34" hidden="1" x14ac:dyDescent="0.25">
      <c r="A162" s="9">
        <v>43554</v>
      </c>
      <c r="B162" s="1">
        <v>43585</v>
      </c>
      <c r="C162" t="str">
        <f>INDEX(Balance!A:A,MATCH(D162,Balance!B:B,0))</f>
        <v>Recette</v>
      </c>
      <c r="D162" t="s">
        <v>540</v>
      </c>
      <c r="E162" t="s">
        <v>542</v>
      </c>
      <c r="G162">
        <v>864</v>
      </c>
      <c r="H162" s="3">
        <f t="shared" si="46"/>
        <v>-144</v>
      </c>
      <c r="K162">
        <v>161</v>
      </c>
      <c r="L162">
        <v>1</v>
      </c>
      <c r="M162">
        <v>1</v>
      </c>
      <c r="N162" s="16" t="s">
        <v>882</v>
      </c>
      <c r="O162" s="16" t="s">
        <v>892</v>
      </c>
      <c r="P162">
        <f>IFERROR(VLOOKUP(D162,tab!A:B,2,FALSE),-1000)</f>
        <v>126</v>
      </c>
      <c r="Q162" s="14" t="str">
        <f t="shared" si="42"/>
        <v>AF255-1 Aide Maxime 09.10.11.12/2018</v>
      </c>
      <c r="R162">
        <f t="shared" si="43"/>
        <v>864</v>
      </c>
      <c r="S162">
        <v>20</v>
      </c>
      <c r="T162" s="13">
        <f t="shared" si="44"/>
        <v>-144</v>
      </c>
      <c r="V162" t="s">
        <v>872</v>
      </c>
      <c r="W162" t="str">
        <f t="shared" si="71"/>
        <v>&lt;Valeur name="no"&gt;161&lt;/Valeur&gt;</v>
      </c>
      <c r="X162" t="str">
        <f t="shared" si="72"/>
        <v>&lt;Valeur name="societe"&gt;1&lt;/Valeur&gt;</v>
      </c>
      <c r="Y162" t="str">
        <f t="shared" si="73"/>
        <v>&lt;Valeur name="pointer"&gt;1&lt;/Valeur&gt;</v>
      </c>
      <c r="Z162" s="15" t="str">
        <f t="shared" si="74"/>
        <v>&lt;Valeur name="datevaleur"&gt;2019/04/30&lt;/Valeur&gt;</v>
      </c>
      <c r="AA162" s="15" t="str">
        <f t="shared" si="75"/>
        <v>&lt;Valeur name="datecompta"&gt;2019/03/30&lt;/Valeur&gt;</v>
      </c>
      <c r="AB162" s="15" t="str">
        <f t="shared" si="76"/>
        <v>&lt;Valeur name="compte"&gt;126&lt;/Valeur&gt;</v>
      </c>
      <c r="AC162" s="15" t="str">
        <f t="shared" si="77"/>
        <v>&lt;Valeur name="description"&gt;AF255-1 Aide Maxime 09.10.11.12/2018&lt;/Valeur&gt;</v>
      </c>
      <c r="AD162" s="15" t="str">
        <f t="shared" si="78"/>
        <v>&lt;Valeur name="valeur"&gt;864&lt;/Valeur&gt;</v>
      </c>
      <c r="AE162" s="15" t="str">
        <f t="shared" si="79"/>
        <v>&lt;Valeur name="tvapct"&gt;20&lt;/Valeur&gt;</v>
      </c>
      <c r="AF162" s="15" t="str">
        <f t="shared" si="80"/>
        <v>&lt;Valeur name="tva"&gt;-144&lt;/Valeur&gt;</v>
      </c>
      <c r="AG162" s="15" t="s">
        <v>873</v>
      </c>
      <c r="AH162" s="15" t="str">
        <f t="shared" si="81"/>
        <v>&lt;Insert&gt;&lt;Valeur name="no"&gt;161&lt;/Valeur&gt;&lt;Valeur name="societe"&gt;1&lt;/Valeur&gt;&lt;Valeur name="pointer"&gt;1&lt;/Valeur&gt;&lt;Valeur name="datevaleur"&gt;2019/04/30&lt;/Valeur&gt;&lt;Valeur name="datecompta"&gt;2019/03/30&lt;/Valeur&gt;&lt;Valeur name="compte"&gt;126&lt;/Valeur&gt;&lt;Valeur name="description"&gt;AF255-1 Aide Maxime 09.10.11.12/2018&lt;/Valeur&gt;&lt;Valeur name="valeur"&gt;864&lt;/Valeur&gt;&lt;Valeur name="tvapct"&gt;20&lt;/Valeur&gt;&lt;Valeur name="tva"&gt;-144&lt;/Valeur&gt;&lt;/Insert&gt;</v>
      </c>
    </row>
    <row r="163" spans="1:34" hidden="1" x14ac:dyDescent="0.25">
      <c r="A163" s="9">
        <v>43585</v>
      </c>
      <c r="B163" s="1">
        <v>43585</v>
      </c>
      <c r="C163" t="e">
        <f>INDEX(Balance!A:A,MATCH(D163,Balance!B:B,0))</f>
        <v>#N/A</v>
      </c>
      <c r="D163" t="s">
        <v>689</v>
      </c>
      <c r="E163" t="s">
        <v>690</v>
      </c>
      <c r="F163">
        <v>283.12</v>
      </c>
      <c r="H163" s="3">
        <f t="shared" si="46"/>
        <v>47.186666666666667</v>
      </c>
      <c r="K163">
        <v>162</v>
      </c>
      <c r="L163">
        <v>1</v>
      </c>
      <c r="M163">
        <v>1</v>
      </c>
      <c r="N163" s="16" t="s">
        <v>882</v>
      </c>
      <c r="O163" s="16" t="s">
        <v>882</v>
      </c>
      <c r="P163">
        <f>IFERROR(VLOOKUP(D163,tab!A:B,2,FALSE),-1000)</f>
        <v>134</v>
      </c>
      <c r="Q163" s="14" t="str">
        <f t="shared" si="42"/>
        <v>F.313316 clé Berlingo  (Remboursement ?)</v>
      </c>
      <c r="R163">
        <f t="shared" si="43"/>
        <v>-283.12</v>
      </c>
      <c r="S163">
        <v>20</v>
      </c>
      <c r="T163" s="13">
        <f t="shared" si="44"/>
        <v>47.186666666666667</v>
      </c>
      <c r="V163" t="s">
        <v>872</v>
      </c>
      <c r="W163" t="str">
        <f t="shared" si="71"/>
        <v>&lt;Valeur name="no"&gt;162&lt;/Valeur&gt;</v>
      </c>
      <c r="X163" t="str">
        <f t="shared" si="72"/>
        <v>&lt;Valeur name="societe"&gt;1&lt;/Valeur&gt;</v>
      </c>
      <c r="Y163" t="str">
        <f t="shared" si="73"/>
        <v>&lt;Valeur name="pointer"&gt;1&lt;/Valeur&gt;</v>
      </c>
      <c r="Z163" s="15" t="str">
        <f t="shared" si="74"/>
        <v>&lt;Valeur name="datevaleur"&gt;2019/04/30&lt;/Valeur&gt;</v>
      </c>
      <c r="AA163" s="15" t="str">
        <f t="shared" si="75"/>
        <v>&lt;Valeur name="datecompta"&gt;2019/04/30&lt;/Valeur&gt;</v>
      </c>
      <c r="AB163" s="15" t="str">
        <f t="shared" si="76"/>
        <v>&lt;Valeur name="compte"&gt;134&lt;/Valeur&gt;</v>
      </c>
      <c r="AC163" s="15" t="str">
        <f t="shared" si="77"/>
        <v>&lt;Valeur name="description"&gt;F.313316 clé Berlingo  (Remboursement ?)&lt;/Valeur&gt;</v>
      </c>
      <c r="AD163" s="15" t="str">
        <f t="shared" si="78"/>
        <v>&lt;Valeur name="valeur"&gt;-283.12&lt;/Valeur&gt;</v>
      </c>
      <c r="AE163" s="15" t="str">
        <f t="shared" si="79"/>
        <v>&lt;Valeur name="tvapct"&gt;20&lt;/Valeur&gt;</v>
      </c>
      <c r="AF163" s="15" t="str">
        <f t="shared" si="80"/>
        <v>&lt;Valeur name="tva"&gt;47.1866666666667&lt;/Valeur&gt;</v>
      </c>
      <c r="AG163" s="15" t="s">
        <v>873</v>
      </c>
      <c r="AH163" s="15" t="str">
        <f t="shared" si="81"/>
        <v>&lt;Insert&gt;&lt;Valeur name="no"&gt;162&lt;/Valeur&gt;&lt;Valeur name="societe"&gt;1&lt;/Valeur&gt;&lt;Valeur name="pointer"&gt;1&lt;/Valeur&gt;&lt;Valeur name="datevaleur"&gt;2019/04/30&lt;/Valeur&gt;&lt;Valeur name="datecompta"&gt;2019/04/30&lt;/Valeur&gt;&lt;Valeur name="compte"&gt;134&lt;/Valeur&gt;&lt;Valeur name="description"&gt;F.313316 clé Berlingo  (Remboursement ?)&lt;/Valeur&gt;&lt;Valeur name="valeur"&gt;-283.12&lt;/Valeur&gt;&lt;Valeur name="tvapct"&gt;20&lt;/Valeur&gt;&lt;Valeur name="tva"&gt;47.1866666666667&lt;/Valeur&gt;&lt;/Insert&gt;</v>
      </c>
    </row>
    <row r="164" spans="1:34" hidden="1" x14ac:dyDescent="0.25">
      <c r="A164" s="9">
        <v>43580</v>
      </c>
      <c r="B164" s="1">
        <v>43640</v>
      </c>
      <c r="C164" t="e">
        <f>INDEX(Balance!A:A,MATCH(D164,Balance!B:B,0))</f>
        <v>#N/A</v>
      </c>
      <c r="D164" t="s">
        <v>692</v>
      </c>
      <c r="E164" t="s">
        <v>693</v>
      </c>
      <c r="F164">
        <v>723.73</v>
      </c>
      <c r="H164" s="3">
        <f t="shared" si="46"/>
        <v>120.62166666666667</v>
      </c>
      <c r="K164">
        <v>163</v>
      </c>
      <c r="L164">
        <v>1</v>
      </c>
      <c r="M164">
        <v>1</v>
      </c>
      <c r="N164" s="16" t="s">
        <v>933</v>
      </c>
      <c r="O164" s="16" t="s">
        <v>934</v>
      </c>
      <c r="P164">
        <f>IFERROR(VLOOKUP(D164,tab!A:B,2,FALSE),-1000)</f>
        <v>135</v>
      </c>
      <c r="Q164" s="14" t="str">
        <f t="shared" si="42"/>
        <v>FA042496 caillebotis portails + cloture Thery</v>
      </c>
      <c r="R164">
        <f t="shared" si="43"/>
        <v>-723.73</v>
      </c>
      <c r="S164">
        <v>20</v>
      </c>
      <c r="T164" s="13">
        <f t="shared" si="44"/>
        <v>120.62166666666667</v>
      </c>
      <c r="V164" t="s">
        <v>872</v>
      </c>
      <c r="W164" t="str">
        <f t="shared" si="71"/>
        <v>&lt;Valeur name="no"&gt;163&lt;/Valeur&gt;</v>
      </c>
      <c r="X164" t="str">
        <f t="shared" si="72"/>
        <v>&lt;Valeur name="societe"&gt;1&lt;/Valeur&gt;</v>
      </c>
      <c r="Y164" t="str">
        <f t="shared" si="73"/>
        <v>&lt;Valeur name="pointer"&gt;1&lt;/Valeur&gt;</v>
      </c>
      <c r="Z164" s="15" t="str">
        <f t="shared" si="74"/>
        <v>&lt;Valeur name="datevaleur"&gt;2019/06/24&lt;/Valeur&gt;</v>
      </c>
      <c r="AA164" s="15" t="str">
        <f t="shared" si="75"/>
        <v>&lt;Valeur name="datecompta"&gt;2019/04/25&lt;/Valeur&gt;</v>
      </c>
      <c r="AB164" s="15" t="str">
        <f t="shared" si="76"/>
        <v>&lt;Valeur name="compte"&gt;135&lt;/Valeur&gt;</v>
      </c>
      <c r="AC164" s="15" t="str">
        <f t="shared" si="77"/>
        <v>&lt;Valeur name="description"&gt;FA042496 caillebotis portails + cloture Thery&lt;/Valeur&gt;</v>
      </c>
      <c r="AD164" s="15" t="str">
        <f t="shared" si="78"/>
        <v>&lt;Valeur name="valeur"&gt;-723.73&lt;/Valeur&gt;</v>
      </c>
      <c r="AE164" s="15" t="str">
        <f t="shared" si="79"/>
        <v>&lt;Valeur name="tvapct"&gt;20&lt;/Valeur&gt;</v>
      </c>
      <c r="AF164" s="15" t="str">
        <f t="shared" si="80"/>
        <v>&lt;Valeur name="tva"&gt;120.621666666667&lt;/Valeur&gt;</v>
      </c>
      <c r="AG164" s="15" t="s">
        <v>873</v>
      </c>
      <c r="AH164" s="15" t="str">
        <f t="shared" si="81"/>
        <v>&lt;Insert&gt;&lt;Valeur name="no"&gt;163&lt;/Valeur&gt;&lt;Valeur name="societe"&gt;1&lt;/Valeur&gt;&lt;Valeur name="pointer"&gt;1&lt;/Valeur&gt;&lt;Valeur name="datevaleur"&gt;2019/06/24&lt;/Valeur&gt;&lt;Valeur name="datecompta"&gt;2019/04/25&lt;/Valeur&gt;&lt;Valeur name="compte"&gt;135&lt;/Valeur&gt;&lt;Valeur name="description"&gt;FA042496 caillebotis portails + cloture Thery&lt;/Valeur&gt;&lt;Valeur name="valeur"&gt;-723.73&lt;/Valeur&gt;&lt;Valeur name="tvapct"&gt;20&lt;/Valeur&gt;&lt;Valeur name="tva"&gt;120.621666666667&lt;/Valeur&gt;&lt;/Insert&gt;</v>
      </c>
    </row>
    <row r="165" spans="1:34" hidden="1" x14ac:dyDescent="0.25">
      <c r="A165" s="9">
        <v>43591</v>
      </c>
      <c r="B165" s="1">
        <v>43591</v>
      </c>
      <c r="C165" t="e">
        <f>INDEX(Balance!A:A,MATCH(D165,Balance!B:B,0))</f>
        <v>#N/A</v>
      </c>
      <c r="D165" t="s">
        <v>695</v>
      </c>
      <c r="E165" t="s">
        <v>696</v>
      </c>
      <c r="F165">
        <v>65.7</v>
      </c>
      <c r="H165" s="3">
        <f t="shared" si="46"/>
        <v>10.949999999999996</v>
      </c>
      <c r="K165">
        <v>164</v>
      </c>
      <c r="L165">
        <v>1</v>
      </c>
      <c r="M165">
        <v>1</v>
      </c>
      <c r="N165" s="16" t="s">
        <v>935</v>
      </c>
      <c r="O165" s="16" t="s">
        <v>935</v>
      </c>
      <c r="P165">
        <f>IFERROR(VLOOKUP(D165,tab!A:B,2,FALSE),-1000)</f>
        <v>-1000</v>
      </c>
      <c r="Q165" s="14" t="str">
        <f t="shared" si="42"/>
        <v>Colle PU + serre joint pompe</v>
      </c>
      <c r="R165">
        <f t="shared" si="43"/>
        <v>-65.7</v>
      </c>
      <c r="S165">
        <v>20</v>
      </c>
      <c r="T165" s="13">
        <f t="shared" si="44"/>
        <v>10.949999999999996</v>
      </c>
      <c r="V165" t="s">
        <v>872</v>
      </c>
      <c r="W165" t="str">
        <f t="shared" si="71"/>
        <v>&lt;Valeur name="no"&gt;164&lt;/Valeur&gt;</v>
      </c>
      <c r="X165" t="str">
        <f t="shared" si="72"/>
        <v>&lt;Valeur name="societe"&gt;1&lt;/Valeur&gt;</v>
      </c>
      <c r="Y165" t="str">
        <f t="shared" si="73"/>
        <v>&lt;Valeur name="pointer"&gt;1&lt;/Valeur&gt;</v>
      </c>
      <c r="Z165" s="15" t="str">
        <f t="shared" si="74"/>
        <v>&lt;Valeur name="datevaleur"&gt;2019/05/06&lt;/Valeur&gt;</v>
      </c>
      <c r="AA165" s="15" t="str">
        <f t="shared" si="75"/>
        <v>&lt;Valeur name="datecompta"&gt;2019/05/06&lt;/Valeur&gt;</v>
      </c>
      <c r="AB165" s="15" t="str">
        <f t="shared" si="76"/>
        <v>&lt;Valeur name="compte"&gt;-1000&lt;/Valeur&gt;</v>
      </c>
      <c r="AC165" s="15" t="str">
        <f t="shared" si="77"/>
        <v>&lt;Valeur name="description"&gt;Colle PU + serre joint pompe&lt;/Valeur&gt;</v>
      </c>
      <c r="AD165" s="15" t="str">
        <f t="shared" si="78"/>
        <v>&lt;Valeur name="valeur"&gt;-65.7&lt;/Valeur&gt;</v>
      </c>
      <c r="AE165" s="15" t="str">
        <f t="shared" si="79"/>
        <v>&lt;Valeur name="tvapct"&gt;20&lt;/Valeur&gt;</v>
      </c>
      <c r="AF165" s="15" t="str">
        <f t="shared" si="80"/>
        <v>&lt;Valeur name="tva"&gt;10.95&lt;/Valeur&gt;</v>
      </c>
      <c r="AG165" s="15" t="s">
        <v>873</v>
      </c>
      <c r="AH165" s="15" t="str">
        <f t="shared" si="81"/>
        <v>&lt;Insert&gt;&lt;Valeur name="no"&gt;164&lt;/Valeur&gt;&lt;Valeur name="societe"&gt;1&lt;/Valeur&gt;&lt;Valeur name="pointer"&gt;1&lt;/Valeur&gt;&lt;Valeur name="datevaleur"&gt;2019/05/06&lt;/Valeur&gt;&lt;Valeur name="datecompta"&gt;2019/05/06&lt;/Valeur&gt;&lt;Valeur name="compte"&gt;-1000&lt;/Valeur&gt;&lt;Valeur name="description"&gt;Colle PU + serre joint pompe&lt;/Valeur&gt;&lt;Valeur name="valeur"&gt;-65.7&lt;/Valeur&gt;&lt;Valeur name="tvapct"&gt;20&lt;/Valeur&gt;&lt;Valeur name="tva"&gt;10.95&lt;/Valeur&gt;&lt;/Insert&gt;</v>
      </c>
    </row>
    <row r="166" spans="1:34" hidden="1" x14ac:dyDescent="0.25">
      <c r="A166" s="9">
        <v>43585</v>
      </c>
      <c r="B166" s="1">
        <v>43615</v>
      </c>
      <c r="C166" t="e">
        <f>INDEX(Balance!A:A,MATCH(D166,Balance!B:B,0))</f>
        <v>#N/A</v>
      </c>
      <c r="D166" t="s">
        <v>700</v>
      </c>
      <c r="E166" t="s">
        <v>701</v>
      </c>
      <c r="F166">
        <v>1223.46</v>
      </c>
      <c r="H166" s="3">
        <f t="shared" si="46"/>
        <v>203.90999999999997</v>
      </c>
      <c r="K166">
        <v>165</v>
      </c>
      <c r="L166">
        <v>1</v>
      </c>
      <c r="M166">
        <v>1</v>
      </c>
      <c r="N166" s="16" t="s">
        <v>897</v>
      </c>
      <c r="O166" s="16" t="s">
        <v>882</v>
      </c>
      <c r="P166">
        <f>IFERROR(VLOOKUP(D166,tab!A:B,2,FALSE),-1000)</f>
        <v>-1000</v>
      </c>
      <c r="Q166" s="14" t="str">
        <f t="shared" si="42"/>
        <v>F.8823096  Pack metallier visseuse + perfo + meuleuse Fein</v>
      </c>
      <c r="R166">
        <f t="shared" si="43"/>
        <v>-1223.46</v>
      </c>
      <c r="S166">
        <v>20</v>
      </c>
      <c r="T166" s="13">
        <f t="shared" si="44"/>
        <v>203.90999999999997</v>
      </c>
      <c r="V166" t="s">
        <v>872</v>
      </c>
      <c r="W166" t="str">
        <f t="shared" si="71"/>
        <v>&lt;Valeur name="no"&gt;165&lt;/Valeur&gt;</v>
      </c>
      <c r="X166" t="str">
        <f t="shared" si="72"/>
        <v>&lt;Valeur name="societe"&gt;1&lt;/Valeur&gt;</v>
      </c>
      <c r="Y166" t="str">
        <f t="shared" si="73"/>
        <v>&lt;Valeur name="pointer"&gt;1&lt;/Valeur&gt;</v>
      </c>
      <c r="Z166" s="15" t="str">
        <f t="shared" si="74"/>
        <v>&lt;Valeur name="datevaleur"&gt;2019/05/30&lt;/Valeur&gt;</v>
      </c>
      <c r="AA166" s="15" t="str">
        <f t="shared" si="75"/>
        <v>&lt;Valeur name="datecompta"&gt;2019/04/30&lt;/Valeur&gt;</v>
      </c>
      <c r="AB166" s="15" t="str">
        <f t="shared" si="76"/>
        <v>&lt;Valeur name="compte"&gt;-1000&lt;/Valeur&gt;</v>
      </c>
      <c r="AC166" s="15" t="str">
        <f t="shared" si="77"/>
        <v>&lt;Valeur name="description"&gt;F.8823096  Pack metallier visseuse + perfo + meuleuse Fein&lt;/Valeur&gt;</v>
      </c>
      <c r="AD166" s="15" t="str">
        <f t="shared" si="78"/>
        <v>&lt;Valeur name="valeur"&gt;-1223.46&lt;/Valeur&gt;</v>
      </c>
      <c r="AE166" s="15" t="str">
        <f t="shared" si="79"/>
        <v>&lt;Valeur name="tvapct"&gt;20&lt;/Valeur&gt;</v>
      </c>
      <c r="AF166" s="15" t="str">
        <f t="shared" si="80"/>
        <v>&lt;Valeur name="tva"&gt;203.91&lt;/Valeur&gt;</v>
      </c>
      <c r="AG166" s="15" t="s">
        <v>873</v>
      </c>
      <c r="AH166" s="15" t="str">
        <f t="shared" si="81"/>
        <v>&lt;Insert&gt;&lt;Valeur name="no"&gt;165&lt;/Valeur&gt;&lt;Valeur name="societe"&gt;1&lt;/Valeur&gt;&lt;Valeur name="pointer"&gt;1&lt;/Valeur&gt;&lt;Valeur name="datevaleur"&gt;2019/05/30&lt;/Valeur&gt;&lt;Valeur name="datecompta"&gt;2019/04/30&lt;/Valeur&gt;&lt;Valeur name="compte"&gt;-1000&lt;/Valeur&gt;&lt;Valeur name="description"&gt;F.8823096  Pack metallier visseuse + perfo + meuleuse Fein&lt;/Valeur&gt;&lt;Valeur name="valeur"&gt;-1223.46&lt;/Valeur&gt;&lt;Valeur name="tvapct"&gt;20&lt;/Valeur&gt;&lt;Valeur name="tva"&gt;203.91&lt;/Valeur&gt;&lt;/Insert&gt;</v>
      </c>
    </row>
    <row r="167" spans="1:34" hidden="1" x14ac:dyDescent="0.25">
      <c r="A167" s="9">
        <v>43585</v>
      </c>
      <c r="B167" s="1">
        <v>43615</v>
      </c>
      <c r="C167" t="e">
        <f>INDEX(Balance!A:A,MATCH(D167,Balance!B:B,0))</f>
        <v>#N/A</v>
      </c>
      <c r="D167" t="s">
        <v>702</v>
      </c>
      <c r="E167" t="s">
        <v>703</v>
      </c>
      <c r="G167">
        <v>380</v>
      </c>
      <c r="H167" s="3">
        <f t="shared" si="46"/>
        <v>-63.333333333333314</v>
      </c>
      <c r="K167">
        <v>166</v>
      </c>
      <c r="L167">
        <v>1</v>
      </c>
      <c r="M167">
        <v>1</v>
      </c>
      <c r="N167" s="16" t="s">
        <v>897</v>
      </c>
      <c r="O167" s="16" t="s">
        <v>882</v>
      </c>
      <c r="P167">
        <f>IFERROR(VLOOKUP(D167,tab!A:B,2,FALSE),-1000)</f>
        <v>136</v>
      </c>
      <c r="Q167" s="14" t="str">
        <f t="shared" si="42"/>
        <v>AF259-1  Tôle + moulure portails Lille (autoliquidation TVA)</v>
      </c>
      <c r="R167">
        <f t="shared" si="43"/>
        <v>380</v>
      </c>
      <c r="S167">
        <v>20</v>
      </c>
      <c r="T167" s="13">
        <f t="shared" si="44"/>
        <v>-63.333333333333314</v>
      </c>
      <c r="V167" t="s">
        <v>872</v>
      </c>
      <c r="W167" t="str">
        <f t="shared" si="71"/>
        <v>&lt;Valeur name="no"&gt;166&lt;/Valeur&gt;</v>
      </c>
      <c r="X167" t="str">
        <f t="shared" si="72"/>
        <v>&lt;Valeur name="societe"&gt;1&lt;/Valeur&gt;</v>
      </c>
      <c r="Y167" t="str">
        <f t="shared" si="73"/>
        <v>&lt;Valeur name="pointer"&gt;1&lt;/Valeur&gt;</v>
      </c>
      <c r="Z167" s="15" t="str">
        <f t="shared" si="74"/>
        <v>&lt;Valeur name="datevaleur"&gt;2019/05/30&lt;/Valeur&gt;</v>
      </c>
      <c r="AA167" s="15" t="str">
        <f t="shared" si="75"/>
        <v>&lt;Valeur name="datecompta"&gt;2019/04/30&lt;/Valeur&gt;</v>
      </c>
      <c r="AB167" s="15" t="str">
        <f t="shared" si="76"/>
        <v>&lt;Valeur name="compte"&gt;136&lt;/Valeur&gt;</v>
      </c>
      <c r="AC167" s="15" t="str">
        <f t="shared" si="77"/>
        <v>&lt;Valeur name="description"&gt;AF259-1  Tôle + moulure portails Lille (autoliquidation TVA)&lt;/Valeur&gt;</v>
      </c>
      <c r="AD167" s="15" t="str">
        <f t="shared" si="78"/>
        <v>&lt;Valeur name="valeur"&gt;380&lt;/Valeur&gt;</v>
      </c>
      <c r="AE167" s="15" t="str">
        <f t="shared" si="79"/>
        <v>&lt;Valeur name="tvapct"&gt;20&lt;/Valeur&gt;</v>
      </c>
      <c r="AF167" s="15" t="str">
        <f t="shared" si="80"/>
        <v>&lt;Valeur name="tva"&gt;-63.3333333333333&lt;/Valeur&gt;</v>
      </c>
      <c r="AG167" s="15" t="s">
        <v>873</v>
      </c>
      <c r="AH167" s="15" t="str">
        <f t="shared" si="81"/>
        <v>&lt;Insert&gt;&lt;Valeur name="no"&gt;166&lt;/Valeur&gt;&lt;Valeur name="societe"&gt;1&lt;/Valeur&gt;&lt;Valeur name="pointer"&gt;1&lt;/Valeur&gt;&lt;Valeur name="datevaleur"&gt;2019/05/30&lt;/Valeur&gt;&lt;Valeur name="datecompta"&gt;2019/04/30&lt;/Valeur&gt;&lt;Valeur name="compte"&gt;136&lt;/Valeur&gt;&lt;Valeur name="description"&gt;AF259-1  Tôle + moulure portails Lille (autoliquidation TVA)&lt;/Valeur&gt;&lt;Valeur name="valeur"&gt;380&lt;/Valeur&gt;&lt;Valeur name="tvapct"&gt;20&lt;/Valeur&gt;&lt;Valeur name="tva"&gt;-63.3333333333333&lt;/Valeur&gt;&lt;/Insert&gt;</v>
      </c>
    </row>
    <row r="168" spans="1:34" hidden="1" x14ac:dyDescent="0.25">
      <c r="A168" s="9">
        <v>43585</v>
      </c>
      <c r="B168" s="1">
        <v>43615</v>
      </c>
      <c r="C168" t="e">
        <f>INDEX(Balance!A:A,MATCH(D168,Balance!B:B,0))</f>
        <v>#N/A</v>
      </c>
      <c r="D168" t="s">
        <v>704</v>
      </c>
      <c r="E168" t="s">
        <v>705</v>
      </c>
      <c r="G168">
        <v>5227.2</v>
      </c>
      <c r="H168" s="3">
        <f t="shared" si="46"/>
        <v>-871.19999999999982</v>
      </c>
      <c r="K168">
        <v>167</v>
      </c>
      <c r="L168">
        <v>1</v>
      </c>
      <c r="M168">
        <v>1</v>
      </c>
      <c r="N168" s="16" t="s">
        <v>897</v>
      </c>
      <c r="O168" s="16" t="s">
        <v>882</v>
      </c>
      <c r="P168">
        <f>IFERROR(VLOOKUP(D168,tab!A:B,2,FALSE),-1000)</f>
        <v>137</v>
      </c>
      <c r="Q168" s="14" t="str">
        <f t="shared" si="42"/>
        <v>AF196-5  Avancement escalier intérieur</v>
      </c>
      <c r="R168">
        <f t="shared" si="43"/>
        <v>5227.2</v>
      </c>
      <c r="S168">
        <v>20</v>
      </c>
      <c r="T168" s="13">
        <f t="shared" si="44"/>
        <v>-871.19999999999982</v>
      </c>
      <c r="V168" t="s">
        <v>872</v>
      </c>
      <c r="W168" t="str">
        <f t="shared" si="71"/>
        <v>&lt;Valeur name="no"&gt;167&lt;/Valeur&gt;</v>
      </c>
      <c r="X168" t="str">
        <f t="shared" si="72"/>
        <v>&lt;Valeur name="societe"&gt;1&lt;/Valeur&gt;</v>
      </c>
      <c r="Y168" t="str">
        <f t="shared" si="73"/>
        <v>&lt;Valeur name="pointer"&gt;1&lt;/Valeur&gt;</v>
      </c>
      <c r="Z168" s="15" t="str">
        <f t="shared" si="74"/>
        <v>&lt;Valeur name="datevaleur"&gt;2019/05/30&lt;/Valeur&gt;</v>
      </c>
      <c r="AA168" s="15" t="str">
        <f t="shared" si="75"/>
        <v>&lt;Valeur name="datecompta"&gt;2019/04/30&lt;/Valeur&gt;</v>
      </c>
      <c r="AB168" s="15" t="str">
        <f t="shared" si="76"/>
        <v>&lt;Valeur name="compte"&gt;137&lt;/Valeur&gt;</v>
      </c>
      <c r="AC168" s="15" t="str">
        <f t="shared" si="77"/>
        <v>&lt;Valeur name="description"&gt;AF196-5  Avancement escalier intérieur&lt;/Valeur&gt;</v>
      </c>
      <c r="AD168" s="15" t="str">
        <f t="shared" si="78"/>
        <v>&lt;Valeur name="valeur"&gt;5227.2&lt;/Valeur&gt;</v>
      </c>
      <c r="AE168" s="15" t="str">
        <f t="shared" si="79"/>
        <v>&lt;Valeur name="tvapct"&gt;20&lt;/Valeur&gt;</v>
      </c>
      <c r="AF168" s="15" t="str">
        <f t="shared" si="80"/>
        <v>&lt;Valeur name="tva"&gt;-871.2&lt;/Valeur&gt;</v>
      </c>
      <c r="AG168" s="15" t="s">
        <v>873</v>
      </c>
      <c r="AH168" s="15" t="str">
        <f t="shared" si="81"/>
        <v>&lt;Insert&gt;&lt;Valeur name="no"&gt;167&lt;/Valeur&gt;&lt;Valeur name="societe"&gt;1&lt;/Valeur&gt;&lt;Valeur name="pointer"&gt;1&lt;/Valeur&gt;&lt;Valeur name="datevaleur"&gt;2019/05/30&lt;/Valeur&gt;&lt;Valeur name="datecompta"&gt;2019/04/30&lt;/Valeur&gt;&lt;Valeur name="compte"&gt;137&lt;/Valeur&gt;&lt;Valeur name="description"&gt;AF196-5  Avancement escalier intérieur&lt;/Valeur&gt;&lt;Valeur name="valeur"&gt;5227.2&lt;/Valeur&gt;&lt;Valeur name="tvapct"&gt;20&lt;/Valeur&gt;&lt;Valeur name="tva"&gt;-871.2&lt;/Valeur&gt;&lt;/Insert&gt;</v>
      </c>
    </row>
    <row r="169" spans="1:34" hidden="1" x14ac:dyDescent="0.25">
      <c r="A169" s="9">
        <v>43585</v>
      </c>
      <c r="B169" s="1">
        <v>43615</v>
      </c>
      <c r="C169" t="e">
        <f>INDEX(Balance!A:A,MATCH(D169,Balance!B:B,0))</f>
        <v>#N/A</v>
      </c>
      <c r="D169" t="s">
        <v>706</v>
      </c>
      <c r="E169" t="s">
        <v>707</v>
      </c>
      <c r="G169">
        <v>5325</v>
      </c>
      <c r="H169" s="3">
        <f t="shared" si="46"/>
        <v>-887.5</v>
      </c>
      <c r="K169">
        <v>168</v>
      </c>
      <c r="L169">
        <v>1</v>
      </c>
      <c r="M169">
        <v>1</v>
      </c>
      <c r="N169" s="16" t="s">
        <v>897</v>
      </c>
      <c r="O169" s="16" t="s">
        <v>882</v>
      </c>
      <c r="P169">
        <f>IFERROR(VLOOKUP(D169,tab!A:B,2,FALSE),-1000)</f>
        <v>138</v>
      </c>
      <c r="Q169" s="14" t="str">
        <f t="shared" si="42"/>
        <v>AF234-2  Avancement separatif en caves</v>
      </c>
      <c r="R169">
        <f t="shared" si="43"/>
        <v>5325</v>
      </c>
      <c r="S169">
        <v>20</v>
      </c>
      <c r="T169" s="13">
        <f t="shared" si="44"/>
        <v>-887.5</v>
      </c>
      <c r="V169" t="s">
        <v>872</v>
      </c>
      <c r="W169" t="str">
        <f t="shared" si="71"/>
        <v>&lt;Valeur name="no"&gt;168&lt;/Valeur&gt;</v>
      </c>
      <c r="X169" t="str">
        <f t="shared" si="72"/>
        <v>&lt;Valeur name="societe"&gt;1&lt;/Valeur&gt;</v>
      </c>
      <c r="Y169" t="str">
        <f t="shared" si="73"/>
        <v>&lt;Valeur name="pointer"&gt;1&lt;/Valeur&gt;</v>
      </c>
      <c r="Z169" s="15" t="str">
        <f t="shared" si="74"/>
        <v>&lt;Valeur name="datevaleur"&gt;2019/05/30&lt;/Valeur&gt;</v>
      </c>
      <c r="AA169" s="15" t="str">
        <f t="shared" si="75"/>
        <v>&lt;Valeur name="datecompta"&gt;2019/04/30&lt;/Valeur&gt;</v>
      </c>
      <c r="AB169" s="15" t="str">
        <f t="shared" si="76"/>
        <v>&lt;Valeur name="compte"&gt;138&lt;/Valeur&gt;</v>
      </c>
      <c r="AC169" s="15" t="str">
        <f t="shared" si="77"/>
        <v>&lt;Valeur name="description"&gt;AF234-2  Avancement separatif en caves&lt;/Valeur&gt;</v>
      </c>
      <c r="AD169" s="15" t="str">
        <f t="shared" si="78"/>
        <v>&lt;Valeur name="valeur"&gt;5325&lt;/Valeur&gt;</v>
      </c>
      <c r="AE169" s="15" t="str">
        <f t="shared" si="79"/>
        <v>&lt;Valeur name="tvapct"&gt;20&lt;/Valeur&gt;</v>
      </c>
      <c r="AF169" s="15" t="str">
        <f t="shared" si="80"/>
        <v>&lt;Valeur name="tva"&gt;-887.5&lt;/Valeur&gt;</v>
      </c>
      <c r="AG169" s="15" t="s">
        <v>873</v>
      </c>
      <c r="AH169" s="15" t="str">
        <f t="shared" si="81"/>
        <v>&lt;Insert&gt;&lt;Valeur name="no"&gt;168&lt;/Valeur&gt;&lt;Valeur name="societe"&gt;1&lt;/Valeur&gt;&lt;Valeur name="pointer"&gt;1&lt;/Valeur&gt;&lt;Valeur name="datevaleur"&gt;2019/05/30&lt;/Valeur&gt;&lt;Valeur name="datecompta"&gt;2019/04/30&lt;/Valeur&gt;&lt;Valeur name="compte"&gt;138&lt;/Valeur&gt;&lt;Valeur name="description"&gt;AF234-2  Avancement separatif en caves&lt;/Valeur&gt;&lt;Valeur name="valeur"&gt;5325&lt;/Valeur&gt;&lt;Valeur name="tvapct"&gt;20&lt;/Valeur&gt;&lt;Valeur name="tva"&gt;-887.5&lt;/Valeur&gt;&lt;/Insert&gt;</v>
      </c>
    </row>
    <row r="170" spans="1:34" hidden="1" x14ac:dyDescent="0.25">
      <c r="A170" s="9">
        <v>43585</v>
      </c>
      <c r="B170" s="1">
        <v>43615</v>
      </c>
      <c r="C170" t="e">
        <f>INDEX(Balance!A:A,MATCH(D170,Balance!B:B,0))</f>
        <v>#N/A</v>
      </c>
      <c r="D170" t="s">
        <v>708</v>
      </c>
      <c r="E170" t="s">
        <v>709</v>
      </c>
      <c r="G170">
        <v>2112</v>
      </c>
      <c r="H170" s="3">
        <f t="shared" si="46"/>
        <v>-352</v>
      </c>
      <c r="K170">
        <v>169</v>
      </c>
      <c r="L170">
        <v>1</v>
      </c>
      <c r="M170">
        <v>1</v>
      </c>
      <c r="N170" s="16" t="s">
        <v>897</v>
      </c>
      <c r="O170" s="16" t="s">
        <v>882</v>
      </c>
      <c r="P170">
        <f>IFERROR(VLOOKUP(D170,tab!A:B,2,FALSE),-1000)</f>
        <v>139</v>
      </c>
      <c r="Q170" s="14" t="str">
        <f t="shared" si="42"/>
        <v>AF213-3  Solde porte de Cave</v>
      </c>
      <c r="R170">
        <f t="shared" si="43"/>
        <v>2112</v>
      </c>
      <c r="S170">
        <v>20</v>
      </c>
      <c r="T170" s="13">
        <f t="shared" si="44"/>
        <v>-352</v>
      </c>
      <c r="V170" t="s">
        <v>872</v>
      </c>
      <c r="W170" t="str">
        <f t="shared" si="71"/>
        <v>&lt;Valeur name="no"&gt;169&lt;/Valeur&gt;</v>
      </c>
      <c r="X170" t="str">
        <f t="shared" si="72"/>
        <v>&lt;Valeur name="societe"&gt;1&lt;/Valeur&gt;</v>
      </c>
      <c r="Y170" t="str">
        <f t="shared" si="73"/>
        <v>&lt;Valeur name="pointer"&gt;1&lt;/Valeur&gt;</v>
      </c>
      <c r="Z170" s="15" t="str">
        <f t="shared" si="74"/>
        <v>&lt;Valeur name="datevaleur"&gt;2019/05/30&lt;/Valeur&gt;</v>
      </c>
      <c r="AA170" s="15" t="str">
        <f t="shared" si="75"/>
        <v>&lt;Valeur name="datecompta"&gt;2019/04/30&lt;/Valeur&gt;</v>
      </c>
      <c r="AB170" s="15" t="str">
        <f t="shared" si="76"/>
        <v>&lt;Valeur name="compte"&gt;139&lt;/Valeur&gt;</v>
      </c>
      <c r="AC170" s="15" t="str">
        <f t="shared" si="77"/>
        <v>&lt;Valeur name="description"&gt;AF213-3  Solde porte de Cave&lt;/Valeur&gt;</v>
      </c>
      <c r="AD170" s="15" t="str">
        <f t="shared" si="78"/>
        <v>&lt;Valeur name="valeur"&gt;2112&lt;/Valeur&gt;</v>
      </c>
      <c r="AE170" s="15" t="str">
        <f t="shared" si="79"/>
        <v>&lt;Valeur name="tvapct"&gt;20&lt;/Valeur&gt;</v>
      </c>
      <c r="AF170" s="15" t="str">
        <f t="shared" si="80"/>
        <v>&lt;Valeur name="tva"&gt;-352&lt;/Valeur&gt;</v>
      </c>
      <c r="AG170" s="15" t="s">
        <v>873</v>
      </c>
      <c r="AH170" s="15" t="str">
        <f t="shared" si="81"/>
        <v>&lt;Insert&gt;&lt;Valeur name="no"&gt;169&lt;/Valeur&gt;&lt;Valeur name="societe"&gt;1&lt;/Valeur&gt;&lt;Valeur name="pointer"&gt;1&lt;/Valeur&gt;&lt;Valeur name="datevaleur"&gt;2019/05/30&lt;/Valeur&gt;&lt;Valeur name="datecompta"&gt;2019/04/30&lt;/Valeur&gt;&lt;Valeur name="compte"&gt;139&lt;/Valeur&gt;&lt;Valeur name="description"&gt;AF213-3  Solde porte de Cave&lt;/Valeur&gt;&lt;Valeur name="valeur"&gt;2112&lt;/Valeur&gt;&lt;Valeur name="tvapct"&gt;20&lt;/Valeur&gt;&lt;Valeur name="tva"&gt;-352&lt;/Valeur&gt;&lt;/Insert&gt;</v>
      </c>
    </row>
    <row r="171" spans="1:34" hidden="1" x14ac:dyDescent="0.25">
      <c r="A171" s="9">
        <v>43585</v>
      </c>
      <c r="B171" s="1">
        <v>43646</v>
      </c>
      <c r="C171" t="e">
        <f>INDEX(Balance!A:A,MATCH(D171,Balance!B:B,0))</f>
        <v>#N/A</v>
      </c>
      <c r="D171" t="s">
        <v>799</v>
      </c>
      <c r="E171" t="s">
        <v>800</v>
      </c>
      <c r="F171">
        <v>15502.44</v>
      </c>
      <c r="H171" s="3">
        <f t="shared" si="46"/>
        <v>2583.7399999999998</v>
      </c>
      <c r="K171">
        <v>170</v>
      </c>
      <c r="L171">
        <v>1</v>
      </c>
      <c r="M171">
        <v>1</v>
      </c>
      <c r="N171" s="16" t="s">
        <v>883</v>
      </c>
      <c r="O171" s="16" t="s">
        <v>882</v>
      </c>
      <c r="P171">
        <f>IFERROR(VLOOKUP(D171,tab!A:B,2,FALSE),-1000)</f>
        <v>140</v>
      </c>
      <c r="Q171" s="14" t="str">
        <f t="shared" si="42"/>
        <v>F.201904308 Cloture Arras</v>
      </c>
      <c r="R171">
        <f t="shared" si="43"/>
        <v>-15502.44</v>
      </c>
      <c r="S171">
        <v>20</v>
      </c>
      <c r="T171" s="13">
        <f t="shared" si="44"/>
        <v>2583.7399999999998</v>
      </c>
      <c r="V171" t="s">
        <v>872</v>
      </c>
      <c r="W171" t="str">
        <f t="shared" si="71"/>
        <v>&lt;Valeur name="no"&gt;170&lt;/Valeur&gt;</v>
      </c>
      <c r="X171" t="str">
        <f t="shared" si="72"/>
        <v>&lt;Valeur name="societe"&gt;1&lt;/Valeur&gt;</v>
      </c>
      <c r="Y171" t="str">
        <f t="shared" si="73"/>
        <v>&lt;Valeur name="pointer"&gt;1&lt;/Valeur&gt;</v>
      </c>
      <c r="Z171" s="15" t="str">
        <f t="shared" si="74"/>
        <v>&lt;Valeur name="datevaleur"&gt;2019/06/30&lt;/Valeur&gt;</v>
      </c>
      <c r="AA171" s="15" t="str">
        <f t="shared" si="75"/>
        <v>&lt;Valeur name="datecompta"&gt;2019/04/30&lt;/Valeur&gt;</v>
      </c>
      <c r="AB171" s="15" t="str">
        <f t="shared" si="76"/>
        <v>&lt;Valeur name="compte"&gt;140&lt;/Valeur&gt;</v>
      </c>
      <c r="AC171" s="15" t="str">
        <f t="shared" si="77"/>
        <v>&lt;Valeur name="description"&gt;F.201904308 Cloture Arras&lt;/Valeur&gt;</v>
      </c>
      <c r="AD171" s="15" t="str">
        <f t="shared" si="78"/>
        <v>&lt;Valeur name="valeur"&gt;-15502.44&lt;/Valeur&gt;</v>
      </c>
      <c r="AE171" s="15" t="str">
        <f t="shared" si="79"/>
        <v>&lt;Valeur name="tvapct"&gt;20&lt;/Valeur&gt;</v>
      </c>
      <c r="AF171" s="15" t="str">
        <f t="shared" si="80"/>
        <v>&lt;Valeur name="tva"&gt;2583.74&lt;/Valeur&gt;</v>
      </c>
      <c r="AG171" s="15" t="s">
        <v>873</v>
      </c>
      <c r="AH171" s="15" t="str">
        <f t="shared" si="81"/>
        <v>&lt;Insert&gt;&lt;Valeur name="no"&gt;170&lt;/Valeur&gt;&lt;Valeur name="societe"&gt;1&lt;/Valeur&gt;&lt;Valeur name="pointer"&gt;1&lt;/Valeur&gt;&lt;Valeur name="datevaleur"&gt;2019/06/30&lt;/Valeur&gt;&lt;Valeur name="datecompta"&gt;2019/04/30&lt;/Valeur&gt;&lt;Valeur name="compte"&gt;140&lt;/Valeur&gt;&lt;Valeur name="description"&gt;F.201904308 Cloture Arras&lt;/Valeur&gt;&lt;Valeur name="valeur"&gt;-15502.44&lt;/Valeur&gt;&lt;Valeur name="tvapct"&gt;20&lt;/Valeur&gt;&lt;Valeur name="tva"&gt;2583.74&lt;/Valeur&gt;&lt;/Insert&gt;</v>
      </c>
    </row>
    <row r="172" spans="1:34" hidden="1" x14ac:dyDescent="0.25">
      <c r="A172" s="9">
        <v>43600</v>
      </c>
      <c r="B172" s="1">
        <v>43646</v>
      </c>
      <c r="C172" t="e">
        <f>INDEX(Balance!A:A,MATCH(D172,Balance!B:B,0))</f>
        <v>#N/A</v>
      </c>
      <c r="D172" t="s">
        <v>802</v>
      </c>
      <c r="E172" t="s">
        <v>803</v>
      </c>
      <c r="F172">
        <v>2234.1</v>
      </c>
      <c r="H172" s="3">
        <f t="shared" si="46"/>
        <v>372.34999999999991</v>
      </c>
      <c r="K172">
        <v>171</v>
      </c>
      <c r="L172">
        <v>1</v>
      </c>
      <c r="M172">
        <v>1</v>
      </c>
      <c r="N172" s="16" t="s">
        <v>883</v>
      </c>
      <c r="O172" s="16" t="s">
        <v>881</v>
      </c>
      <c r="P172">
        <f>IFERROR(VLOOKUP(D172,tab!A:B,2,FALSE),-1000)</f>
        <v>141</v>
      </c>
      <c r="Q172" s="14" t="str">
        <f t="shared" si="42"/>
        <v>F.40159602 Culindres VdS</v>
      </c>
      <c r="R172">
        <f t="shared" si="43"/>
        <v>-2234.1</v>
      </c>
      <c r="S172">
        <v>20</v>
      </c>
      <c r="T172" s="13">
        <f t="shared" si="44"/>
        <v>372.34999999999991</v>
      </c>
      <c r="V172" t="s">
        <v>872</v>
      </c>
      <c r="W172" t="str">
        <f t="shared" si="71"/>
        <v>&lt;Valeur name="no"&gt;171&lt;/Valeur&gt;</v>
      </c>
      <c r="X172" t="str">
        <f t="shared" si="72"/>
        <v>&lt;Valeur name="societe"&gt;1&lt;/Valeur&gt;</v>
      </c>
      <c r="Y172" t="str">
        <f t="shared" si="73"/>
        <v>&lt;Valeur name="pointer"&gt;1&lt;/Valeur&gt;</v>
      </c>
      <c r="Z172" s="15" t="str">
        <f t="shared" si="74"/>
        <v>&lt;Valeur name="datevaleur"&gt;2019/06/30&lt;/Valeur&gt;</v>
      </c>
      <c r="AA172" s="15" t="str">
        <f t="shared" si="75"/>
        <v>&lt;Valeur name="datecompta"&gt;2019/05/15&lt;/Valeur&gt;</v>
      </c>
      <c r="AB172" s="15" t="str">
        <f t="shared" si="76"/>
        <v>&lt;Valeur name="compte"&gt;141&lt;/Valeur&gt;</v>
      </c>
      <c r="AC172" s="15" t="str">
        <f t="shared" si="77"/>
        <v>&lt;Valeur name="description"&gt;F.40159602 Culindres VdS&lt;/Valeur&gt;</v>
      </c>
      <c r="AD172" s="15" t="str">
        <f t="shared" si="78"/>
        <v>&lt;Valeur name="valeur"&gt;-2234.1&lt;/Valeur&gt;</v>
      </c>
      <c r="AE172" s="15" t="str">
        <f t="shared" si="79"/>
        <v>&lt;Valeur name="tvapct"&gt;20&lt;/Valeur&gt;</v>
      </c>
      <c r="AF172" s="15" t="str">
        <f t="shared" si="80"/>
        <v>&lt;Valeur name="tva"&gt;372.35&lt;/Valeur&gt;</v>
      </c>
      <c r="AG172" s="15" t="s">
        <v>873</v>
      </c>
      <c r="AH172" s="15" t="str">
        <f t="shared" si="81"/>
        <v>&lt;Insert&gt;&lt;Valeur name="no"&gt;171&lt;/Valeur&gt;&lt;Valeur name="societe"&gt;1&lt;/Valeur&gt;&lt;Valeur name="pointer"&gt;1&lt;/Valeur&gt;&lt;Valeur name="datevaleur"&gt;2019/06/30&lt;/Valeur&gt;&lt;Valeur name="datecompta"&gt;2019/05/15&lt;/Valeur&gt;&lt;Valeur name="compte"&gt;141&lt;/Valeur&gt;&lt;Valeur name="description"&gt;F.40159602 Culindres VdS&lt;/Valeur&gt;&lt;Valeur name="valeur"&gt;-2234.1&lt;/Valeur&gt;&lt;Valeur name="tvapct"&gt;20&lt;/Valeur&gt;&lt;Valeur name="tva"&gt;372.35&lt;/Valeur&gt;&lt;/Insert&gt;</v>
      </c>
    </row>
    <row r="173" spans="1:34" hidden="1" x14ac:dyDescent="0.25">
      <c r="A173" s="9">
        <v>43600</v>
      </c>
      <c r="B173" s="1">
        <v>43646</v>
      </c>
      <c r="C173" t="e">
        <f>INDEX(Balance!A:A,MATCH(D173,Balance!B:B,0))</f>
        <v>#N/A</v>
      </c>
      <c r="D173" t="s">
        <v>867</v>
      </c>
      <c r="E173" t="s">
        <v>804</v>
      </c>
      <c r="F173">
        <v>550.67999999999995</v>
      </c>
      <c r="H173" s="3">
        <f t="shared" si="46"/>
        <v>91.779999999999973</v>
      </c>
      <c r="K173">
        <v>172</v>
      </c>
      <c r="L173">
        <v>1</v>
      </c>
      <c r="M173">
        <v>1</v>
      </c>
      <c r="N173" s="16" t="s">
        <v>883</v>
      </c>
      <c r="O173" s="16" t="s">
        <v>881</v>
      </c>
      <c r="P173">
        <f>IFERROR(VLOOKUP(D173,tab!A:B,2,FALSE),-1000)</f>
        <v>142</v>
      </c>
      <c r="Q173" s="14" t="str">
        <f t="shared" si="42"/>
        <v>FC19CA050318 joint escalierCAPH                          Virement à faire</v>
      </c>
      <c r="R173">
        <f t="shared" si="43"/>
        <v>-550.67999999999995</v>
      </c>
      <c r="S173">
        <v>20</v>
      </c>
      <c r="T173" s="13">
        <f t="shared" si="44"/>
        <v>91.779999999999973</v>
      </c>
      <c r="V173" t="s">
        <v>872</v>
      </c>
      <c r="W173" t="str">
        <f t="shared" si="71"/>
        <v>&lt;Valeur name="no"&gt;172&lt;/Valeur&gt;</v>
      </c>
      <c r="X173" t="str">
        <f t="shared" si="72"/>
        <v>&lt;Valeur name="societe"&gt;1&lt;/Valeur&gt;</v>
      </c>
      <c r="Y173" t="str">
        <f t="shared" si="73"/>
        <v>&lt;Valeur name="pointer"&gt;1&lt;/Valeur&gt;</v>
      </c>
      <c r="Z173" s="15" t="str">
        <f t="shared" si="74"/>
        <v>&lt;Valeur name="datevaleur"&gt;2019/06/30&lt;/Valeur&gt;</v>
      </c>
      <c r="AA173" s="15" t="str">
        <f t="shared" si="75"/>
        <v>&lt;Valeur name="datecompta"&gt;2019/05/15&lt;/Valeur&gt;</v>
      </c>
      <c r="AB173" s="15" t="str">
        <f t="shared" si="76"/>
        <v>&lt;Valeur name="compte"&gt;142&lt;/Valeur&gt;</v>
      </c>
      <c r="AC173" s="15" t="str">
        <f t="shared" si="77"/>
        <v>&lt;Valeur name="description"&gt;FC19CA050318 joint escalierCAPH                          Virement à faire&lt;/Valeur&gt;</v>
      </c>
      <c r="AD173" s="15" t="str">
        <f t="shared" si="78"/>
        <v>&lt;Valeur name="valeur"&gt;-550.68&lt;/Valeur&gt;</v>
      </c>
      <c r="AE173" s="15" t="str">
        <f t="shared" si="79"/>
        <v>&lt;Valeur name="tvapct"&gt;20&lt;/Valeur&gt;</v>
      </c>
      <c r="AF173" s="15" t="str">
        <f t="shared" si="80"/>
        <v>&lt;Valeur name="tva"&gt;91.78&lt;/Valeur&gt;</v>
      </c>
      <c r="AG173" s="15" t="s">
        <v>873</v>
      </c>
      <c r="AH173" s="15" t="str">
        <f t="shared" si="81"/>
        <v>&lt;Insert&gt;&lt;Valeur name="no"&gt;172&lt;/Valeur&gt;&lt;Valeur name="societe"&gt;1&lt;/Valeur&gt;&lt;Valeur name="pointer"&gt;1&lt;/Valeur&gt;&lt;Valeur name="datevaleur"&gt;2019/06/30&lt;/Valeur&gt;&lt;Valeur name="datecompta"&gt;2019/05/15&lt;/Valeur&gt;&lt;Valeur name="compte"&gt;142&lt;/Valeur&gt;&lt;Valeur name="description"&gt;FC19CA050318 joint escalierCAPH                          Virement à faire&lt;/Valeur&gt;&lt;Valeur name="valeur"&gt;-550.68&lt;/Valeur&gt;&lt;Valeur name="tvapct"&gt;20&lt;/Valeur&gt;&lt;Valeur name="tva"&gt;91.78&lt;/Valeur&gt;&lt;/Insert&gt;</v>
      </c>
    </row>
    <row r="174" spans="1:34" hidden="1" x14ac:dyDescent="0.25">
      <c r="A174" s="9">
        <v>43615</v>
      </c>
      <c r="B174" s="1">
        <v>43646</v>
      </c>
      <c r="C174" t="e">
        <f>INDEX(Balance!A:A,MATCH(D174,Balance!B:B,0))</f>
        <v>#N/A</v>
      </c>
      <c r="D174" t="s">
        <v>827</v>
      </c>
      <c r="E174" t="s">
        <v>826</v>
      </c>
      <c r="G174">
        <v>6696</v>
      </c>
      <c r="H174" s="3">
        <f t="shared" si="46"/>
        <v>-1116</v>
      </c>
      <c r="K174">
        <v>173</v>
      </c>
      <c r="L174">
        <v>1</v>
      </c>
      <c r="M174">
        <v>1</v>
      </c>
      <c r="N174" s="16" t="s">
        <v>883</v>
      </c>
      <c r="O174" s="16" t="s">
        <v>897</v>
      </c>
      <c r="P174">
        <f>IFERROR(VLOOKUP(D174,tab!A:B,2,FALSE),-1000)</f>
        <v>-1000</v>
      </c>
      <c r="Q174" s="14" t="str">
        <f t="shared" si="42"/>
        <v>AF262-1 Main courantes Inox Chopin</v>
      </c>
      <c r="R174">
        <f t="shared" si="43"/>
        <v>6696</v>
      </c>
      <c r="S174">
        <v>20</v>
      </c>
      <c r="T174" s="13">
        <f t="shared" si="44"/>
        <v>-1116</v>
      </c>
      <c r="V174" t="s">
        <v>872</v>
      </c>
      <c r="W174" t="str">
        <f t="shared" si="71"/>
        <v>&lt;Valeur name="no"&gt;173&lt;/Valeur&gt;</v>
      </c>
      <c r="X174" t="str">
        <f t="shared" si="72"/>
        <v>&lt;Valeur name="societe"&gt;1&lt;/Valeur&gt;</v>
      </c>
      <c r="Y174" t="str">
        <f t="shared" si="73"/>
        <v>&lt;Valeur name="pointer"&gt;1&lt;/Valeur&gt;</v>
      </c>
      <c r="Z174" s="15" t="str">
        <f t="shared" si="74"/>
        <v>&lt;Valeur name="datevaleur"&gt;2019/06/30&lt;/Valeur&gt;</v>
      </c>
      <c r="AA174" s="15" t="str">
        <f t="shared" si="75"/>
        <v>&lt;Valeur name="datecompta"&gt;2019/05/30&lt;/Valeur&gt;</v>
      </c>
      <c r="AB174" s="15" t="str">
        <f t="shared" si="76"/>
        <v>&lt;Valeur name="compte"&gt;-1000&lt;/Valeur&gt;</v>
      </c>
      <c r="AC174" s="15" t="str">
        <f t="shared" si="77"/>
        <v>&lt;Valeur name="description"&gt;AF262-1 Main courantes Inox Chopin&lt;/Valeur&gt;</v>
      </c>
      <c r="AD174" s="15" t="str">
        <f t="shared" si="78"/>
        <v>&lt;Valeur name="valeur"&gt;6696&lt;/Valeur&gt;</v>
      </c>
      <c r="AE174" s="15" t="str">
        <f t="shared" si="79"/>
        <v>&lt;Valeur name="tvapct"&gt;20&lt;/Valeur&gt;</v>
      </c>
      <c r="AF174" s="15" t="str">
        <f t="shared" si="80"/>
        <v>&lt;Valeur name="tva"&gt;-1116&lt;/Valeur&gt;</v>
      </c>
      <c r="AG174" s="15" t="s">
        <v>873</v>
      </c>
      <c r="AH174" s="15" t="str">
        <f t="shared" si="81"/>
        <v>&lt;Insert&gt;&lt;Valeur name="no"&gt;173&lt;/Valeur&gt;&lt;Valeur name="societe"&gt;1&lt;/Valeur&gt;&lt;Valeur name="pointer"&gt;1&lt;/Valeur&gt;&lt;Valeur name="datevaleur"&gt;2019/06/30&lt;/Valeur&gt;&lt;Valeur name="datecompta"&gt;2019/05/30&lt;/Valeur&gt;&lt;Valeur name="compte"&gt;-1000&lt;/Valeur&gt;&lt;Valeur name="description"&gt;AF262-1 Main courantes Inox Chopin&lt;/Valeur&gt;&lt;Valeur name="valeur"&gt;6696&lt;/Valeur&gt;&lt;Valeur name="tvapct"&gt;20&lt;/Valeur&gt;&lt;Valeur name="tva"&gt;-1116&lt;/Valeur&gt;&lt;/Insert&gt;</v>
      </c>
    </row>
    <row r="175" spans="1:34" hidden="1" x14ac:dyDescent="0.25">
      <c r="A175" s="9">
        <v>43615</v>
      </c>
      <c r="B175" s="1">
        <v>43646</v>
      </c>
      <c r="C175" t="e">
        <f>INDEX(Balance!A:A,MATCH(D175,Balance!B:B,0))</f>
        <v>#N/A</v>
      </c>
      <c r="D175" t="s">
        <v>706</v>
      </c>
      <c r="E175" t="s">
        <v>828</v>
      </c>
      <c r="G175">
        <v>11095.2</v>
      </c>
      <c r="H175" s="3">
        <f t="shared" si="46"/>
        <v>-1849.1999999999989</v>
      </c>
      <c r="K175">
        <v>174</v>
      </c>
      <c r="L175">
        <v>1</v>
      </c>
      <c r="M175">
        <v>1</v>
      </c>
      <c r="N175" s="16" t="s">
        <v>883</v>
      </c>
      <c r="O175" s="16" t="s">
        <v>897</v>
      </c>
      <c r="P175">
        <f>IFERROR(VLOOKUP(D175,tab!A:B,2,FALSE),-1000)</f>
        <v>138</v>
      </c>
      <c r="Q175" s="14" t="str">
        <f t="shared" si="42"/>
        <v>AF234-3 Maillard</v>
      </c>
      <c r="R175">
        <f t="shared" si="43"/>
        <v>11095.2</v>
      </c>
      <c r="S175">
        <v>20</v>
      </c>
      <c r="T175" s="13">
        <f t="shared" si="44"/>
        <v>-1849.1999999999989</v>
      </c>
      <c r="V175" t="s">
        <v>872</v>
      </c>
      <c r="W175" t="str">
        <f t="shared" si="71"/>
        <v>&lt;Valeur name="no"&gt;174&lt;/Valeur&gt;</v>
      </c>
      <c r="X175" t="str">
        <f t="shared" si="72"/>
        <v>&lt;Valeur name="societe"&gt;1&lt;/Valeur&gt;</v>
      </c>
      <c r="Y175" t="str">
        <f t="shared" si="73"/>
        <v>&lt;Valeur name="pointer"&gt;1&lt;/Valeur&gt;</v>
      </c>
      <c r="Z175" s="15" t="str">
        <f t="shared" si="74"/>
        <v>&lt;Valeur name="datevaleur"&gt;2019/06/30&lt;/Valeur&gt;</v>
      </c>
      <c r="AA175" s="15" t="str">
        <f t="shared" si="75"/>
        <v>&lt;Valeur name="datecompta"&gt;2019/05/30&lt;/Valeur&gt;</v>
      </c>
      <c r="AB175" s="15" t="str">
        <f t="shared" si="76"/>
        <v>&lt;Valeur name="compte"&gt;138&lt;/Valeur&gt;</v>
      </c>
      <c r="AC175" s="15" t="str">
        <f t="shared" si="77"/>
        <v>&lt;Valeur name="description"&gt;AF234-3 Maillard&lt;/Valeur&gt;</v>
      </c>
      <c r="AD175" s="15" t="str">
        <f t="shared" si="78"/>
        <v>&lt;Valeur name="valeur"&gt;11095.2&lt;/Valeur&gt;</v>
      </c>
      <c r="AE175" s="15" t="str">
        <f t="shared" si="79"/>
        <v>&lt;Valeur name="tvapct"&gt;20&lt;/Valeur&gt;</v>
      </c>
      <c r="AF175" s="15" t="str">
        <f t="shared" si="80"/>
        <v>&lt;Valeur name="tva"&gt;-1849.2&lt;/Valeur&gt;</v>
      </c>
      <c r="AG175" s="15" t="s">
        <v>873</v>
      </c>
      <c r="AH175" s="15" t="str">
        <f t="shared" si="81"/>
        <v>&lt;Insert&gt;&lt;Valeur name="no"&gt;174&lt;/Valeur&gt;&lt;Valeur name="societe"&gt;1&lt;/Valeur&gt;&lt;Valeur name="pointer"&gt;1&lt;/Valeur&gt;&lt;Valeur name="datevaleur"&gt;2019/06/30&lt;/Valeur&gt;&lt;Valeur name="datecompta"&gt;2019/05/30&lt;/Valeur&gt;&lt;Valeur name="compte"&gt;138&lt;/Valeur&gt;&lt;Valeur name="description"&gt;AF234-3 Maillard&lt;/Valeur&gt;&lt;Valeur name="valeur"&gt;11095.2&lt;/Valeur&gt;&lt;Valeur name="tvapct"&gt;20&lt;/Valeur&gt;&lt;Valeur name="tva"&gt;-1849.2&lt;/Valeur&gt;&lt;/Insert&gt;</v>
      </c>
    </row>
    <row r="176" spans="1:34" hidden="1" x14ac:dyDescent="0.25">
      <c r="A176" s="9">
        <v>43615</v>
      </c>
      <c r="B176" s="1">
        <v>43646</v>
      </c>
      <c r="C176" t="e">
        <f>INDEX(Balance!A:A,MATCH(D176,Balance!B:B,0))</f>
        <v>#N/A</v>
      </c>
      <c r="D176" t="s">
        <v>704</v>
      </c>
      <c r="E176" t="s">
        <v>829</v>
      </c>
      <c r="G176">
        <v>18295.2</v>
      </c>
      <c r="H176" s="3">
        <f t="shared" si="46"/>
        <v>-3049.1999999999989</v>
      </c>
      <c r="K176">
        <v>175</v>
      </c>
      <c r="L176">
        <v>1</v>
      </c>
      <c r="M176">
        <v>1</v>
      </c>
      <c r="N176" s="16" t="s">
        <v>883</v>
      </c>
      <c r="O176" s="16" t="s">
        <v>897</v>
      </c>
      <c r="P176">
        <f>IFERROR(VLOOKUP(D176,tab!A:B,2,FALSE),-1000)</f>
        <v>137</v>
      </c>
      <c r="Q176" s="14" t="str">
        <f t="shared" si="42"/>
        <v>AF196-6 CAPH</v>
      </c>
      <c r="R176">
        <f t="shared" si="43"/>
        <v>18295.2</v>
      </c>
      <c r="S176">
        <v>20</v>
      </c>
      <c r="T176" s="13">
        <f t="shared" si="44"/>
        <v>-3049.1999999999989</v>
      </c>
      <c r="V176" t="s">
        <v>872</v>
      </c>
      <c r="W176" t="str">
        <f t="shared" si="71"/>
        <v>&lt;Valeur name="no"&gt;175&lt;/Valeur&gt;</v>
      </c>
      <c r="X176" t="str">
        <f t="shared" si="72"/>
        <v>&lt;Valeur name="societe"&gt;1&lt;/Valeur&gt;</v>
      </c>
      <c r="Y176" t="str">
        <f t="shared" si="73"/>
        <v>&lt;Valeur name="pointer"&gt;1&lt;/Valeur&gt;</v>
      </c>
      <c r="Z176" s="15" t="str">
        <f t="shared" si="74"/>
        <v>&lt;Valeur name="datevaleur"&gt;2019/06/30&lt;/Valeur&gt;</v>
      </c>
      <c r="AA176" s="15" t="str">
        <f t="shared" si="75"/>
        <v>&lt;Valeur name="datecompta"&gt;2019/05/30&lt;/Valeur&gt;</v>
      </c>
      <c r="AB176" s="15" t="str">
        <f t="shared" si="76"/>
        <v>&lt;Valeur name="compte"&gt;137&lt;/Valeur&gt;</v>
      </c>
      <c r="AC176" s="15" t="str">
        <f t="shared" si="77"/>
        <v>&lt;Valeur name="description"&gt;AF196-6 CAPH&lt;/Valeur&gt;</v>
      </c>
      <c r="AD176" s="15" t="str">
        <f t="shared" si="78"/>
        <v>&lt;Valeur name="valeur"&gt;18295.2&lt;/Valeur&gt;</v>
      </c>
      <c r="AE176" s="15" t="str">
        <f t="shared" si="79"/>
        <v>&lt;Valeur name="tvapct"&gt;20&lt;/Valeur&gt;</v>
      </c>
      <c r="AF176" s="15" t="str">
        <f t="shared" si="80"/>
        <v>&lt;Valeur name="tva"&gt;-3049.2&lt;/Valeur&gt;</v>
      </c>
      <c r="AG176" s="15" t="s">
        <v>873</v>
      </c>
      <c r="AH176" s="15" t="str">
        <f t="shared" si="81"/>
        <v>&lt;Insert&gt;&lt;Valeur name="no"&gt;175&lt;/Valeur&gt;&lt;Valeur name="societe"&gt;1&lt;/Valeur&gt;&lt;Valeur name="pointer"&gt;1&lt;/Valeur&gt;&lt;Valeur name="datevaleur"&gt;2019/06/30&lt;/Valeur&gt;&lt;Valeur name="datecompta"&gt;2019/05/30&lt;/Valeur&gt;&lt;Valeur name="compte"&gt;137&lt;/Valeur&gt;&lt;Valeur name="description"&gt;AF196-6 CAPH&lt;/Valeur&gt;&lt;Valeur name="valeur"&gt;18295.2&lt;/Valeur&gt;&lt;Valeur name="tvapct"&gt;20&lt;/Valeur&gt;&lt;Valeur name="tva"&gt;-3049.2&lt;/Valeur&gt;&lt;/Insert&gt;</v>
      </c>
    </row>
    <row r="177" spans="1:34" hidden="1" x14ac:dyDescent="0.25">
      <c r="A177" s="9">
        <v>43615</v>
      </c>
      <c r="B177" s="1">
        <v>43646</v>
      </c>
      <c r="C177" t="e">
        <f>INDEX(Balance!A:A,MATCH(D177,Balance!B:B,0))</f>
        <v>#N/A</v>
      </c>
      <c r="D177" t="s">
        <v>830</v>
      </c>
      <c r="E177" t="s">
        <v>831</v>
      </c>
      <c r="G177">
        <v>6960</v>
      </c>
      <c r="H177" s="3">
        <f t="shared" si="46"/>
        <v>-1160</v>
      </c>
      <c r="K177">
        <v>176</v>
      </c>
      <c r="L177">
        <v>1</v>
      </c>
      <c r="M177">
        <v>1</v>
      </c>
      <c r="N177" s="16" t="s">
        <v>883</v>
      </c>
      <c r="O177" s="16" t="s">
        <v>897</v>
      </c>
      <c r="P177">
        <f>IFERROR(VLOOKUP(D177,tab!A:B,2,FALSE),-1000)</f>
        <v>-1000</v>
      </c>
      <c r="Q177" s="14" t="str">
        <f t="shared" si="42"/>
        <v>AF263-1 Escalier Prouvy MABEO</v>
      </c>
      <c r="R177">
        <f t="shared" si="43"/>
        <v>6960</v>
      </c>
      <c r="S177">
        <v>20</v>
      </c>
      <c r="T177" s="13">
        <f t="shared" si="44"/>
        <v>-1160</v>
      </c>
      <c r="V177" t="s">
        <v>872</v>
      </c>
      <c r="W177" t="str">
        <f t="shared" si="71"/>
        <v>&lt;Valeur name="no"&gt;176&lt;/Valeur&gt;</v>
      </c>
      <c r="X177" t="str">
        <f t="shared" si="72"/>
        <v>&lt;Valeur name="societe"&gt;1&lt;/Valeur&gt;</v>
      </c>
      <c r="Y177" t="str">
        <f t="shared" si="73"/>
        <v>&lt;Valeur name="pointer"&gt;1&lt;/Valeur&gt;</v>
      </c>
      <c r="Z177" s="15" t="str">
        <f t="shared" si="74"/>
        <v>&lt;Valeur name="datevaleur"&gt;2019/06/30&lt;/Valeur&gt;</v>
      </c>
      <c r="AA177" s="15" t="str">
        <f t="shared" si="75"/>
        <v>&lt;Valeur name="datecompta"&gt;2019/05/30&lt;/Valeur&gt;</v>
      </c>
      <c r="AB177" s="15" t="str">
        <f t="shared" si="76"/>
        <v>&lt;Valeur name="compte"&gt;-1000&lt;/Valeur&gt;</v>
      </c>
      <c r="AC177" s="15" t="str">
        <f t="shared" si="77"/>
        <v>&lt;Valeur name="description"&gt;AF263-1 Escalier Prouvy MABEO&lt;/Valeur&gt;</v>
      </c>
      <c r="AD177" s="15" t="str">
        <f t="shared" si="78"/>
        <v>&lt;Valeur name="valeur"&gt;6960&lt;/Valeur&gt;</v>
      </c>
      <c r="AE177" s="15" t="str">
        <f t="shared" si="79"/>
        <v>&lt;Valeur name="tvapct"&gt;20&lt;/Valeur&gt;</v>
      </c>
      <c r="AF177" s="15" t="str">
        <f t="shared" si="80"/>
        <v>&lt;Valeur name="tva"&gt;-1160&lt;/Valeur&gt;</v>
      </c>
      <c r="AG177" s="15" t="s">
        <v>873</v>
      </c>
      <c r="AH177" s="15" t="str">
        <f t="shared" si="81"/>
        <v>&lt;Insert&gt;&lt;Valeur name="no"&gt;176&lt;/Valeur&gt;&lt;Valeur name="societe"&gt;1&lt;/Valeur&gt;&lt;Valeur name="pointer"&gt;1&lt;/Valeur&gt;&lt;Valeur name="datevaleur"&gt;2019/06/30&lt;/Valeur&gt;&lt;Valeur name="datecompta"&gt;2019/05/30&lt;/Valeur&gt;&lt;Valeur name="compte"&gt;-1000&lt;/Valeur&gt;&lt;Valeur name="description"&gt;AF263-1 Escalier Prouvy MABEO&lt;/Valeur&gt;&lt;Valeur name="valeur"&gt;6960&lt;/Valeur&gt;&lt;Valeur name="tvapct"&gt;20&lt;/Valeur&gt;&lt;Valeur name="tva"&gt;-1160&lt;/Valeur&gt;&lt;/Insert&gt;</v>
      </c>
    </row>
    <row r="178" spans="1:34" hidden="1" x14ac:dyDescent="0.25">
      <c r="A178" s="9">
        <v>43615</v>
      </c>
      <c r="B178" s="1">
        <v>43646</v>
      </c>
      <c r="C178" t="e">
        <f>INDEX(Balance!A:A,MATCH(D178,Balance!B:B,0))</f>
        <v>#N/A</v>
      </c>
      <c r="D178" t="s">
        <v>832</v>
      </c>
      <c r="E178" t="s">
        <v>833</v>
      </c>
      <c r="G178">
        <v>5448</v>
      </c>
      <c r="H178" s="3">
        <f t="shared" si="46"/>
        <v>-908</v>
      </c>
      <c r="K178">
        <v>177</v>
      </c>
      <c r="L178">
        <v>1</v>
      </c>
      <c r="M178">
        <v>1</v>
      </c>
      <c r="N178" s="16" t="s">
        <v>883</v>
      </c>
      <c r="O178" s="16" t="s">
        <v>897</v>
      </c>
      <c r="P178">
        <f>IFERROR(VLOOKUP(D178,tab!A:B,2,FALSE),-1000)</f>
        <v>146</v>
      </c>
      <c r="Q178" s="14" t="str">
        <f t="shared" si="42"/>
        <v>AF261-1 Tôles des maires x3</v>
      </c>
      <c r="R178">
        <f t="shared" si="43"/>
        <v>5448</v>
      </c>
      <c r="S178">
        <v>20</v>
      </c>
      <c r="T178" s="13">
        <f t="shared" si="44"/>
        <v>-908</v>
      </c>
      <c r="V178" t="s">
        <v>872</v>
      </c>
      <c r="W178" t="str">
        <f>"&lt;Valeur "&amp;K$1&amp;"&gt;"&amp;K178&amp;"&lt;/Valeur&gt;"</f>
        <v>&lt;Valeur name="no"&gt;177&lt;/Valeur&gt;</v>
      </c>
      <c r="X178" t="str">
        <f t="shared" si="72"/>
        <v>&lt;Valeur name="societe"&gt;1&lt;/Valeur&gt;</v>
      </c>
      <c r="Y178" t="str">
        <f t="shared" si="73"/>
        <v>&lt;Valeur name="pointer"&gt;1&lt;/Valeur&gt;</v>
      </c>
      <c r="Z178" s="15" t="str">
        <f t="shared" si="74"/>
        <v>&lt;Valeur name="datevaleur"&gt;2019/06/30&lt;/Valeur&gt;</v>
      </c>
      <c r="AA178" s="15" t="str">
        <f t="shared" si="75"/>
        <v>&lt;Valeur name="datecompta"&gt;2019/05/30&lt;/Valeur&gt;</v>
      </c>
      <c r="AB178" s="15" t="str">
        <f t="shared" si="76"/>
        <v>&lt;Valeur name="compte"&gt;146&lt;/Valeur&gt;</v>
      </c>
      <c r="AC178" s="15" t="str">
        <f t="shared" si="77"/>
        <v>&lt;Valeur name="description"&gt;AF261-1 Tôles des maires x3&lt;/Valeur&gt;</v>
      </c>
      <c r="AD178" s="15" t="str">
        <f t="shared" si="78"/>
        <v>&lt;Valeur name="valeur"&gt;5448&lt;/Valeur&gt;</v>
      </c>
      <c r="AE178" s="15" t="str">
        <f t="shared" si="79"/>
        <v>&lt;Valeur name="tvapct"&gt;20&lt;/Valeur&gt;</v>
      </c>
      <c r="AF178" s="15" t="str">
        <f t="shared" si="80"/>
        <v>&lt;Valeur name="tva"&gt;-908&lt;/Valeur&gt;</v>
      </c>
      <c r="AG178" s="15" t="s">
        <v>873</v>
      </c>
      <c r="AH178" s="15" t="str">
        <f t="shared" si="81"/>
        <v>&lt;Insert&gt;&lt;Valeur name="no"&gt;177&lt;/Valeur&gt;&lt;Valeur name="societe"&gt;1&lt;/Valeur&gt;&lt;Valeur name="pointer"&gt;1&lt;/Valeur&gt;&lt;Valeur name="datevaleur"&gt;2019/06/30&lt;/Valeur&gt;&lt;Valeur name="datecompta"&gt;2019/05/30&lt;/Valeur&gt;&lt;Valeur name="compte"&gt;146&lt;/Valeur&gt;&lt;Valeur name="description"&gt;AF261-1 Tôles des maires x3&lt;/Valeur&gt;&lt;Valeur name="valeur"&gt;5448&lt;/Valeur&gt;&lt;Valeur name="tvapct"&gt;20&lt;/Valeur&gt;&lt;Valeur name="tva"&gt;-908&lt;/Valeur&gt;&lt;/Insert&gt;</v>
      </c>
    </row>
    <row r="179" spans="1:34" hidden="1" x14ac:dyDescent="0.25">
      <c r="A179" s="9">
        <v>43615</v>
      </c>
      <c r="B179" s="1">
        <v>43646</v>
      </c>
      <c r="C179" t="e">
        <f>INDEX(Balance!A:A,MATCH(D179,Balance!B:B,0))</f>
        <v>#N/A</v>
      </c>
      <c r="D179" t="s">
        <v>835</v>
      </c>
      <c r="E179" t="s">
        <v>834</v>
      </c>
      <c r="G179">
        <v>348</v>
      </c>
      <c r="H179" s="3">
        <f t="shared" si="46"/>
        <v>-58</v>
      </c>
      <c r="K179">
        <v>178</v>
      </c>
      <c r="L179">
        <v>1</v>
      </c>
      <c r="M179">
        <v>1</v>
      </c>
      <c r="N179" s="16" t="s">
        <v>883</v>
      </c>
      <c r="O179" s="16" t="s">
        <v>897</v>
      </c>
      <c r="P179">
        <f>IFERROR(VLOOKUP(D179,tab!A:B,2,FALSE),-1000)</f>
        <v>147</v>
      </c>
      <c r="Q179" s="14" t="str">
        <f t="shared" si="42"/>
        <v>AF260-1 Linteaux</v>
      </c>
      <c r="R179">
        <f t="shared" si="43"/>
        <v>348</v>
      </c>
      <c r="S179">
        <v>20</v>
      </c>
      <c r="T179" s="13">
        <f t="shared" si="44"/>
        <v>-58</v>
      </c>
      <c r="V179" t="s">
        <v>872</v>
      </c>
      <c r="W179" t="str">
        <f t="shared" si="71"/>
        <v>&lt;Valeur name="no"&gt;178&lt;/Valeur&gt;</v>
      </c>
      <c r="X179" t="str">
        <f t="shared" si="72"/>
        <v>&lt;Valeur name="societe"&gt;1&lt;/Valeur&gt;</v>
      </c>
      <c r="Y179" t="str">
        <f t="shared" si="73"/>
        <v>&lt;Valeur name="pointer"&gt;1&lt;/Valeur&gt;</v>
      </c>
      <c r="Z179" s="15" t="str">
        <f t="shared" si="74"/>
        <v>&lt;Valeur name="datevaleur"&gt;2019/06/30&lt;/Valeur&gt;</v>
      </c>
      <c r="AA179" s="15" t="str">
        <f t="shared" si="75"/>
        <v>&lt;Valeur name="datecompta"&gt;2019/05/30&lt;/Valeur&gt;</v>
      </c>
      <c r="AB179" s="15" t="str">
        <f t="shared" si="76"/>
        <v>&lt;Valeur name="compte"&gt;147&lt;/Valeur&gt;</v>
      </c>
      <c r="AC179" s="15" t="str">
        <f t="shared" si="77"/>
        <v>&lt;Valeur name="description"&gt;AF260-1 Linteaux&lt;/Valeur&gt;</v>
      </c>
      <c r="AD179" s="15" t="str">
        <f t="shared" si="78"/>
        <v>&lt;Valeur name="valeur"&gt;348&lt;/Valeur&gt;</v>
      </c>
      <c r="AE179" s="15" t="str">
        <f t="shared" si="79"/>
        <v>&lt;Valeur name="tvapct"&gt;20&lt;/Valeur&gt;</v>
      </c>
      <c r="AF179" s="15" t="str">
        <f t="shared" si="80"/>
        <v>&lt;Valeur name="tva"&gt;-58&lt;/Valeur&gt;</v>
      </c>
      <c r="AG179" s="15" t="s">
        <v>873</v>
      </c>
      <c r="AH179" s="15" t="str">
        <f t="shared" si="81"/>
        <v>&lt;Insert&gt;&lt;Valeur name="no"&gt;178&lt;/Valeur&gt;&lt;Valeur name="societe"&gt;1&lt;/Valeur&gt;&lt;Valeur name="pointer"&gt;1&lt;/Valeur&gt;&lt;Valeur name="datevaleur"&gt;2019/06/30&lt;/Valeur&gt;&lt;Valeur name="datecompta"&gt;2019/05/30&lt;/Valeur&gt;&lt;Valeur name="compte"&gt;147&lt;/Valeur&gt;&lt;Valeur name="description"&gt;AF260-1 Linteaux&lt;/Valeur&gt;&lt;Valeur name="valeur"&gt;348&lt;/Valeur&gt;&lt;Valeur name="tvapct"&gt;20&lt;/Valeur&gt;&lt;Valeur name="tva"&gt;-58&lt;/Valeur&gt;&lt;/Insert&gt;</v>
      </c>
    </row>
    <row r="180" spans="1:34" hidden="1" x14ac:dyDescent="0.25">
      <c r="A180" s="9">
        <v>43615</v>
      </c>
      <c r="B180" s="1">
        <v>43646</v>
      </c>
      <c r="C180" t="e">
        <f>INDEX(Balance!A:A,MATCH(D180,Balance!B:B,0))</f>
        <v>#N/A</v>
      </c>
      <c r="D180" t="s">
        <v>841</v>
      </c>
      <c r="E180" t="s">
        <v>842</v>
      </c>
      <c r="F180">
        <v>3528</v>
      </c>
      <c r="H180" s="3">
        <f t="shared" si="46"/>
        <v>588</v>
      </c>
      <c r="K180">
        <v>179</v>
      </c>
      <c r="L180">
        <v>1</v>
      </c>
      <c r="M180">
        <v>1</v>
      </c>
      <c r="N180" s="16" t="s">
        <v>883</v>
      </c>
      <c r="O180" s="16" t="s">
        <v>897</v>
      </c>
      <c r="P180">
        <f>IFERROR(VLOOKUP(D180,tab!A:B,2,FALSE),-1000)</f>
        <v>148</v>
      </c>
      <c r="Q180" s="14" t="str">
        <f t="shared" si="42"/>
        <v>F.218159 MC InoX chopin</v>
      </c>
      <c r="R180">
        <f t="shared" si="43"/>
        <v>-3528</v>
      </c>
      <c r="S180">
        <v>20</v>
      </c>
      <c r="T180" s="13">
        <f t="shared" si="44"/>
        <v>588</v>
      </c>
      <c r="V180" t="s">
        <v>872</v>
      </c>
      <c r="W180" t="str">
        <f t="shared" si="71"/>
        <v>&lt;Valeur name="no"&gt;179&lt;/Valeur&gt;</v>
      </c>
      <c r="X180" t="str">
        <f t="shared" si="72"/>
        <v>&lt;Valeur name="societe"&gt;1&lt;/Valeur&gt;</v>
      </c>
      <c r="Y180" t="str">
        <f t="shared" si="73"/>
        <v>&lt;Valeur name="pointer"&gt;1&lt;/Valeur&gt;</v>
      </c>
      <c r="Z180" s="15" t="str">
        <f t="shared" si="74"/>
        <v>&lt;Valeur name="datevaleur"&gt;2019/06/30&lt;/Valeur&gt;</v>
      </c>
      <c r="AA180" s="15" t="str">
        <f t="shared" si="75"/>
        <v>&lt;Valeur name="datecompta"&gt;2019/05/30&lt;/Valeur&gt;</v>
      </c>
      <c r="AB180" s="15" t="str">
        <f t="shared" si="76"/>
        <v>&lt;Valeur name="compte"&gt;148&lt;/Valeur&gt;</v>
      </c>
      <c r="AC180" s="15" t="str">
        <f t="shared" si="77"/>
        <v>&lt;Valeur name="description"&gt;F.218159 MC InoX chopin&lt;/Valeur&gt;</v>
      </c>
      <c r="AD180" s="15" t="str">
        <f t="shared" si="78"/>
        <v>&lt;Valeur name="valeur"&gt;-3528&lt;/Valeur&gt;</v>
      </c>
      <c r="AE180" s="15" t="str">
        <f t="shared" si="79"/>
        <v>&lt;Valeur name="tvapct"&gt;20&lt;/Valeur&gt;</v>
      </c>
      <c r="AF180" s="15" t="str">
        <f t="shared" si="80"/>
        <v>&lt;Valeur name="tva"&gt;588&lt;/Valeur&gt;</v>
      </c>
      <c r="AG180" s="15" t="s">
        <v>873</v>
      </c>
      <c r="AH180" s="15" t="str">
        <f t="shared" si="81"/>
        <v>&lt;Insert&gt;&lt;Valeur name="no"&gt;179&lt;/Valeur&gt;&lt;Valeur name="societe"&gt;1&lt;/Valeur&gt;&lt;Valeur name="pointer"&gt;1&lt;/Valeur&gt;&lt;Valeur name="datevaleur"&gt;2019/06/30&lt;/Valeur&gt;&lt;Valeur name="datecompta"&gt;2019/05/30&lt;/Valeur&gt;&lt;Valeur name="compte"&gt;148&lt;/Valeur&gt;&lt;Valeur name="description"&gt;F.218159 MC InoX chopin&lt;/Valeur&gt;&lt;Valeur name="valeur"&gt;-3528&lt;/Valeur&gt;&lt;Valeur name="tvapct"&gt;20&lt;/Valeur&gt;&lt;Valeur name="tva"&gt;588&lt;/Valeur&gt;&lt;/Insert&gt;</v>
      </c>
    </row>
    <row r="181" spans="1:34" hidden="1" x14ac:dyDescent="0.25">
      <c r="A181" s="9">
        <v>43615</v>
      </c>
      <c r="B181" s="1">
        <v>43646</v>
      </c>
      <c r="C181" t="e">
        <f>INDEX(Balance!A:A,MATCH(D181,Balance!B:B,0))</f>
        <v>#N/A</v>
      </c>
      <c r="D181" t="s">
        <v>843</v>
      </c>
      <c r="E181" t="s">
        <v>844</v>
      </c>
      <c r="F181">
        <v>300</v>
      </c>
      <c r="H181" s="3">
        <f t="shared" si="46"/>
        <v>50</v>
      </c>
      <c r="K181">
        <v>180</v>
      </c>
      <c r="L181">
        <v>1</v>
      </c>
      <c r="M181">
        <v>1</v>
      </c>
      <c r="N181" s="16" t="s">
        <v>883</v>
      </c>
      <c r="O181" s="16" t="s">
        <v>897</v>
      </c>
      <c r="P181">
        <f>IFERROR(VLOOKUP(D181,tab!A:B,2,FALSE),-1000)</f>
        <v>149</v>
      </c>
      <c r="Q181" s="14" t="str">
        <f t="shared" si="42"/>
        <v>F.FAC190102 Beton MC Chopin / AUTOLIQUIDATION / Cheque</v>
      </c>
      <c r="R181">
        <f t="shared" si="43"/>
        <v>-300</v>
      </c>
      <c r="S181">
        <v>20</v>
      </c>
      <c r="T181" s="13">
        <f t="shared" si="44"/>
        <v>50</v>
      </c>
      <c r="V181" t="s">
        <v>872</v>
      </c>
      <c r="W181" t="str">
        <f t="shared" si="71"/>
        <v>&lt;Valeur name="no"&gt;180&lt;/Valeur&gt;</v>
      </c>
      <c r="X181" t="str">
        <f t="shared" si="72"/>
        <v>&lt;Valeur name="societe"&gt;1&lt;/Valeur&gt;</v>
      </c>
      <c r="Y181" t="str">
        <f t="shared" si="73"/>
        <v>&lt;Valeur name="pointer"&gt;1&lt;/Valeur&gt;</v>
      </c>
      <c r="Z181" s="15" t="str">
        <f t="shared" si="74"/>
        <v>&lt;Valeur name="datevaleur"&gt;2019/06/30&lt;/Valeur&gt;</v>
      </c>
      <c r="AA181" s="15" t="str">
        <f t="shared" si="75"/>
        <v>&lt;Valeur name="datecompta"&gt;2019/05/30&lt;/Valeur&gt;</v>
      </c>
      <c r="AB181" s="15" t="str">
        <f t="shared" si="76"/>
        <v>&lt;Valeur name="compte"&gt;149&lt;/Valeur&gt;</v>
      </c>
      <c r="AC181" s="15" t="str">
        <f t="shared" si="77"/>
        <v>&lt;Valeur name="description"&gt;F.FAC190102 Beton MC Chopin / AUTOLIQUIDATION / Cheque&lt;/Valeur&gt;</v>
      </c>
      <c r="AD181" s="15" t="str">
        <f t="shared" si="78"/>
        <v>&lt;Valeur name="valeur"&gt;-300&lt;/Valeur&gt;</v>
      </c>
      <c r="AE181" s="15" t="str">
        <f t="shared" si="79"/>
        <v>&lt;Valeur name="tvapct"&gt;20&lt;/Valeur&gt;</v>
      </c>
      <c r="AF181" s="15" t="str">
        <f t="shared" si="80"/>
        <v>&lt;Valeur name="tva"&gt;50&lt;/Valeur&gt;</v>
      </c>
      <c r="AG181" s="15" t="s">
        <v>873</v>
      </c>
      <c r="AH181" s="15" t="str">
        <f t="shared" si="81"/>
        <v>&lt;Insert&gt;&lt;Valeur name="no"&gt;180&lt;/Valeur&gt;&lt;Valeur name="societe"&gt;1&lt;/Valeur&gt;&lt;Valeur name="pointer"&gt;1&lt;/Valeur&gt;&lt;Valeur name="datevaleur"&gt;2019/06/30&lt;/Valeur&gt;&lt;Valeur name="datecompta"&gt;2019/05/30&lt;/Valeur&gt;&lt;Valeur name="compte"&gt;149&lt;/Valeur&gt;&lt;Valeur name="description"&gt;F.FAC190102 Beton MC Chopin / AUTOLIQUIDATION / Cheque&lt;/Valeur&gt;&lt;Valeur name="valeur"&gt;-300&lt;/Valeur&gt;&lt;Valeur name="tvapct"&gt;20&lt;/Valeur&gt;&lt;Valeur name="tva"&gt;50&lt;/Valeur&gt;&lt;/Insert&gt;</v>
      </c>
    </row>
    <row r="182" spans="1:34" hidden="1" x14ac:dyDescent="0.25">
      <c r="A182" s="9">
        <v>43646</v>
      </c>
      <c r="B182" s="1">
        <v>43646</v>
      </c>
      <c r="C182" t="e">
        <f>INDEX(Balance!A:A,MATCH(D182,Balance!B:B,0))</f>
        <v>#N/A</v>
      </c>
      <c r="D182" t="s">
        <v>852</v>
      </c>
      <c r="E182" t="s">
        <v>853</v>
      </c>
      <c r="F182">
        <v>63.84</v>
      </c>
      <c r="H182" s="3">
        <f t="shared" si="46"/>
        <v>10.64</v>
      </c>
      <c r="K182">
        <v>181</v>
      </c>
      <c r="L182">
        <v>1</v>
      </c>
      <c r="M182">
        <v>1</v>
      </c>
      <c r="N182" s="16" t="s">
        <v>883</v>
      </c>
      <c r="O182" s="16" t="s">
        <v>883</v>
      </c>
      <c r="P182">
        <f>IFERROR(VLOOKUP(D182,tab!A:B,2,FALSE),-1000)</f>
        <v>150</v>
      </c>
      <c r="Q182" s="14" t="str">
        <f t="shared" si="42"/>
        <v>F.CLFAC001706309 protection escalier CAPH</v>
      </c>
      <c r="R182">
        <f t="shared" si="43"/>
        <v>-63.84</v>
      </c>
      <c r="S182">
        <v>20</v>
      </c>
      <c r="T182" s="13">
        <f t="shared" si="44"/>
        <v>10.64</v>
      </c>
      <c r="V182" t="s">
        <v>872</v>
      </c>
      <c r="W182" t="str">
        <f t="shared" si="71"/>
        <v>&lt;Valeur name="no"&gt;181&lt;/Valeur&gt;</v>
      </c>
      <c r="X182" t="str">
        <f t="shared" si="72"/>
        <v>&lt;Valeur name="societe"&gt;1&lt;/Valeur&gt;</v>
      </c>
      <c r="Y182" t="str">
        <f t="shared" si="73"/>
        <v>&lt;Valeur name="pointer"&gt;1&lt;/Valeur&gt;</v>
      </c>
      <c r="Z182" s="15" t="str">
        <f t="shared" si="74"/>
        <v>&lt;Valeur name="datevaleur"&gt;2019/06/30&lt;/Valeur&gt;</v>
      </c>
      <c r="AA182" s="15" t="str">
        <f t="shared" si="75"/>
        <v>&lt;Valeur name="datecompta"&gt;2019/06/30&lt;/Valeur&gt;</v>
      </c>
      <c r="AB182" s="15" t="str">
        <f t="shared" si="76"/>
        <v>&lt;Valeur name="compte"&gt;150&lt;/Valeur&gt;</v>
      </c>
      <c r="AC182" s="15" t="str">
        <f t="shared" si="77"/>
        <v>&lt;Valeur name="description"&gt;F.CLFAC001706309 protection escalier CAPH&lt;/Valeur&gt;</v>
      </c>
      <c r="AD182" s="15" t="str">
        <f t="shared" si="78"/>
        <v>&lt;Valeur name="valeur"&gt;-63.84&lt;/Valeur&gt;</v>
      </c>
      <c r="AE182" s="15" t="str">
        <f t="shared" si="79"/>
        <v>&lt;Valeur name="tvapct"&gt;20&lt;/Valeur&gt;</v>
      </c>
      <c r="AF182" s="15" t="str">
        <f t="shared" si="80"/>
        <v>&lt;Valeur name="tva"&gt;10.64&lt;/Valeur&gt;</v>
      </c>
      <c r="AG182" s="15" t="s">
        <v>873</v>
      </c>
      <c r="AH182" s="15" t="str">
        <f t="shared" si="81"/>
        <v>&lt;Insert&gt;&lt;Valeur name="no"&gt;181&lt;/Valeur&gt;&lt;Valeur name="societe"&gt;1&lt;/Valeur&gt;&lt;Valeur name="pointer"&gt;1&lt;/Valeur&gt;&lt;Valeur name="datevaleur"&gt;2019/06/30&lt;/Valeur&gt;&lt;Valeur name="datecompta"&gt;2019/06/30&lt;/Valeur&gt;&lt;Valeur name="compte"&gt;150&lt;/Valeur&gt;&lt;Valeur name="description"&gt;F.CLFAC001706309 protection escalier CAPH&lt;/Valeur&gt;&lt;Valeur name="valeur"&gt;-63.84&lt;/Valeur&gt;&lt;Valeur name="tvapct"&gt;20&lt;/Valeur&gt;&lt;Valeur name="tva"&gt;10.64&lt;/Valeur&gt;&lt;/Insert&gt;</v>
      </c>
    </row>
    <row r="183" spans="1:34" hidden="1" x14ac:dyDescent="0.25">
      <c r="A183" s="9">
        <v>43615</v>
      </c>
      <c r="B183" s="1">
        <v>43646</v>
      </c>
      <c r="C183" t="e">
        <f>INDEX(Balance!A:A,MATCH(D183,Balance!B:B,0))</f>
        <v>#N/A</v>
      </c>
      <c r="D183" t="s">
        <v>855</v>
      </c>
      <c r="E183" t="s">
        <v>856</v>
      </c>
      <c r="F183">
        <v>10</v>
      </c>
      <c r="H183" s="3">
        <f t="shared" si="46"/>
        <v>1.6666666666666661</v>
      </c>
      <c r="K183">
        <v>182</v>
      </c>
      <c r="L183">
        <v>1</v>
      </c>
      <c r="M183">
        <v>1</v>
      </c>
      <c r="N183" s="16" t="s">
        <v>883</v>
      </c>
      <c r="O183" s="16" t="s">
        <v>897</v>
      </c>
      <c r="P183">
        <f>IFERROR(VLOOKUP(D183,tab!A:B,2,FALSE),-1000)</f>
        <v>151</v>
      </c>
      <c r="Q183" s="14" t="str">
        <f t="shared" si="42"/>
        <v>F.001801 Adhésif Pont lumiere salle Harmonie</v>
      </c>
      <c r="R183">
        <f t="shared" si="43"/>
        <v>-10</v>
      </c>
      <c r="S183">
        <v>20</v>
      </c>
      <c r="T183" s="13">
        <f t="shared" si="44"/>
        <v>1.6666666666666661</v>
      </c>
      <c r="V183" t="s">
        <v>872</v>
      </c>
      <c r="W183" t="str">
        <f t="shared" ref="W183:AF183" si="82">"&lt;Valeur "&amp;K$1&amp;"&gt;"&amp;K183&amp;"&lt;/Valeur&gt;"</f>
        <v>&lt;Valeur name="no"&gt;182&lt;/Valeur&gt;</v>
      </c>
      <c r="X183" t="str">
        <f t="shared" si="82"/>
        <v>&lt;Valeur name="societe"&gt;1&lt;/Valeur&gt;</v>
      </c>
      <c r="Y183" t="str">
        <f t="shared" si="82"/>
        <v>&lt;Valeur name="pointer"&gt;1&lt;/Valeur&gt;</v>
      </c>
      <c r="Z183" s="15" t="str">
        <f t="shared" si="82"/>
        <v>&lt;Valeur name="datevaleur"&gt;2019/06/30&lt;/Valeur&gt;</v>
      </c>
      <c r="AA183" s="15" t="str">
        <f t="shared" si="82"/>
        <v>&lt;Valeur name="datecompta"&gt;2019/05/30&lt;/Valeur&gt;</v>
      </c>
      <c r="AB183" s="15" t="str">
        <f t="shared" si="82"/>
        <v>&lt;Valeur name="compte"&gt;151&lt;/Valeur&gt;</v>
      </c>
      <c r="AC183" s="15" t="str">
        <f t="shared" si="82"/>
        <v>&lt;Valeur name="description"&gt;F.001801 Adhésif Pont lumiere salle Harmonie&lt;/Valeur&gt;</v>
      </c>
      <c r="AD183" s="15" t="str">
        <f t="shared" si="82"/>
        <v>&lt;Valeur name="valeur"&gt;-10&lt;/Valeur&gt;</v>
      </c>
      <c r="AE183" s="15" t="str">
        <f t="shared" si="82"/>
        <v>&lt;Valeur name="tvapct"&gt;20&lt;/Valeur&gt;</v>
      </c>
      <c r="AF183" s="15" t="str">
        <f t="shared" si="82"/>
        <v>&lt;Valeur name="tva"&gt;1.66666666666667&lt;/Valeur&gt;</v>
      </c>
      <c r="AG183" s="15" t="s">
        <v>873</v>
      </c>
      <c r="AH183" s="15" t="str">
        <f>CONCATENATE(V183,W183,X183,Y183,Z183,AA183,AB183,AC183,AD183,AE183,AF183,AG183)</f>
        <v>&lt;Insert&gt;&lt;Valeur name="no"&gt;182&lt;/Valeur&gt;&lt;Valeur name="societe"&gt;1&lt;/Valeur&gt;&lt;Valeur name="pointer"&gt;1&lt;/Valeur&gt;&lt;Valeur name="datevaleur"&gt;2019/06/30&lt;/Valeur&gt;&lt;Valeur name="datecompta"&gt;2019/05/30&lt;/Valeur&gt;&lt;Valeur name="compte"&gt;151&lt;/Valeur&gt;&lt;Valeur name="description"&gt;F.001801 Adhésif Pont lumiere salle Harmonie&lt;/Valeur&gt;&lt;Valeur name="valeur"&gt;-10&lt;/Valeur&gt;&lt;Valeur name="tvapct"&gt;20&lt;/Valeur&gt;&lt;Valeur name="tva"&gt;1.66666666666667&lt;/Valeur&gt;&lt;/Insert&gt;</v>
      </c>
    </row>
    <row r="184" spans="1:34" x14ac:dyDescent="0.25">
      <c r="Q184" s="14"/>
      <c r="T184" s="13"/>
      <c r="Z184" s="15"/>
      <c r="AA184" s="15"/>
      <c r="AB184" s="15"/>
      <c r="AC184" s="15"/>
      <c r="AD184" s="15"/>
      <c r="AE184" s="15"/>
      <c r="AF184" s="15"/>
      <c r="AG184" s="15"/>
      <c r="AH184" s="15"/>
    </row>
  </sheetData>
  <autoFilter ref="A1:G183" xr:uid="{00000000-0009-0000-0000-000002000000}">
    <filterColumn colId="1">
      <filters>
        <dateGroupItem year="2019" month="1" dateTimeGrouping="month"/>
      </filters>
    </filterColumn>
    <sortState xmlns:xlrd2="http://schemas.microsoft.com/office/spreadsheetml/2017/richdata2" ref="A2:G183">
      <sortCondition ref="C1:C166"/>
    </sortState>
  </autoFilter>
  <dataValidations count="1">
    <dataValidation allowBlank="1" sqref="D10 D2:D4" xr:uid="{00000000-0002-0000-0200-000000000000}"/>
  </dataValidations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62BF8-B41D-4970-AA06-7D84F62B254D}">
  <dimension ref="A1:B149"/>
  <sheetViews>
    <sheetView topLeftCell="A127" workbookViewId="0">
      <selection activeCell="C145" sqref="C145"/>
    </sheetView>
  </sheetViews>
  <sheetFormatPr baseColWidth="10" defaultRowHeight="15" x14ac:dyDescent="0.25"/>
  <cols>
    <col min="1" max="1" width="29" bestFit="1" customWidth="1"/>
  </cols>
  <sheetData>
    <row r="1" spans="1:2" x14ac:dyDescent="0.25">
      <c r="A1" t="s">
        <v>427</v>
      </c>
      <c r="B1">
        <v>2</v>
      </c>
    </row>
    <row r="2" spans="1:2" x14ac:dyDescent="0.25">
      <c r="A2" t="s">
        <v>534</v>
      </c>
      <c r="B2">
        <v>3</v>
      </c>
    </row>
    <row r="3" spans="1:2" x14ac:dyDescent="0.25">
      <c r="A3" t="s">
        <v>379</v>
      </c>
      <c r="B3">
        <v>4</v>
      </c>
    </row>
    <row r="4" spans="1:2" x14ac:dyDescent="0.25">
      <c r="A4" t="s">
        <v>366</v>
      </c>
      <c r="B4">
        <v>5</v>
      </c>
    </row>
    <row r="5" spans="1:2" x14ac:dyDescent="0.25">
      <c r="A5" t="s">
        <v>378</v>
      </c>
      <c r="B5">
        <v>6</v>
      </c>
    </row>
    <row r="6" spans="1:2" x14ac:dyDescent="0.25">
      <c r="A6" t="s">
        <v>430</v>
      </c>
      <c r="B6">
        <v>7</v>
      </c>
    </row>
    <row r="7" spans="1:2" x14ac:dyDescent="0.25">
      <c r="A7" t="s">
        <v>431</v>
      </c>
      <c r="B7">
        <v>8</v>
      </c>
    </row>
    <row r="8" spans="1:2" x14ac:dyDescent="0.25">
      <c r="A8" t="s">
        <v>370</v>
      </c>
      <c r="B8">
        <v>9</v>
      </c>
    </row>
    <row r="9" spans="1:2" x14ac:dyDescent="0.25">
      <c r="A9" t="s">
        <v>429</v>
      </c>
      <c r="B9">
        <v>10</v>
      </c>
    </row>
    <row r="10" spans="1:2" x14ac:dyDescent="0.25">
      <c r="A10" t="s">
        <v>278</v>
      </c>
      <c r="B10">
        <v>11</v>
      </c>
    </row>
    <row r="11" spans="1:2" x14ac:dyDescent="0.25">
      <c r="A11" t="s">
        <v>267</v>
      </c>
      <c r="B11">
        <v>12</v>
      </c>
    </row>
    <row r="12" spans="1:2" x14ac:dyDescent="0.25">
      <c r="A12" t="s">
        <v>253</v>
      </c>
      <c r="B12">
        <v>13</v>
      </c>
    </row>
    <row r="13" spans="1:2" x14ac:dyDescent="0.25">
      <c r="A13" t="s">
        <v>269</v>
      </c>
      <c r="B13">
        <v>14</v>
      </c>
    </row>
    <row r="14" spans="1:2" x14ac:dyDescent="0.25">
      <c r="A14" t="s">
        <v>271</v>
      </c>
      <c r="B14">
        <v>15</v>
      </c>
    </row>
    <row r="15" spans="1:2" x14ac:dyDescent="0.25">
      <c r="A15" t="s">
        <v>266</v>
      </c>
      <c r="B15">
        <v>16</v>
      </c>
    </row>
    <row r="16" spans="1:2" x14ac:dyDescent="0.25">
      <c r="A16" t="s">
        <v>315</v>
      </c>
      <c r="B16">
        <v>17</v>
      </c>
    </row>
    <row r="17" spans="1:2" x14ac:dyDescent="0.25">
      <c r="A17" t="s">
        <v>257</v>
      </c>
      <c r="B17">
        <v>18</v>
      </c>
    </row>
    <row r="18" spans="1:2" x14ac:dyDescent="0.25">
      <c r="A18" t="s">
        <v>258</v>
      </c>
      <c r="B18">
        <v>19</v>
      </c>
    </row>
    <row r="19" spans="1:2" x14ac:dyDescent="0.25">
      <c r="A19" t="s">
        <v>255</v>
      </c>
      <c r="B19">
        <v>20</v>
      </c>
    </row>
    <row r="20" spans="1:2" x14ac:dyDescent="0.25">
      <c r="A20" t="s">
        <v>372</v>
      </c>
      <c r="B20">
        <v>21</v>
      </c>
    </row>
    <row r="21" spans="1:2" x14ac:dyDescent="0.25">
      <c r="A21" t="s">
        <v>381</v>
      </c>
      <c r="B21">
        <v>22</v>
      </c>
    </row>
    <row r="22" spans="1:2" x14ac:dyDescent="0.25">
      <c r="A22" t="s">
        <v>382</v>
      </c>
      <c r="B22">
        <v>23</v>
      </c>
    </row>
    <row r="23" spans="1:2" x14ac:dyDescent="0.25">
      <c r="A23" t="s">
        <v>263</v>
      </c>
      <c r="B23">
        <v>24</v>
      </c>
    </row>
    <row r="24" spans="1:2" x14ac:dyDescent="0.25">
      <c r="A24" t="s">
        <v>316</v>
      </c>
      <c r="B24">
        <v>25</v>
      </c>
    </row>
    <row r="25" spans="1:2" x14ac:dyDescent="0.25">
      <c r="A25" t="s">
        <v>264</v>
      </c>
      <c r="B25">
        <v>26</v>
      </c>
    </row>
    <row r="26" spans="1:2" x14ac:dyDescent="0.25">
      <c r="A26" t="s">
        <v>254</v>
      </c>
      <c r="B26">
        <v>27</v>
      </c>
    </row>
    <row r="27" spans="1:2" x14ac:dyDescent="0.25">
      <c r="A27" t="s">
        <v>256</v>
      </c>
      <c r="B27">
        <v>28</v>
      </c>
    </row>
    <row r="28" spans="1:2" x14ac:dyDescent="0.25">
      <c r="A28" t="s">
        <v>272</v>
      </c>
      <c r="B28">
        <v>29</v>
      </c>
    </row>
    <row r="29" spans="1:2" x14ac:dyDescent="0.25">
      <c r="A29" t="s">
        <v>335</v>
      </c>
      <c r="B29">
        <v>30</v>
      </c>
    </row>
    <row r="30" spans="1:2" x14ac:dyDescent="0.25">
      <c r="A30" t="s">
        <v>346</v>
      </c>
      <c r="B30">
        <v>31</v>
      </c>
    </row>
    <row r="31" spans="1:2" x14ac:dyDescent="0.25">
      <c r="A31" t="s">
        <v>273</v>
      </c>
      <c r="B31">
        <v>32</v>
      </c>
    </row>
    <row r="32" spans="1:2" x14ac:dyDescent="0.25">
      <c r="A32" t="s">
        <v>286</v>
      </c>
      <c r="B32">
        <v>33</v>
      </c>
    </row>
    <row r="33" spans="1:2" x14ac:dyDescent="0.25">
      <c r="A33" t="s">
        <v>292</v>
      </c>
      <c r="B33">
        <v>34</v>
      </c>
    </row>
    <row r="34" spans="1:2" x14ac:dyDescent="0.25">
      <c r="A34" t="s">
        <v>330</v>
      </c>
      <c r="B34">
        <v>35</v>
      </c>
    </row>
    <row r="35" spans="1:2" x14ac:dyDescent="0.25">
      <c r="A35" t="s">
        <v>336</v>
      </c>
      <c r="B35">
        <v>36</v>
      </c>
    </row>
    <row r="36" spans="1:2" x14ac:dyDescent="0.25">
      <c r="A36" t="s">
        <v>361</v>
      </c>
      <c r="B36">
        <v>37</v>
      </c>
    </row>
    <row r="37" spans="1:2" x14ac:dyDescent="0.25">
      <c r="A37" t="s">
        <v>260</v>
      </c>
      <c r="B37">
        <v>38</v>
      </c>
    </row>
    <row r="38" spans="1:2" x14ac:dyDescent="0.25">
      <c r="A38" t="s">
        <v>323</v>
      </c>
      <c r="B38">
        <v>39</v>
      </c>
    </row>
    <row r="39" spans="1:2" x14ac:dyDescent="0.25">
      <c r="A39" t="s">
        <v>342</v>
      </c>
      <c r="B39">
        <v>40</v>
      </c>
    </row>
    <row r="40" spans="1:2" x14ac:dyDescent="0.25">
      <c r="A40" t="s">
        <v>437</v>
      </c>
      <c r="B40">
        <v>41</v>
      </c>
    </row>
    <row r="41" spans="1:2" x14ac:dyDescent="0.25">
      <c r="A41" t="s">
        <v>340</v>
      </c>
      <c r="B41">
        <v>42</v>
      </c>
    </row>
    <row r="42" spans="1:2" x14ac:dyDescent="0.25">
      <c r="A42" t="s">
        <v>280</v>
      </c>
      <c r="B42">
        <v>43</v>
      </c>
    </row>
    <row r="43" spans="1:2" x14ac:dyDescent="0.25">
      <c r="A43" t="s">
        <v>290</v>
      </c>
      <c r="B43">
        <v>44</v>
      </c>
    </row>
    <row r="44" spans="1:2" x14ac:dyDescent="0.25">
      <c r="A44" t="s">
        <v>353</v>
      </c>
      <c r="B44">
        <v>45</v>
      </c>
    </row>
    <row r="45" spans="1:2" x14ac:dyDescent="0.25">
      <c r="A45" t="s">
        <v>428</v>
      </c>
      <c r="B45">
        <v>46</v>
      </c>
    </row>
    <row r="46" spans="1:2" x14ac:dyDescent="0.25">
      <c r="A46" t="s">
        <v>356</v>
      </c>
      <c r="B46">
        <v>47</v>
      </c>
    </row>
    <row r="47" spans="1:2" x14ac:dyDescent="0.25">
      <c r="A47" t="s">
        <v>297</v>
      </c>
      <c r="B47">
        <v>48</v>
      </c>
    </row>
    <row r="48" spans="1:2" x14ac:dyDescent="0.25">
      <c r="A48" t="s">
        <v>350</v>
      </c>
      <c r="B48">
        <v>49</v>
      </c>
    </row>
    <row r="49" spans="1:2" x14ac:dyDescent="0.25">
      <c r="A49" t="s">
        <v>357</v>
      </c>
      <c r="B49">
        <v>50</v>
      </c>
    </row>
    <row r="50" spans="1:2" x14ac:dyDescent="0.25">
      <c r="A50" t="s">
        <v>299</v>
      </c>
      <c r="B50">
        <v>51</v>
      </c>
    </row>
    <row r="51" spans="1:2" x14ac:dyDescent="0.25">
      <c r="A51" t="s">
        <v>375</v>
      </c>
      <c r="B51">
        <v>52</v>
      </c>
    </row>
    <row r="52" spans="1:2" x14ac:dyDescent="0.25">
      <c r="A52" t="s">
        <v>261</v>
      </c>
      <c r="B52">
        <v>53</v>
      </c>
    </row>
    <row r="53" spans="1:2" x14ac:dyDescent="0.25">
      <c r="A53" t="s">
        <v>279</v>
      </c>
      <c r="B53">
        <v>54</v>
      </c>
    </row>
    <row r="54" spans="1:2" x14ac:dyDescent="0.25">
      <c r="A54" t="s">
        <v>341</v>
      </c>
      <c r="B54">
        <v>55</v>
      </c>
    </row>
    <row r="55" spans="1:2" x14ac:dyDescent="0.25">
      <c r="A55" t="s">
        <v>365</v>
      </c>
      <c r="B55">
        <v>56</v>
      </c>
    </row>
    <row r="56" spans="1:2" x14ac:dyDescent="0.25">
      <c r="A56" t="s">
        <v>289</v>
      </c>
      <c r="B56">
        <v>57</v>
      </c>
    </row>
    <row r="57" spans="1:2" x14ac:dyDescent="0.25">
      <c r="A57" t="s">
        <v>345</v>
      </c>
      <c r="B57">
        <v>58</v>
      </c>
    </row>
    <row r="58" spans="1:2" x14ac:dyDescent="0.25">
      <c r="A58" t="s">
        <v>349</v>
      </c>
      <c r="B58">
        <v>59</v>
      </c>
    </row>
    <row r="59" spans="1:2" x14ac:dyDescent="0.25">
      <c r="A59" t="s">
        <v>344</v>
      </c>
      <c r="B59">
        <v>60</v>
      </c>
    </row>
    <row r="60" spans="1:2" x14ac:dyDescent="0.25">
      <c r="A60" t="s">
        <v>359</v>
      </c>
      <c r="B60">
        <v>61</v>
      </c>
    </row>
    <row r="61" spans="1:2" x14ac:dyDescent="0.25">
      <c r="A61" t="s">
        <v>277</v>
      </c>
      <c r="B61">
        <v>62</v>
      </c>
    </row>
    <row r="62" spans="1:2" x14ac:dyDescent="0.25">
      <c r="A62" t="s">
        <v>274</v>
      </c>
      <c r="B62">
        <v>63</v>
      </c>
    </row>
    <row r="63" spans="1:2" x14ac:dyDescent="0.25">
      <c r="A63" t="s">
        <v>362</v>
      </c>
      <c r="B63">
        <v>64</v>
      </c>
    </row>
    <row r="64" spans="1:2" x14ac:dyDescent="0.25">
      <c r="A64" t="s">
        <v>262</v>
      </c>
      <c r="B64">
        <v>65</v>
      </c>
    </row>
    <row r="65" spans="1:2" x14ac:dyDescent="0.25">
      <c r="A65" t="s">
        <v>358</v>
      </c>
      <c r="B65">
        <v>66</v>
      </c>
    </row>
    <row r="66" spans="1:2" x14ac:dyDescent="0.25">
      <c r="A66" t="s">
        <v>327</v>
      </c>
      <c r="B66">
        <v>67</v>
      </c>
    </row>
    <row r="67" spans="1:2" x14ac:dyDescent="0.25">
      <c r="A67" t="s">
        <v>326</v>
      </c>
      <c r="B67">
        <v>68</v>
      </c>
    </row>
    <row r="68" spans="1:2" x14ac:dyDescent="0.25">
      <c r="A68" t="s">
        <v>376</v>
      </c>
      <c r="B68">
        <v>69</v>
      </c>
    </row>
    <row r="69" spans="1:2" x14ac:dyDescent="0.25">
      <c r="A69" t="s">
        <v>265</v>
      </c>
      <c r="B69">
        <v>70</v>
      </c>
    </row>
    <row r="70" spans="1:2" x14ac:dyDescent="0.25">
      <c r="A70" t="s">
        <v>291</v>
      </c>
      <c r="B70">
        <v>71</v>
      </c>
    </row>
    <row r="71" spans="1:2" x14ac:dyDescent="0.25">
      <c r="A71" t="s">
        <v>259</v>
      </c>
      <c r="B71">
        <v>72</v>
      </c>
    </row>
    <row r="72" spans="1:2" x14ac:dyDescent="0.25">
      <c r="A72" t="s">
        <v>360</v>
      </c>
      <c r="B72">
        <v>73</v>
      </c>
    </row>
    <row r="73" spans="1:2" x14ac:dyDescent="0.25">
      <c r="A73" t="s">
        <v>318</v>
      </c>
      <c r="B73">
        <v>74</v>
      </c>
    </row>
    <row r="74" spans="1:2" x14ac:dyDescent="0.25">
      <c r="A74" t="s">
        <v>325</v>
      </c>
      <c r="B74">
        <v>75</v>
      </c>
    </row>
    <row r="75" spans="1:2" x14ac:dyDescent="0.25">
      <c r="A75" t="s">
        <v>384</v>
      </c>
      <c r="B75">
        <v>76</v>
      </c>
    </row>
    <row r="76" spans="1:2" x14ac:dyDescent="0.25">
      <c r="A76" t="s">
        <v>281</v>
      </c>
      <c r="B76">
        <v>77</v>
      </c>
    </row>
    <row r="77" spans="1:2" x14ac:dyDescent="0.25">
      <c r="A77" t="s">
        <v>296</v>
      </c>
      <c r="B77">
        <v>78</v>
      </c>
    </row>
    <row r="78" spans="1:2" x14ac:dyDescent="0.25">
      <c r="A78" t="s">
        <v>364</v>
      </c>
      <c r="B78">
        <v>79</v>
      </c>
    </row>
    <row r="79" spans="1:2" x14ac:dyDescent="0.25">
      <c r="A79" t="s">
        <v>324</v>
      </c>
      <c r="B79">
        <v>80</v>
      </c>
    </row>
    <row r="80" spans="1:2" x14ac:dyDescent="0.25">
      <c r="A80" t="s">
        <v>298</v>
      </c>
      <c r="B80">
        <v>81</v>
      </c>
    </row>
    <row r="81" spans="1:2" x14ac:dyDescent="0.25">
      <c r="A81" t="s">
        <v>282</v>
      </c>
      <c r="B81">
        <v>82</v>
      </c>
    </row>
    <row r="82" spans="1:2" x14ac:dyDescent="0.25">
      <c r="A82" t="s">
        <v>294</v>
      </c>
      <c r="B82">
        <v>83</v>
      </c>
    </row>
    <row r="83" spans="1:2" x14ac:dyDescent="0.25">
      <c r="A83" t="s">
        <v>322</v>
      </c>
      <c r="B83">
        <v>84</v>
      </c>
    </row>
    <row r="84" spans="1:2" x14ac:dyDescent="0.25">
      <c r="A84" t="s">
        <v>329</v>
      </c>
      <c r="B84">
        <v>85</v>
      </c>
    </row>
    <row r="85" spans="1:2" x14ac:dyDescent="0.25">
      <c r="A85" t="s">
        <v>351</v>
      </c>
      <c r="B85">
        <v>86</v>
      </c>
    </row>
    <row r="86" spans="1:2" x14ac:dyDescent="0.25">
      <c r="A86" t="s">
        <v>348</v>
      </c>
      <c r="B86">
        <v>87</v>
      </c>
    </row>
    <row r="87" spans="1:2" x14ac:dyDescent="0.25">
      <c r="A87" t="s">
        <v>343</v>
      </c>
      <c r="B87">
        <v>88</v>
      </c>
    </row>
    <row r="88" spans="1:2" x14ac:dyDescent="0.25">
      <c r="A88" t="s">
        <v>434</v>
      </c>
      <c r="B88">
        <v>89</v>
      </c>
    </row>
    <row r="89" spans="1:2" x14ac:dyDescent="0.25">
      <c r="A89" t="s">
        <v>320</v>
      </c>
      <c r="B89">
        <v>90</v>
      </c>
    </row>
    <row r="90" spans="1:2" x14ac:dyDescent="0.25">
      <c r="A90" t="s">
        <v>303</v>
      </c>
      <c r="B90">
        <v>91</v>
      </c>
    </row>
    <row r="91" spans="1:2" x14ac:dyDescent="0.25">
      <c r="A91" t="s">
        <v>275</v>
      </c>
      <c r="B91">
        <v>92</v>
      </c>
    </row>
    <row r="92" spans="1:2" x14ac:dyDescent="0.25">
      <c r="A92" t="s">
        <v>337</v>
      </c>
      <c r="B92">
        <v>93</v>
      </c>
    </row>
    <row r="93" spans="1:2" x14ac:dyDescent="0.25">
      <c r="A93" t="s">
        <v>332</v>
      </c>
      <c r="B93">
        <v>94</v>
      </c>
    </row>
    <row r="94" spans="1:2" x14ac:dyDescent="0.25">
      <c r="A94" t="s">
        <v>338</v>
      </c>
      <c r="B94">
        <v>95</v>
      </c>
    </row>
    <row r="95" spans="1:2" x14ac:dyDescent="0.25">
      <c r="A95" t="s">
        <v>333</v>
      </c>
      <c r="B95">
        <v>96</v>
      </c>
    </row>
    <row r="96" spans="1:2" x14ac:dyDescent="0.25">
      <c r="A96" t="s">
        <v>317</v>
      </c>
      <c r="B96">
        <v>97</v>
      </c>
    </row>
    <row r="97" spans="1:2" x14ac:dyDescent="0.25">
      <c r="A97" t="s">
        <v>674</v>
      </c>
      <c r="B97">
        <v>98</v>
      </c>
    </row>
    <row r="98" spans="1:2" x14ac:dyDescent="0.25">
      <c r="A98" t="s">
        <v>347</v>
      </c>
      <c r="B98">
        <v>99</v>
      </c>
    </row>
    <row r="99" spans="1:2" x14ac:dyDescent="0.25">
      <c r="A99" t="s">
        <v>377</v>
      </c>
      <c r="B99">
        <v>100</v>
      </c>
    </row>
    <row r="100" spans="1:2" x14ac:dyDescent="0.25">
      <c r="A100" t="s">
        <v>355</v>
      </c>
      <c r="B100">
        <v>101</v>
      </c>
    </row>
    <row r="101" spans="1:2" x14ac:dyDescent="0.25">
      <c r="A101" t="s">
        <v>334</v>
      </c>
      <c r="B101">
        <v>102</v>
      </c>
    </row>
    <row r="102" spans="1:2" x14ac:dyDescent="0.25">
      <c r="A102" t="s">
        <v>680</v>
      </c>
      <c r="B102">
        <v>103</v>
      </c>
    </row>
    <row r="103" spans="1:2" x14ac:dyDescent="0.25">
      <c r="A103" t="s">
        <v>319</v>
      </c>
      <c r="B103">
        <v>104</v>
      </c>
    </row>
    <row r="104" spans="1:2" x14ac:dyDescent="0.25">
      <c r="A104" t="s">
        <v>363</v>
      </c>
      <c r="B104">
        <v>105</v>
      </c>
    </row>
    <row r="105" spans="1:2" x14ac:dyDescent="0.25">
      <c r="A105" t="s">
        <v>268</v>
      </c>
      <c r="B105">
        <v>106</v>
      </c>
    </row>
    <row r="106" spans="1:2" x14ac:dyDescent="0.25">
      <c r="A106" t="s">
        <v>300</v>
      </c>
      <c r="B106">
        <v>107</v>
      </c>
    </row>
    <row r="107" spans="1:2" x14ac:dyDescent="0.25">
      <c r="A107" t="s">
        <v>383</v>
      </c>
      <c r="B107">
        <v>108</v>
      </c>
    </row>
    <row r="108" spans="1:2" x14ac:dyDescent="0.25">
      <c r="A108" t="s">
        <v>424</v>
      </c>
      <c r="B108">
        <v>109</v>
      </c>
    </row>
    <row r="109" spans="1:2" x14ac:dyDescent="0.25">
      <c r="A109" t="s">
        <v>270</v>
      </c>
      <c r="B109">
        <v>110</v>
      </c>
    </row>
    <row r="110" spans="1:2" x14ac:dyDescent="0.25">
      <c r="A110" t="s">
        <v>328</v>
      </c>
      <c r="B110">
        <v>111</v>
      </c>
    </row>
    <row r="111" spans="1:2" x14ac:dyDescent="0.25">
      <c r="A111" t="s">
        <v>339</v>
      </c>
      <c r="B111">
        <v>112</v>
      </c>
    </row>
    <row r="112" spans="1:2" x14ac:dyDescent="0.25">
      <c r="A112" t="s">
        <v>321</v>
      </c>
      <c r="B112">
        <v>113</v>
      </c>
    </row>
    <row r="113" spans="1:2" x14ac:dyDescent="0.25">
      <c r="A113" t="s">
        <v>276</v>
      </c>
      <c r="B113">
        <v>114</v>
      </c>
    </row>
    <row r="114" spans="1:2" x14ac:dyDescent="0.25">
      <c r="A114" t="s">
        <v>331</v>
      </c>
      <c r="B114">
        <v>115</v>
      </c>
    </row>
    <row r="115" spans="1:2" x14ac:dyDescent="0.25">
      <c r="A115" t="s">
        <v>284</v>
      </c>
      <c r="B115">
        <v>116</v>
      </c>
    </row>
    <row r="116" spans="1:2" x14ac:dyDescent="0.25">
      <c r="A116" t="s">
        <v>295</v>
      </c>
      <c r="B116">
        <v>117</v>
      </c>
    </row>
    <row r="117" spans="1:2" x14ac:dyDescent="0.25">
      <c r="A117" t="s">
        <v>293</v>
      </c>
      <c r="B117">
        <v>118</v>
      </c>
    </row>
    <row r="118" spans="1:2" x14ac:dyDescent="0.25">
      <c r="A118" t="s">
        <v>352</v>
      </c>
      <c r="B118">
        <v>119</v>
      </c>
    </row>
    <row r="119" spans="1:2" x14ac:dyDescent="0.25">
      <c r="A119" t="s">
        <v>288</v>
      </c>
      <c r="B119">
        <v>120</v>
      </c>
    </row>
    <row r="120" spans="1:2" x14ac:dyDescent="0.25">
      <c r="A120" t="s">
        <v>354</v>
      </c>
      <c r="B120">
        <v>121</v>
      </c>
    </row>
    <row r="121" spans="1:2" x14ac:dyDescent="0.25">
      <c r="A121" t="s">
        <v>285</v>
      </c>
      <c r="B121">
        <v>122</v>
      </c>
    </row>
    <row r="122" spans="1:2" x14ac:dyDescent="0.25">
      <c r="A122" t="s">
        <v>301</v>
      </c>
      <c r="B122">
        <v>123</v>
      </c>
    </row>
    <row r="123" spans="1:2" x14ac:dyDescent="0.25">
      <c r="A123" t="s">
        <v>283</v>
      </c>
      <c r="B123">
        <v>124</v>
      </c>
    </row>
    <row r="124" spans="1:2" x14ac:dyDescent="0.25">
      <c r="A124" t="s">
        <v>302</v>
      </c>
      <c r="B124">
        <v>125</v>
      </c>
    </row>
    <row r="125" spans="1:2" x14ac:dyDescent="0.25">
      <c r="A125" t="s">
        <v>540</v>
      </c>
      <c r="B125">
        <v>126</v>
      </c>
    </row>
    <row r="126" spans="1:2" x14ac:dyDescent="0.25">
      <c r="A126" t="s">
        <v>314</v>
      </c>
      <c r="B126">
        <v>127</v>
      </c>
    </row>
    <row r="127" spans="1:2" x14ac:dyDescent="0.25">
      <c r="A127" t="s">
        <v>311</v>
      </c>
      <c r="B127">
        <v>128</v>
      </c>
    </row>
    <row r="128" spans="1:2" x14ac:dyDescent="0.25">
      <c r="A128" t="s">
        <v>312</v>
      </c>
      <c r="B128">
        <v>129</v>
      </c>
    </row>
    <row r="129" spans="1:2" x14ac:dyDescent="0.25">
      <c r="A129" t="s">
        <v>309</v>
      </c>
      <c r="B129">
        <v>130</v>
      </c>
    </row>
    <row r="130" spans="1:2" x14ac:dyDescent="0.25">
      <c r="A130" t="s">
        <v>310</v>
      </c>
      <c r="B130">
        <v>131</v>
      </c>
    </row>
    <row r="131" spans="1:2" x14ac:dyDescent="0.25">
      <c r="A131" t="s">
        <v>287</v>
      </c>
      <c r="B131">
        <v>132</v>
      </c>
    </row>
    <row r="132" spans="1:2" x14ac:dyDescent="0.25">
      <c r="A132" t="s">
        <v>313</v>
      </c>
      <c r="B132">
        <v>133</v>
      </c>
    </row>
    <row r="133" spans="1:2" x14ac:dyDescent="0.25">
      <c r="A133" t="s">
        <v>689</v>
      </c>
      <c r="B133">
        <v>134</v>
      </c>
    </row>
    <row r="134" spans="1:2" x14ac:dyDescent="0.25">
      <c r="A134" t="s">
        <v>692</v>
      </c>
      <c r="B134">
        <v>135</v>
      </c>
    </row>
    <row r="135" spans="1:2" x14ac:dyDescent="0.25">
      <c r="A135" t="s">
        <v>702</v>
      </c>
      <c r="B135">
        <v>136</v>
      </c>
    </row>
    <row r="136" spans="1:2" x14ac:dyDescent="0.25">
      <c r="A136" t="s">
        <v>704</v>
      </c>
      <c r="B136">
        <v>137</v>
      </c>
    </row>
    <row r="137" spans="1:2" x14ac:dyDescent="0.25">
      <c r="A137" t="s">
        <v>706</v>
      </c>
      <c r="B137">
        <v>138</v>
      </c>
    </row>
    <row r="138" spans="1:2" x14ac:dyDescent="0.25">
      <c r="A138" t="s">
        <v>708</v>
      </c>
      <c r="B138">
        <v>139</v>
      </c>
    </row>
    <row r="139" spans="1:2" x14ac:dyDescent="0.25">
      <c r="A139" t="s">
        <v>799</v>
      </c>
      <c r="B139">
        <v>140</v>
      </c>
    </row>
    <row r="140" spans="1:2" x14ac:dyDescent="0.25">
      <c r="A140" t="s">
        <v>802</v>
      </c>
      <c r="B140">
        <v>141</v>
      </c>
    </row>
    <row r="141" spans="1:2" x14ac:dyDescent="0.25">
      <c r="A141" t="s">
        <v>867</v>
      </c>
      <c r="B141">
        <v>142</v>
      </c>
    </row>
    <row r="142" spans="1:2" x14ac:dyDescent="0.25">
      <c r="A142" t="s">
        <v>871</v>
      </c>
      <c r="B142">
        <v>143</v>
      </c>
    </row>
    <row r="143" spans="1:2" x14ac:dyDescent="0.25">
      <c r="A143" t="s">
        <v>868</v>
      </c>
      <c r="B143">
        <v>144</v>
      </c>
    </row>
    <row r="144" spans="1:2" x14ac:dyDescent="0.25">
      <c r="A144" t="s">
        <v>832</v>
      </c>
      <c r="B144">
        <v>146</v>
      </c>
    </row>
    <row r="145" spans="1:2" x14ac:dyDescent="0.25">
      <c r="A145" t="s">
        <v>835</v>
      </c>
      <c r="B145">
        <v>147</v>
      </c>
    </row>
    <row r="146" spans="1:2" x14ac:dyDescent="0.25">
      <c r="A146" t="s">
        <v>841</v>
      </c>
      <c r="B146">
        <v>148</v>
      </c>
    </row>
    <row r="147" spans="1:2" x14ac:dyDescent="0.25">
      <c r="A147" t="s">
        <v>843</v>
      </c>
      <c r="B147">
        <v>149</v>
      </c>
    </row>
    <row r="148" spans="1:2" x14ac:dyDescent="0.25">
      <c r="A148" t="s">
        <v>869</v>
      </c>
      <c r="B148">
        <v>150</v>
      </c>
    </row>
    <row r="149" spans="1:2" x14ac:dyDescent="0.25">
      <c r="A149" t="s">
        <v>870</v>
      </c>
      <c r="B149">
        <v>151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133"/>
  <sheetViews>
    <sheetView workbookViewId="0">
      <pane ySplit="1" topLeftCell="A2" activePane="bottomLeft" state="frozen"/>
      <selection pane="bottomLeft" activeCell="A6" sqref="A6"/>
    </sheetView>
  </sheetViews>
  <sheetFormatPr baseColWidth="10" defaultRowHeight="15" x14ac:dyDescent="0.25"/>
  <cols>
    <col min="1" max="1" width="12.28515625" bestFit="1" customWidth="1"/>
    <col min="2" max="2" width="29" bestFit="1" customWidth="1"/>
    <col min="3" max="3" width="13.42578125" style="5" bestFit="1" customWidth="1"/>
    <col min="4" max="4" width="13.7109375" style="5" bestFit="1" customWidth="1"/>
    <col min="5" max="5" width="20.28515625" style="5" bestFit="1" customWidth="1"/>
    <col min="6" max="6" width="13.5703125" style="5" bestFit="1" customWidth="1"/>
    <col min="7" max="7" width="20.7109375" style="5" bestFit="1" customWidth="1"/>
    <col min="8" max="8" width="13.85546875" style="5" bestFit="1" customWidth="1"/>
    <col min="9" max="9" width="18" style="7" customWidth="1"/>
  </cols>
  <sheetData>
    <row r="1" spans="1:9" x14ac:dyDescent="0.25">
      <c r="A1" t="s">
        <v>425</v>
      </c>
      <c r="B1" t="s">
        <v>2</v>
      </c>
      <c r="C1" s="4" t="s">
        <v>493</v>
      </c>
      <c r="D1" s="4" t="s">
        <v>492</v>
      </c>
      <c r="E1" s="4" t="s">
        <v>498</v>
      </c>
      <c r="F1" s="4" t="s">
        <v>495</v>
      </c>
      <c r="G1" s="4" t="s">
        <v>499</v>
      </c>
      <c r="H1" s="4" t="s">
        <v>494</v>
      </c>
      <c r="I1" s="4" t="s">
        <v>496</v>
      </c>
    </row>
    <row r="2" spans="1:9" x14ac:dyDescent="0.25">
      <c r="A2" t="s">
        <v>426</v>
      </c>
      <c r="B2" t="s">
        <v>427</v>
      </c>
      <c r="C2" s="5">
        <f>SUMIF(Banque!$F:$F,"="&amp;$B2,Banque!I:I)*-1</f>
        <v>0</v>
      </c>
      <c r="D2" s="5">
        <f>SUMIF(Banque!$F:$F,"="&amp;$B2,Banque!J:J)</f>
        <v>720</v>
      </c>
      <c r="E2" s="5">
        <f>SUMIFS(Banque!I:I,Banque!$F:$F,"="&amp;$B2,Banque!$D:$D,"=1")*-1</f>
        <v>0</v>
      </c>
      <c r="F2" s="5">
        <f>SUMIF(Compta!$D:$D,"="&amp;$B2,Compta!F:F)*-1</f>
        <v>0</v>
      </c>
      <c r="G2" s="5">
        <f>SUMIFS(Banque!J:J,Banque!$F:$F,"="&amp;$B2,Banque!$D:$D,"=1")</f>
        <v>0</v>
      </c>
      <c r="H2" s="5">
        <f>SUMIF(Compta!$D:$D,"="&amp;$B2,Compta!G:G)</f>
        <v>720</v>
      </c>
      <c r="I2" s="8">
        <f t="shared" ref="I2:I33" si="0">SUM(E2:H2)-SUM(C2:D2)</f>
        <v>0</v>
      </c>
    </row>
    <row r="3" spans="1:9" x14ac:dyDescent="0.25">
      <c r="A3" t="s">
        <v>426</v>
      </c>
      <c r="B3" t="s">
        <v>534</v>
      </c>
      <c r="C3" s="5">
        <f>SUMIF(Banque!$F:$F,"="&amp;$B3,Banque!I:I)*-1</f>
        <v>0</v>
      </c>
      <c r="D3" s="5">
        <f>SUMIF(Banque!$F:$F,"="&amp;$B3,Banque!J:J)</f>
        <v>17467.080000000002</v>
      </c>
      <c r="E3" s="5">
        <f>SUMIFS(Banque!I:I,Banque!$F:$F,"="&amp;$B3,Banque!$D:$D,"=1")*-1</f>
        <v>0</v>
      </c>
      <c r="F3" s="5">
        <f>SUMIF(Compta!$D:$D,"="&amp;$B3,Compta!F:F)*-1</f>
        <v>0</v>
      </c>
      <c r="G3" s="5">
        <f>SUMIFS(Banque!J:J,Banque!$F:$F,"="&amp;$B3,Banque!$D:$D,"=1")</f>
        <v>0</v>
      </c>
      <c r="H3" s="5">
        <f>SUMIF(Compta!$D:$D,"="&amp;$B3,Compta!G:G)</f>
        <v>17918.04</v>
      </c>
      <c r="I3" s="8">
        <f t="shared" si="0"/>
        <v>450.95999999999913</v>
      </c>
    </row>
    <row r="4" spans="1:9" x14ac:dyDescent="0.25">
      <c r="A4" t="s">
        <v>426</v>
      </c>
      <c r="B4" t="s">
        <v>379</v>
      </c>
      <c r="C4" s="5">
        <f>SUMIF(Banque!$F:$F,"="&amp;$B4,Banque!I:I)*-1</f>
        <v>0</v>
      </c>
      <c r="D4" s="5">
        <f>SUMIF(Banque!$F:$F,"="&amp;$B4,Banque!J:J)</f>
        <v>77652.820000000007</v>
      </c>
      <c r="E4" s="5">
        <f>SUMIFS(Banque!I:I,Banque!$F:$F,"="&amp;$B4,Banque!$D:$D,"=1")*-1</f>
        <v>0</v>
      </c>
      <c r="F4" s="5">
        <f>SUMIF(Compta!$D:$D,"="&amp;$B4,Compta!F:F)*-1</f>
        <v>27522.94000000001</v>
      </c>
      <c r="G4" s="5">
        <f>SUMIFS(Banque!J:J,Banque!$F:$F,"="&amp;$B4,Banque!$D:$D,"=1")</f>
        <v>0</v>
      </c>
      <c r="H4" s="5">
        <f>SUMIF(Compta!$D:$D,"="&amp;$B4,Compta!G:G)</f>
        <v>88915.799999999988</v>
      </c>
      <c r="I4" s="8">
        <f t="shared" si="0"/>
        <v>38785.919999999984</v>
      </c>
    </row>
    <row r="5" spans="1:9" x14ac:dyDescent="0.25">
      <c r="A5" t="s">
        <v>426</v>
      </c>
      <c r="B5" t="s">
        <v>366</v>
      </c>
      <c r="C5" s="5">
        <f>SUMIF(Banque!$F:$F,"="&amp;$B5,Banque!I:I)*-1</f>
        <v>0</v>
      </c>
      <c r="D5" s="5">
        <f>SUMIF(Banque!$F:$F,"="&amp;$B5,Banque!J:J)</f>
        <v>0</v>
      </c>
      <c r="E5" s="5">
        <f>SUMIFS(Banque!I:I,Banque!$F:$F,"="&amp;$B5,Banque!$D:$D,"=1")*-1</f>
        <v>0</v>
      </c>
      <c r="F5" s="5">
        <f>SUMIF(Compta!$D:$D,"="&amp;$B5,Compta!F:F)*-1</f>
        <v>0</v>
      </c>
      <c r="G5" s="5">
        <f>SUMIFS(Banque!J:J,Banque!$F:$F,"="&amp;$B5,Banque!$D:$D,"=1")</f>
        <v>0</v>
      </c>
      <c r="H5" s="5">
        <f>SUMIF(Compta!$D:$D,"="&amp;$B5,Compta!G:G)</f>
        <v>2844</v>
      </c>
      <c r="I5" s="8">
        <f t="shared" si="0"/>
        <v>2844</v>
      </c>
    </row>
    <row r="6" spans="1:9" x14ac:dyDescent="0.25">
      <c r="A6" t="s">
        <v>426</v>
      </c>
      <c r="B6" t="s">
        <v>378</v>
      </c>
      <c r="C6" s="5">
        <f>SUMIF(Banque!$F:$F,"="&amp;$B6,Banque!I:I)*-1</f>
        <v>0</v>
      </c>
      <c r="D6" s="5">
        <f>SUMIF(Banque!$F:$F,"="&amp;$B6,Banque!J:J)</f>
        <v>15785.51</v>
      </c>
      <c r="E6" s="5">
        <f>SUMIFS(Banque!I:I,Banque!$F:$F,"="&amp;$B6,Banque!$D:$D,"=1")*-1</f>
        <v>0</v>
      </c>
      <c r="F6" s="5">
        <f>SUMIF(Compta!$D:$D,"="&amp;$B6,Compta!F:F)*-1</f>
        <v>0</v>
      </c>
      <c r="G6" s="5">
        <f>SUMIFS(Banque!J:J,Banque!$F:$F,"="&amp;$B6,Banque!$D:$D,"=1")</f>
        <v>0</v>
      </c>
      <c r="H6" s="5">
        <f>SUMIF(Compta!$D:$D,"="&amp;$B6,Compta!G:G)</f>
        <v>15785.51</v>
      </c>
      <c r="I6" s="8">
        <f t="shared" si="0"/>
        <v>0</v>
      </c>
    </row>
    <row r="7" spans="1:9" x14ac:dyDescent="0.25">
      <c r="A7" t="s">
        <v>426</v>
      </c>
      <c r="B7" t="s">
        <v>430</v>
      </c>
      <c r="C7" s="5">
        <f>SUMIF(Banque!$F:$F,"="&amp;$B7,Banque!I:I)*-1</f>
        <v>0</v>
      </c>
      <c r="D7" s="5">
        <f>SUMIF(Banque!$F:$F,"="&amp;$B7,Banque!J:J)</f>
        <v>0</v>
      </c>
      <c r="E7" s="5">
        <f>SUMIFS(Banque!I:I,Banque!$F:$F,"="&amp;$B7,Banque!$D:$D,"=1")*-1</f>
        <v>0</v>
      </c>
      <c r="F7" s="5">
        <f>SUMIF(Compta!$D:$D,"="&amp;$B7,Compta!F:F)*-1</f>
        <v>0</v>
      </c>
      <c r="G7" s="5">
        <f>SUMIFS(Banque!J:J,Banque!$F:$F,"="&amp;$B7,Banque!$D:$D,"=1")</f>
        <v>0</v>
      </c>
      <c r="H7" s="5">
        <f>SUMIF(Compta!$D:$D,"="&amp;$B7,Compta!G:G)</f>
        <v>0</v>
      </c>
      <c r="I7" s="8">
        <f t="shared" si="0"/>
        <v>0</v>
      </c>
    </row>
    <row r="8" spans="1:9" x14ac:dyDescent="0.25">
      <c r="A8" t="s">
        <v>426</v>
      </c>
      <c r="B8" t="s">
        <v>431</v>
      </c>
      <c r="C8" s="5">
        <f>SUMIF(Banque!$F:$F,"="&amp;$B8,Banque!I:I)*-1</f>
        <v>0</v>
      </c>
      <c r="D8" s="5">
        <f>SUMIF(Banque!$F:$F,"="&amp;$B8,Banque!J:J)</f>
        <v>2400</v>
      </c>
      <c r="E8" s="5">
        <f>SUMIFS(Banque!I:I,Banque!$F:$F,"="&amp;$B8,Banque!$D:$D,"=1")*-1</f>
        <v>0</v>
      </c>
      <c r="F8" s="5">
        <f>SUMIF(Compta!$D:$D,"="&amp;$B8,Compta!F:F)*-1</f>
        <v>0</v>
      </c>
      <c r="G8" s="5">
        <f>SUMIFS(Banque!J:J,Banque!$F:$F,"="&amp;$B8,Banque!$D:$D,"=1")</f>
        <v>0</v>
      </c>
      <c r="H8" s="5">
        <f>SUMIF(Compta!$D:$D,"="&amp;$B8,Compta!G:G)</f>
        <v>5280</v>
      </c>
      <c r="I8" s="8">
        <f t="shared" si="0"/>
        <v>2880</v>
      </c>
    </row>
    <row r="9" spans="1:9" x14ac:dyDescent="0.25">
      <c r="A9" t="s">
        <v>426</v>
      </c>
      <c r="B9" t="s">
        <v>370</v>
      </c>
      <c r="C9" s="5">
        <f>SUMIF(Banque!$F:$F,"="&amp;$B9,Banque!I:I)*-1</f>
        <v>0</v>
      </c>
      <c r="D9" s="5">
        <f>SUMIF(Banque!$F:$F,"="&amp;$B9,Banque!J:J)</f>
        <v>49642.7</v>
      </c>
      <c r="E9" s="5">
        <f>SUMIFS(Banque!I:I,Banque!$F:$F,"="&amp;$B9,Banque!$D:$D,"=1")*-1</f>
        <v>0</v>
      </c>
      <c r="F9" s="5">
        <f>SUMIF(Compta!$D:$D,"="&amp;$B9,Compta!F:F)*-1</f>
        <v>0</v>
      </c>
      <c r="G9" s="5">
        <f>SUMIFS(Banque!J:J,Banque!$F:$F,"="&amp;$B9,Banque!$D:$D,"=1")</f>
        <v>0</v>
      </c>
      <c r="H9" s="5">
        <f>SUMIF(Compta!$D:$D,"="&amp;$B9,Compta!G:G)</f>
        <v>59152.3</v>
      </c>
      <c r="I9" s="8">
        <f t="shared" si="0"/>
        <v>9509.6000000000058</v>
      </c>
    </row>
    <row r="10" spans="1:9" x14ac:dyDescent="0.25">
      <c r="A10" t="s">
        <v>426</v>
      </c>
      <c r="B10" t="s">
        <v>429</v>
      </c>
      <c r="C10" s="5">
        <f>SUMIF(Banque!$F:$F,"="&amp;$B10,Banque!I:I)*-1</f>
        <v>0</v>
      </c>
      <c r="D10" s="5">
        <f>SUMIF(Banque!$F:$F,"="&amp;$B10,Banque!J:J)</f>
        <v>0</v>
      </c>
      <c r="E10" s="5">
        <f>SUMIFS(Banque!I:I,Banque!$F:$F,"="&amp;$B10,Banque!$D:$D,"=1")*-1</f>
        <v>0</v>
      </c>
      <c r="F10" s="5">
        <f>SUMIF(Compta!$D:$D,"="&amp;$B10,Compta!F:F)*-1</f>
        <v>0</v>
      </c>
      <c r="G10" s="5">
        <f>SUMIFS(Banque!J:J,Banque!$F:$F,"="&amp;$B10,Banque!$D:$D,"=1")</f>
        <v>0</v>
      </c>
      <c r="H10" s="5">
        <f>SUMIF(Compta!$D:$D,"="&amp;$B10,Compta!G:G)</f>
        <v>880.2</v>
      </c>
      <c r="I10" s="8">
        <f t="shared" si="0"/>
        <v>880.2</v>
      </c>
    </row>
    <row r="11" spans="1:9" x14ac:dyDescent="0.25">
      <c r="A11" t="s">
        <v>368</v>
      </c>
      <c r="B11" t="s">
        <v>278</v>
      </c>
      <c r="C11" s="5">
        <f>SUMIF(Banque!$F:$F,"="&amp;$B11,Banque!I:I)*-1</f>
        <v>-135</v>
      </c>
      <c r="D11" s="5">
        <f>SUMIF(Banque!$F:$F,"="&amp;$B11,Banque!J:J)</f>
        <v>0</v>
      </c>
      <c r="E11" s="5">
        <f>SUMIFS(Banque!I:I,Banque!$F:$F,"="&amp;$B11,Banque!$D:$D,"=1")*-1</f>
        <v>-135</v>
      </c>
      <c r="F11" s="5">
        <f>SUMIF(Compta!$D:$D,"="&amp;$B11,Compta!F:F)*-1</f>
        <v>0</v>
      </c>
      <c r="G11" s="5">
        <f>SUMIFS(Banque!J:J,Banque!$F:$F,"="&amp;$B11,Banque!$D:$D,"=1")</f>
        <v>0</v>
      </c>
      <c r="H11" s="5">
        <f>SUMIF(Compta!$D:$D,"="&amp;$B11,Compta!G:G)</f>
        <v>0</v>
      </c>
      <c r="I11" s="8">
        <f t="shared" si="0"/>
        <v>0</v>
      </c>
    </row>
    <row r="12" spans="1:9" x14ac:dyDescent="0.25">
      <c r="A12" t="s">
        <v>368</v>
      </c>
      <c r="B12" t="s">
        <v>267</v>
      </c>
      <c r="C12" s="5">
        <f>SUMIF(Banque!$F:$F,"="&amp;$B12,Banque!I:I)*-1</f>
        <v>-648</v>
      </c>
      <c r="D12" s="5">
        <f>SUMIF(Banque!$F:$F,"="&amp;$B12,Banque!J:J)</f>
        <v>0</v>
      </c>
      <c r="E12" s="5">
        <f>SUMIFS(Banque!I:I,Banque!$F:$F,"="&amp;$B12,Banque!$D:$D,"=1")*-1</f>
        <v>-648</v>
      </c>
      <c r="F12" s="5">
        <f>SUMIF(Compta!$D:$D,"="&amp;$B12,Compta!F:F)*-1</f>
        <v>0</v>
      </c>
      <c r="G12" s="5">
        <f>SUMIFS(Banque!J:J,Banque!$F:$F,"="&amp;$B12,Banque!$D:$D,"=1")</f>
        <v>0</v>
      </c>
      <c r="H12" s="5">
        <f>SUMIF(Compta!$D:$D,"="&amp;$B12,Compta!G:G)</f>
        <v>0</v>
      </c>
      <c r="I12" s="8">
        <f t="shared" si="0"/>
        <v>0</v>
      </c>
    </row>
    <row r="13" spans="1:9" x14ac:dyDescent="0.25">
      <c r="A13" t="s">
        <v>368</v>
      </c>
      <c r="B13" t="s">
        <v>253</v>
      </c>
      <c r="C13" s="5">
        <f>SUMIF(Banque!$F:$F,"="&amp;$B13,Banque!I:I)*-1</f>
        <v>-2259.8200000000002</v>
      </c>
      <c r="D13" s="5">
        <f>SUMIF(Banque!$F:$F,"="&amp;$B13,Banque!J:J)</f>
        <v>0</v>
      </c>
      <c r="E13" s="5">
        <f>SUMIFS(Banque!I:I,Banque!$F:$F,"="&amp;$B13,Banque!$D:$D,"=1")*-1</f>
        <v>-2259.8200000000002</v>
      </c>
      <c r="F13" s="5">
        <f>SUMIF(Compta!$D:$D,"="&amp;$B13,Compta!F:F)*-1</f>
        <v>0</v>
      </c>
      <c r="G13" s="5">
        <f>SUMIFS(Banque!J:J,Banque!$F:$F,"="&amp;$B13,Banque!$D:$D,"=1")</f>
        <v>0</v>
      </c>
      <c r="H13" s="5">
        <f>SUMIF(Compta!$D:$D,"="&amp;$B13,Compta!G:G)</f>
        <v>0</v>
      </c>
      <c r="I13" s="8">
        <f t="shared" si="0"/>
        <v>0</v>
      </c>
    </row>
    <row r="14" spans="1:9" x14ac:dyDescent="0.25">
      <c r="A14" t="s">
        <v>368</v>
      </c>
      <c r="B14" t="s">
        <v>269</v>
      </c>
      <c r="C14" s="5">
        <f>SUMIF(Banque!$F:$F,"="&amp;$B14,Banque!I:I)*-1</f>
        <v>-21281.65</v>
      </c>
      <c r="D14" s="5">
        <f>SUMIF(Banque!$F:$F,"="&amp;$B14,Banque!J:J)</f>
        <v>0</v>
      </c>
      <c r="E14" s="5">
        <f>SUMIFS(Banque!I:I,Banque!$F:$F,"="&amp;$B14,Banque!$D:$D,"=1")*-1</f>
        <v>-21281.65</v>
      </c>
      <c r="F14" s="5">
        <f>SUMIF(Compta!$D:$D,"="&amp;$B14,Compta!F:F)*-1</f>
        <v>0</v>
      </c>
      <c r="G14" s="5">
        <f>SUMIFS(Banque!J:J,Banque!$F:$F,"="&amp;$B14,Banque!$D:$D,"=1")</f>
        <v>0</v>
      </c>
      <c r="H14" s="5">
        <f>SUMIF(Compta!$D:$D,"="&amp;$B14,Compta!G:G)</f>
        <v>0</v>
      </c>
      <c r="I14" s="8">
        <f t="shared" si="0"/>
        <v>0</v>
      </c>
    </row>
    <row r="15" spans="1:9" x14ac:dyDescent="0.25">
      <c r="A15" t="s">
        <v>368</v>
      </c>
      <c r="B15" t="s">
        <v>271</v>
      </c>
      <c r="C15" s="5">
        <f>SUMIF(Banque!$F:$F,"="&amp;$B15,Banque!I:I)*-1</f>
        <v>-61.1</v>
      </c>
      <c r="D15" s="5">
        <f>SUMIF(Banque!$F:$F,"="&amp;$B15,Banque!J:J)</f>
        <v>0</v>
      </c>
      <c r="E15" s="5">
        <f>SUMIFS(Banque!I:I,Banque!$F:$F,"="&amp;$B15,Banque!$D:$D,"=1")*-1</f>
        <v>-61.1</v>
      </c>
      <c r="F15" s="5">
        <f>SUMIF(Compta!$D:$D,"="&amp;$B15,Compta!F:F)*-1</f>
        <v>0</v>
      </c>
      <c r="G15" s="5">
        <f>SUMIFS(Banque!J:J,Banque!$F:$F,"="&amp;$B15,Banque!$D:$D,"=1")</f>
        <v>0</v>
      </c>
      <c r="H15" s="5">
        <f>SUMIF(Compta!$D:$D,"="&amp;$B15,Compta!G:G)</f>
        <v>0</v>
      </c>
      <c r="I15" s="8">
        <f t="shared" si="0"/>
        <v>0</v>
      </c>
    </row>
    <row r="16" spans="1:9" x14ac:dyDescent="0.25">
      <c r="A16" t="s">
        <v>368</v>
      </c>
      <c r="B16" t="s">
        <v>266</v>
      </c>
      <c r="C16" s="5">
        <f>SUMIF(Banque!$F:$F,"="&amp;$B16,Banque!I:I)*-1</f>
        <v>-3.53</v>
      </c>
      <c r="D16" s="5">
        <f>SUMIF(Banque!$F:$F,"="&amp;$B16,Banque!J:J)</f>
        <v>283.12</v>
      </c>
      <c r="E16" s="5">
        <f>SUMIFS(Banque!I:I,Banque!$F:$F,"="&amp;$B16,Banque!$D:$D,"=1")*-1</f>
        <v>-3.53</v>
      </c>
      <c r="F16" s="5">
        <f>SUMIF(Compta!$D:$D,"="&amp;$B16,Compta!F:F)*-1</f>
        <v>0</v>
      </c>
      <c r="G16" s="5">
        <f>SUMIFS(Banque!J:J,Banque!$F:$F,"="&amp;$B16,Banque!$D:$D,"=1")</f>
        <v>283.12</v>
      </c>
      <c r="H16" s="5">
        <f>SUMIF(Compta!$D:$D,"="&amp;$B16,Compta!G:G)</f>
        <v>0</v>
      </c>
      <c r="I16" s="8">
        <f t="shared" si="0"/>
        <v>0</v>
      </c>
    </row>
    <row r="17" spans="1:9" x14ac:dyDescent="0.25">
      <c r="A17" t="s">
        <v>368</v>
      </c>
      <c r="B17" t="s">
        <v>315</v>
      </c>
      <c r="C17" s="5">
        <f>SUMIF(Banque!$F:$F,"="&amp;$B17,Banque!I:I)*-1</f>
        <v>0</v>
      </c>
      <c r="D17" s="5">
        <f>SUMIF(Banque!$F:$F,"="&amp;$B17,Banque!J:J)</f>
        <v>0</v>
      </c>
      <c r="E17" s="5">
        <f>SUMIFS(Banque!I:I,Banque!$F:$F,"="&amp;$B17,Banque!$D:$D,"=1")*-1</f>
        <v>0</v>
      </c>
      <c r="F17" s="5">
        <f>SUMIF(Compta!$D:$D,"="&amp;$B17,Compta!F:F)*-1</f>
        <v>0</v>
      </c>
      <c r="G17" s="5">
        <f>SUMIFS(Banque!J:J,Banque!$F:$F,"="&amp;$B17,Banque!$D:$D,"=1")</f>
        <v>0</v>
      </c>
      <c r="H17" s="5">
        <f>SUMIF(Compta!$D:$D,"="&amp;$B17,Compta!G:G)</f>
        <v>0</v>
      </c>
      <c r="I17" s="8">
        <f t="shared" si="0"/>
        <v>0</v>
      </c>
    </row>
    <row r="18" spans="1:9" x14ac:dyDescent="0.25">
      <c r="A18" t="s">
        <v>368</v>
      </c>
      <c r="B18" t="s">
        <v>257</v>
      </c>
      <c r="C18" s="5">
        <f>SUMIF(Banque!$F:$F,"="&amp;$B18,Banque!I:I)*-1</f>
        <v>-1149.07</v>
      </c>
      <c r="D18" s="5">
        <f>SUMIF(Banque!$F:$F,"="&amp;$B18,Banque!J:J)</f>
        <v>0</v>
      </c>
      <c r="E18" s="5">
        <f>SUMIFS(Banque!I:I,Banque!$F:$F,"="&amp;$B18,Banque!$D:$D,"=1")*-1</f>
        <v>-1149.07</v>
      </c>
      <c r="F18" s="5">
        <f>SUMIF(Compta!$D:$D,"="&amp;$B18,Compta!F:F)*-1</f>
        <v>0</v>
      </c>
      <c r="G18" s="5">
        <f>SUMIFS(Banque!J:J,Banque!$F:$F,"="&amp;$B18,Banque!$D:$D,"=1")</f>
        <v>0</v>
      </c>
      <c r="H18" s="5">
        <f>SUMIF(Compta!$D:$D,"="&amp;$B18,Compta!G:G)</f>
        <v>0</v>
      </c>
      <c r="I18" s="8">
        <f t="shared" si="0"/>
        <v>0</v>
      </c>
    </row>
    <row r="19" spans="1:9" x14ac:dyDescent="0.25">
      <c r="A19" t="s">
        <v>368</v>
      </c>
      <c r="B19" t="s">
        <v>258</v>
      </c>
      <c r="C19" s="5">
        <f>SUMIF(Banque!$F:$F,"="&amp;$B19,Banque!I:I)*-1</f>
        <v>0</v>
      </c>
      <c r="D19" s="5">
        <f>SUMIF(Banque!$F:$F,"="&amp;$B19,Banque!J:J)</f>
        <v>0</v>
      </c>
      <c r="E19" s="5">
        <f>SUMIFS(Banque!I:I,Banque!$F:$F,"="&amp;$B19,Banque!$D:$D,"=1")*-1</f>
        <v>0</v>
      </c>
      <c r="F19" s="5">
        <f>SUMIF(Compta!$D:$D,"="&amp;$B19,Compta!F:F)*-1</f>
        <v>0</v>
      </c>
      <c r="G19" s="5">
        <f>SUMIFS(Banque!J:J,Banque!$F:$F,"="&amp;$B19,Banque!$D:$D,"=1")</f>
        <v>0</v>
      </c>
      <c r="H19" s="5">
        <f>SUMIF(Compta!$D:$D,"="&amp;$B19,Compta!G:G)</f>
        <v>0</v>
      </c>
      <c r="I19" s="8">
        <f t="shared" si="0"/>
        <v>0</v>
      </c>
    </row>
    <row r="20" spans="1:9" x14ac:dyDescent="0.25">
      <c r="A20" t="s">
        <v>368</v>
      </c>
      <c r="B20" t="s">
        <v>255</v>
      </c>
      <c r="C20" s="5">
        <f>SUMIF(Banque!$F:$F,"="&amp;$B20,Banque!I:I)*-1</f>
        <v>-5200</v>
      </c>
      <c r="D20" s="5">
        <f>SUMIF(Banque!$F:$F,"="&amp;$B20,Banque!J:J)</f>
        <v>0</v>
      </c>
      <c r="E20" s="5">
        <f>SUMIFS(Banque!I:I,Banque!$F:$F,"="&amp;$B20,Banque!$D:$D,"=1")*-1</f>
        <v>-3900</v>
      </c>
      <c r="F20" s="5">
        <f>SUMIF(Compta!$D:$D,"="&amp;$B20,Compta!F:F)*-1</f>
        <v>-1300</v>
      </c>
      <c r="G20" s="5">
        <f>SUMIFS(Banque!J:J,Banque!$F:$F,"="&amp;$B20,Banque!$D:$D,"=1")</f>
        <v>0</v>
      </c>
      <c r="H20" s="5">
        <f>SUMIF(Compta!$D:$D,"="&amp;$B20,Compta!G:G)</f>
        <v>0</v>
      </c>
      <c r="I20" s="8">
        <f t="shared" si="0"/>
        <v>0</v>
      </c>
    </row>
    <row r="21" spans="1:9" x14ac:dyDescent="0.25">
      <c r="A21" t="s">
        <v>368</v>
      </c>
      <c r="B21" t="s">
        <v>372</v>
      </c>
      <c r="C21" s="5">
        <f>SUMIF(Banque!$F:$F,"="&amp;$B21,Banque!I:I)*-1</f>
        <v>-25.4</v>
      </c>
      <c r="D21" s="5">
        <f>SUMIF(Banque!$F:$F,"="&amp;$B21,Banque!J:J)</f>
        <v>0</v>
      </c>
      <c r="E21" s="5">
        <f>SUMIFS(Banque!I:I,Banque!$F:$F,"="&amp;$B21,Banque!$D:$D,"=1")*-1</f>
        <v>-25.4</v>
      </c>
      <c r="F21" s="5">
        <f>SUMIF(Compta!$D:$D,"="&amp;$B21,Compta!F:F)*-1</f>
        <v>0</v>
      </c>
      <c r="G21" s="5">
        <f>SUMIFS(Banque!J:J,Banque!$F:$F,"="&amp;$B21,Banque!$D:$D,"=1")</f>
        <v>0</v>
      </c>
      <c r="H21" s="5">
        <f>SUMIF(Compta!$D:$D,"="&amp;$B21,Compta!G:G)</f>
        <v>0</v>
      </c>
      <c r="I21" s="8">
        <f t="shared" si="0"/>
        <v>0</v>
      </c>
    </row>
    <row r="22" spans="1:9" x14ac:dyDescent="0.25">
      <c r="A22" t="s">
        <v>368</v>
      </c>
      <c r="B22" t="s">
        <v>381</v>
      </c>
      <c r="C22" s="5">
        <f>SUMIF(Banque!$F:$F,"="&amp;$B22,Banque!I:I)*-1</f>
        <v>-948.6</v>
      </c>
      <c r="D22" s="5">
        <f>SUMIF(Banque!$F:$F,"="&amp;$B22,Banque!J:J)</f>
        <v>0</v>
      </c>
      <c r="E22" s="5">
        <f>SUMIFS(Banque!I:I,Banque!$F:$F,"="&amp;$B22,Banque!$D:$D,"=1")*-1</f>
        <v>-948.6</v>
      </c>
      <c r="F22" s="5">
        <f>SUMIF(Compta!$D:$D,"="&amp;$B22,Compta!F:F)*-1</f>
        <v>0</v>
      </c>
      <c r="G22" s="5">
        <f>SUMIFS(Banque!J:J,Banque!$F:$F,"="&amp;$B22,Banque!$D:$D,"=1")</f>
        <v>0</v>
      </c>
      <c r="H22" s="5">
        <f>SUMIF(Compta!$D:$D,"="&amp;$B22,Compta!G:G)</f>
        <v>0</v>
      </c>
      <c r="I22" s="8">
        <f t="shared" si="0"/>
        <v>0</v>
      </c>
    </row>
    <row r="23" spans="1:9" x14ac:dyDescent="0.25">
      <c r="A23" t="s">
        <v>368</v>
      </c>
      <c r="B23" t="s">
        <v>382</v>
      </c>
      <c r="C23" s="5">
        <f>SUMIF(Banque!$F:$F,"="&amp;$B23,Banque!I:I)*-1</f>
        <v>-1040</v>
      </c>
      <c r="D23" s="5">
        <f>SUMIF(Banque!$F:$F,"="&amp;$B23,Banque!J:J)</f>
        <v>0</v>
      </c>
      <c r="E23" s="5">
        <f>SUMIFS(Banque!I:I,Banque!$F:$F,"="&amp;$B23,Banque!$D:$D,"=1")*-1</f>
        <v>-1040</v>
      </c>
      <c r="F23" s="5">
        <f>SUMIF(Compta!$D:$D,"="&amp;$B23,Compta!F:F)*-1</f>
        <v>0</v>
      </c>
      <c r="G23" s="5">
        <f>SUMIFS(Banque!J:J,Banque!$F:$F,"="&amp;$B23,Banque!$D:$D,"=1")</f>
        <v>0</v>
      </c>
      <c r="H23" s="5">
        <f>SUMIF(Compta!$D:$D,"="&amp;$B23,Compta!G:G)</f>
        <v>0</v>
      </c>
      <c r="I23" s="8">
        <f t="shared" si="0"/>
        <v>0</v>
      </c>
    </row>
    <row r="24" spans="1:9" x14ac:dyDescent="0.25">
      <c r="A24" t="s">
        <v>368</v>
      </c>
      <c r="B24" t="s">
        <v>263</v>
      </c>
      <c r="C24" s="5">
        <f>SUMIF(Banque!$F:$F,"="&amp;$B24,Banque!I:I)*-1</f>
        <v>-1520</v>
      </c>
      <c r="D24" s="5">
        <f>SUMIF(Banque!$F:$F,"="&amp;$B24,Banque!J:J)</f>
        <v>0</v>
      </c>
      <c r="E24" s="5">
        <f>SUMIFS(Banque!I:I,Banque!$F:$F,"="&amp;$B24,Banque!$D:$D,"=1")*-1</f>
        <v>-1520</v>
      </c>
      <c r="F24" s="5">
        <f>SUMIF(Compta!$D:$D,"="&amp;$B24,Compta!F:F)*-1</f>
        <v>0</v>
      </c>
      <c r="G24" s="5">
        <f>SUMIFS(Banque!J:J,Banque!$F:$F,"="&amp;$B24,Banque!$D:$D,"=1")</f>
        <v>0</v>
      </c>
      <c r="H24" s="5">
        <f>SUMIF(Compta!$D:$D,"="&amp;$B24,Compta!G:G)</f>
        <v>0</v>
      </c>
      <c r="I24" s="8">
        <f t="shared" si="0"/>
        <v>0</v>
      </c>
    </row>
    <row r="25" spans="1:9" x14ac:dyDescent="0.25">
      <c r="A25" t="s">
        <v>368</v>
      </c>
      <c r="B25" t="s">
        <v>316</v>
      </c>
      <c r="C25" s="5">
        <f>SUMIF(Banque!$F:$F,"="&amp;$B25,Banque!I:I)*-1</f>
        <v>0</v>
      </c>
      <c r="D25" s="5">
        <f>SUMIF(Banque!$F:$F,"="&amp;$B25,Banque!J:J)</f>
        <v>0</v>
      </c>
      <c r="E25" s="5">
        <f>SUMIFS(Banque!I:I,Banque!$F:$F,"="&amp;$B25,Banque!$D:$D,"=1")*-1</f>
        <v>0</v>
      </c>
      <c r="F25" s="5">
        <f>SUMIF(Compta!$D:$D,"="&amp;$B25,Compta!F:F)*-1</f>
        <v>0</v>
      </c>
      <c r="G25" s="5">
        <f>SUMIFS(Banque!J:J,Banque!$F:$F,"="&amp;$B25,Banque!$D:$D,"=1")</f>
        <v>0</v>
      </c>
      <c r="H25" s="5">
        <f>SUMIF(Compta!$D:$D,"="&amp;$B25,Compta!G:G)</f>
        <v>0</v>
      </c>
      <c r="I25" s="8">
        <f t="shared" si="0"/>
        <v>0</v>
      </c>
    </row>
    <row r="26" spans="1:9" x14ac:dyDescent="0.25">
      <c r="A26" t="s">
        <v>368</v>
      </c>
      <c r="B26" t="s">
        <v>264</v>
      </c>
      <c r="C26" s="5">
        <f>SUMIF(Banque!$F:$F,"="&amp;$B26,Banque!I:I)*-1</f>
        <v>0</v>
      </c>
      <c r="D26" s="5">
        <f>SUMIF(Banque!$F:$F,"="&amp;$B26,Banque!J:J)</f>
        <v>0</v>
      </c>
      <c r="E26" s="5">
        <f>SUMIFS(Banque!I:I,Banque!$F:$F,"="&amp;$B26,Banque!$D:$D,"=1")*-1</f>
        <v>0</v>
      </c>
      <c r="F26" s="5">
        <f>SUMIF(Compta!$D:$D,"="&amp;$B26,Compta!F:F)*-1</f>
        <v>0</v>
      </c>
      <c r="G26" s="5">
        <f>SUMIFS(Banque!J:J,Banque!$F:$F,"="&amp;$B26,Banque!$D:$D,"=1")</f>
        <v>0</v>
      </c>
      <c r="H26" s="5">
        <f>SUMIF(Compta!$D:$D,"="&amp;$B26,Compta!G:G)</f>
        <v>0</v>
      </c>
      <c r="I26" s="8">
        <f t="shared" si="0"/>
        <v>0</v>
      </c>
    </row>
    <row r="27" spans="1:9" x14ac:dyDescent="0.25">
      <c r="A27" t="s">
        <v>368</v>
      </c>
      <c r="B27" t="s">
        <v>254</v>
      </c>
      <c r="C27" s="5">
        <f>SUMIF(Banque!$F:$F,"="&amp;$B27,Banque!I:I)*-1</f>
        <v>-1058.9000000000001</v>
      </c>
      <c r="D27" s="5">
        <f>SUMIF(Banque!$F:$F,"="&amp;$B27,Banque!J:J)</f>
        <v>0</v>
      </c>
      <c r="E27" s="5">
        <f>SUMIFS(Banque!I:I,Banque!$F:$F,"="&amp;$B27,Banque!$D:$D,"=1")*-1</f>
        <v>-1058.9000000000001</v>
      </c>
      <c r="F27" s="5">
        <f>SUMIF(Compta!$D:$D,"="&amp;$B27,Compta!F:F)*-1</f>
        <v>0</v>
      </c>
      <c r="G27" s="5">
        <f>SUMIFS(Banque!J:J,Banque!$F:$F,"="&amp;$B27,Banque!$D:$D,"=1")</f>
        <v>0</v>
      </c>
      <c r="H27" s="5">
        <f>SUMIF(Compta!$D:$D,"="&amp;$B27,Compta!G:G)</f>
        <v>0</v>
      </c>
      <c r="I27" s="8">
        <f t="shared" si="0"/>
        <v>0</v>
      </c>
    </row>
    <row r="28" spans="1:9" x14ac:dyDescent="0.25">
      <c r="A28" t="s">
        <v>368</v>
      </c>
      <c r="B28" t="s">
        <v>256</v>
      </c>
      <c r="C28" s="5">
        <f>SUMIF(Banque!$F:$F,"="&amp;$B28,Banque!I:I)*-1</f>
        <v>-28513.279999999999</v>
      </c>
      <c r="D28" s="5">
        <f>SUMIF(Banque!$F:$F,"="&amp;$B28,Banque!J:J)</f>
        <v>0</v>
      </c>
      <c r="E28" s="5">
        <f>SUMIFS(Banque!I:I,Banque!$F:$F,"="&amp;$B28,Banque!$D:$D,"=1")*-1</f>
        <v>-28513.279999999999</v>
      </c>
      <c r="F28" s="5">
        <f>SUMIF(Compta!$D:$D,"="&amp;$B28,Compta!F:F)*-1</f>
        <v>0</v>
      </c>
      <c r="G28" s="5">
        <f>SUMIFS(Banque!J:J,Banque!$F:$F,"="&amp;$B28,Banque!$D:$D,"=1")</f>
        <v>0</v>
      </c>
      <c r="H28" s="5">
        <f>SUMIF(Compta!$D:$D,"="&amp;$B28,Compta!G:G)</f>
        <v>0</v>
      </c>
      <c r="I28" s="8">
        <f t="shared" si="0"/>
        <v>0</v>
      </c>
    </row>
    <row r="29" spans="1:9" x14ac:dyDescent="0.25">
      <c r="A29" t="s">
        <v>368</v>
      </c>
      <c r="B29" t="s">
        <v>272</v>
      </c>
      <c r="C29" s="5">
        <f>SUMIF(Banque!$F:$F,"="&amp;$B29,Banque!I:I)*-1</f>
        <v>-14100</v>
      </c>
      <c r="D29" s="5">
        <f>SUMIF(Banque!$F:$F,"="&amp;$B29,Banque!J:J)</f>
        <v>0</v>
      </c>
      <c r="E29" s="5">
        <f>SUMIFS(Banque!I:I,Banque!$F:$F,"="&amp;$B29,Banque!$D:$D,"=1")*-1</f>
        <v>-14100</v>
      </c>
      <c r="F29" s="5">
        <f>SUMIF(Compta!$D:$D,"="&amp;$B29,Compta!F:F)*-1</f>
        <v>0</v>
      </c>
      <c r="G29" s="5">
        <f>SUMIFS(Banque!J:J,Banque!$F:$F,"="&amp;$B29,Banque!$D:$D,"=1")</f>
        <v>0</v>
      </c>
      <c r="H29" s="5">
        <f>SUMIF(Compta!$D:$D,"="&amp;$B29,Compta!G:G)</f>
        <v>0</v>
      </c>
      <c r="I29" s="8">
        <f t="shared" si="0"/>
        <v>0</v>
      </c>
    </row>
    <row r="30" spans="1:9" x14ac:dyDescent="0.25">
      <c r="A30" t="s">
        <v>369</v>
      </c>
      <c r="B30" t="s">
        <v>335</v>
      </c>
      <c r="C30" s="5">
        <f>SUMIF(Banque!$F:$F,"="&amp;$B30,Banque!I:I)*-1</f>
        <v>0</v>
      </c>
      <c r="D30" s="5">
        <f>SUMIF(Banque!$F:$F,"="&amp;$B30,Banque!J:J)</f>
        <v>0</v>
      </c>
      <c r="E30" s="5">
        <f>SUMIFS(Banque!I:I,Banque!$F:$F,"="&amp;$B30,Banque!$D:$D,"=1")*-1</f>
        <v>0</v>
      </c>
      <c r="F30" s="5">
        <f>SUMIF(Compta!$D:$D,"="&amp;$B30,Compta!F:F)*-1</f>
        <v>0</v>
      </c>
      <c r="G30" s="5">
        <f>SUMIFS(Banque!J:J,Banque!$F:$F,"="&amp;$B30,Banque!$D:$D,"=1")</f>
        <v>0</v>
      </c>
      <c r="H30" s="5">
        <f>SUMIF(Compta!$D:$D,"="&amp;$B30,Compta!G:G)</f>
        <v>0</v>
      </c>
      <c r="I30" s="8">
        <f t="shared" si="0"/>
        <v>0</v>
      </c>
    </row>
    <row r="31" spans="1:9" x14ac:dyDescent="0.25">
      <c r="A31" t="s">
        <v>369</v>
      </c>
      <c r="B31" t="s">
        <v>346</v>
      </c>
      <c r="C31" s="5">
        <f>SUMIF(Banque!$F:$F,"="&amp;$B31,Banque!I:I)*-1</f>
        <v>0</v>
      </c>
      <c r="D31" s="5">
        <f>SUMIF(Banque!$F:$F,"="&amp;$B31,Banque!J:J)</f>
        <v>0</v>
      </c>
      <c r="E31" s="5">
        <f>SUMIFS(Banque!I:I,Banque!$F:$F,"="&amp;$B31,Banque!$D:$D,"=1")*-1</f>
        <v>0</v>
      </c>
      <c r="F31" s="5">
        <f>SUMIF(Compta!$D:$D,"="&amp;$B31,Compta!F:F)*-1</f>
        <v>0</v>
      </c>
      <c r="G31" s="5">
        <f>SUMIFS(Banque!J:J,Banque!$F:$F,"="&amp;$B31,Banque!$D:$D,"=1")</f>
        <v>0</v>
      </c>
      <c r="H31" s="5">
        <f>SUMIF(Compta!$D:$D,"="&amp;$B31,Compta!G:G)</f>
        <v>0</v>
      </c>
      <c r="I31" s="8">
        <f t="shared" si="0"/>
        <v>0</v>
      </c>
    </row>
    <row r="32" spans="1:9" x14ac:dyDescent="0.25">
      <c r="A32" t="s">
        <v>369</v>
      </c>
      <c r="B32" t="s">
        <v>273</v>
      </c>
      <c r="C32" s="5">
        <f>SUMIF(Banque!$F:$F,"="&amp;$B32,Banque!I:I)*-1</f>
        <v>-597.65000000000009</v>
      </c>
      <c r="D32" s="5">
        <f>SUMIF(Banque!$F:$F,"="&amp;$B32,Banque!J:J)</f>
        <v>0</v>
      </c>
      <c r="E32" s="5">
        <f>SUMIFS(Banque!I:I,Banque!$F:$F,"="&amp;$B32,Banque!$D:$D,"=1")*-1</f>
        <v>-311.74</v>
      </c>
      <c r="F32" s="5">
        <f>SUMIF(Compta!$D:$D,"="&amp;$B32,Compta!F:F)*-1</f>
        <v>-370.67</v>
      </c>
      <c r="G32" s="5">
        <f>SUMIFS(Banque!J:J,Banque!$F:$F,"="&amp;$B32,Banque!$D:$D,"=1")</f>
        <v>0</v>
      </c>
      <c r="H32" s="5">
        <f>SUMIF(Compta!$D:$D,"="&amp;$B32,Compta!G:G)</f>
        <v>0</v>
      </c>
      <c r="I32" s="8">
        <f t="shared" si="0"/>
        <v>-84.759999999999991</v>
      </c>
    </row>
    <row r="33" spans="1:9" x14ac:dyDescent="0.25">
      <c r="A33" t="s">
        <v>369</v>
      </c>
      <c r="B33" t="s">
        <v>286</v>
      </c>
      <c r="C33" s="5">
        <f>SUMIF(Banque!$F:$F,"="&amp;$B33,Banque!I:I)*-1</f>
        <v>-602.4</v>
      </c>
      <c r="D33" s="5">
        <f>SUMIF(Banque!$F:$F,"="&amp;$B33,Banque!J:J)</f>
        <v>0</v>
      </c>
      <c r="E33" s="5">
        <f>SUMIFS(Banque!I:I,Banque!$F:$F,"="&amp;$B33,Banque!$D:$D,"=1")*-1</f>
        <v>0</v>
      </c>
      <c r="F33" s="5">
        <f>SUMIF(Compta!$D:$D,"="&amp;$B33,Compta!F:F)*-1</f>
        <v>-602.4</v>
      </c>
      <c r="G33" s="5">
        <f>SUMIFS(Banque!J:J,Banque!$F:$F,"="&amp;$B33,Banque!$D:$D,"=1")</f>
        <v>0</v>
      </c>
      <c r="H33" s="5">
        <f>SUMIF(Compta!$D:$D,"="&amp;$B33,Compta!G:G)</f>
        <v>0</v>
      </c>
      <c r="I33" s="8">
        <f t="shared" si="0"/>
        <v>0</v>
      </c>
    </row>
    <row r="34" spans="1:9" x14ac:dyDescent="0.25">
      <c r="A34" t="s">
        <v>369</v>
      </c>
      <c r="B34" t="s">
        <v>292</v>
      </c>
      <c r="C34" s="5">
        <f>SUMIF(Banque!$F:$F,"="&amp;$B34,Banque!I:I)*-1</f>
        <v>-78.16</v>
      </c>
      <c r="D34" s="5">
        <f>SUMIF(Banque!$F:$F,"="&amp;$B34,Banque!J:J)</f>
        <v>0</v>
      </c>
      <c r="E34" s="5">
        <f>SUMIFS(Banque!I:I,Banque!$F:$F,"="&amp;$B34,Banque!$D:$D,"=1")*-1</f>
        <v>0</v>
      </c>
      <c r="F34" s="5">
        <f>SUMIF(Compta!$D:$D,"="&amp;$B34,Compta!F:F)*-1</f>
        <v>-78.16</v>
      </c>
      <c r="G34" s="5">
        <f>SUMIFS(Banque!J:J,Banque!$F:$F,"="&amp;$B34,Banque!$D:$D,"=1")</f>
        <v>0</v>
      </c>
      <c r="H34" s="5">
        <f>SUMIF(Compta!$D:$D,"="&amp;$B34,Compta!G:G)</f>
        <v>0</v>
      </c>
      <c r="I34" s="8">
        <f t="shared" ref="I34:I65" si="1">SUM(E34:H34)-SUM(C34:D34)</f>
        <v>0</v>
      </c>
    </row>
    <row r="35" spans="1:9" x14ac:dyDescent="0.25">
      <c r="A35" t="s">
        <v>369</v>
      </c>
      <c r="B35" t="s">
        <v>330</v>
      </c>
      <c r="C35" s="5">
        <f>SUMIF(Banque!$F:$F,"="&amp;$B35,Banque!I:I)*-1</f>
        <v>0</v>
      </c>
      <c r="D35" s="5">
        <f>SUMIF(Banque!$F:$F,"="&amp;$B35,Banque!J:J)</f>
        <v>0</v>
      </c>
      <c r="E35" s="5">
        <f>SUMIFS(Banque!I:I,Banque!$F:$F,"="&amp;$B35,Banque!$D:$D,"=1")*-1</f>
        <v>0</v>
      </c>
      <c r="F35" s="5">
        <f>SUMIF(Compta!$D:$D,"="&amp;$B35,Compta!F:F)*-1</f>
        <v>0</v>
      </c>
      <c r="G35" s="5">
        <f>SUMIFS(Banque!J:J,Banque!$F:$F,"="&amp;$B35,Banque!$D:$D,"=1")</f>
        <v>0</v>
      </c>
      <c r="H35" s="5">
        <f>SUMIF(Compta!$D:$D,"="&amp;$B35,Compta!G:G)</f>
        <v>0</v>
      </c>
      <c r="I35" s="8">
        <f t="shared" si="1"/>
        <v>0</v>
      </c>
    </row>
    <row r="36" spans="1:9" x14ac:dyDescent="0.25">
      <c r="A36" t="s">
        <v>369</v>
      </c>
      <c r="B36" t="s">
        <v>336</v>
      </c>
      <c r="C36" s="5">
        <f>SUMIF(Banque!$F:$F,"="&amp;$B36,Banque!I:I)*-1</f>
        <v>0</v>
      </c>
      <c r="D36" s="5">
        <f>SUMIF(Banque!$F:$F,"="&amp;$B36,Banque!J:J)</f>
        <v>0</v>
      </c>
      <c r="E36" s="5">
        <f>SUMIFS(Banque!I:I,Banque!$F:$F,"="&amp;$B36,Banque!$D:$D,"=1")*-1</f>
        <v>0</v>
      </c>
      <c r="F36" s="5">
        <f>SUMIF(Compta!$D:$D,"="&amp;$B36,Compta!F:F)*-1</f>
        <v>0</v>
      </c>
      <c r="G36" s="5">
        <f>SUMIFS(Banque!J:J,Banque!$F:$F,"="&amp;$B36,Banque!$D:$D,"=1")</f>
        <v>0</v>
      </c>
      <c r="H36" s="5">
        <f>SUMIF(Compta!$D:$D,"="&amp;$B36,Compta!G:G)</f>
        <v>0</v>
      </c>
      <c r="I36" s="8">
        <f t="shared" si="1"/>
        <v>0</v>
      </c>
    </row>
    <row r="37" spans="1:9" x14ac:dyDescent="0.25">
      <c r="A37" t="s">
        <v>369</v>
      </c>
      <c r="B37" t="s">
        <v>361</v>
      </c>
      <c r="C37" s="5">
        <f>SUMIF(Banque!$F:$F,"="&amp;$B37,Banque!I:I)*-1</f>
        <v>0</v>
      </c>
      <c r="D37" s="5">
        <f>SUMIF(Banque!$F:$F,"="&amp;$B37,Banque!J:J)</f>
        <v>0</v>
      </c>
      <c r="E37" s="5">
        <f>SUMIFS(Banque!I:I,Banque!$F:$F,"="&amp;$B37,Banque!$D:$D,"=1")*-1</f>
        <v>0</v>
      </c>
      <c r="F37" s="5">
        <f>SUMIF(Compta!$D:$D,"="&amp;$B37,Compta!F:F)*-1</f>
        <v>0</v>
      </c>
      <c r="G37" s="5">
        <f>SUMIFS(Banque!J:J,Banque!$F:$F,"="&amp;$B37,Banque!$D:$D,"=1")</f>
        <v>0</v>
      </c>
      <c r="H37" s="5">
        <f>SUMIF(Compta!$D:$D,"="&amp;$B37,Compta!G:G)</f>
        <v>0</v>
      </c>
      <c r="I37" s="8">
        <f t="shared" si="1"/>
        <v>0</v>
      </c>
    </row>
    <row r="38" spans="1:9" x14ac:dyDescent="0.25">
      <c r="A38" t="s">
        <v>369</v>
      </c>
      <c r="B38" t="s">
        <v>260</v>
      </c>
      <c r="C38" s="5">
        <f>SUMIF(Banque!$F:$F,"="&amp;$B38,Banque!I:I)*-1</f>
        <v>-430.32</v>
      </c>
      <c r="D38" s="5">
        <f>SUMIF(Banque!$F:$F,"="&amp;$B38,Banque!J:J)</f>
        <v>0</v>
      </c>
      <c r="E38" s="5">
        <f>SUMIFS(Banque!I:I,Banque!$F:$F,"="&amp;$B38,Banque!$D:$D,"=1")*-1</f>
        <v>-430.32</v>
      </c>
      <c r="F38" s="5">
        <f>SUMIF(Compta!$D:$D,"="&amp;$B38,Compta!F:F)*-1</f>
        <v>0</v>
      </c>
      <c r="G38" s="5">
        <f>SUMIFS(Banque!J:J,Banque!$F:$F,"="&amp;$B38,Banque!$D:$D,"=1")</f>
        <v>0</v>
      </c>
      <c r="H38" s="5">
        <f>SUMIF(Compta!$D:$D,"="&amp;$B38,Compta!G:G)</f>
        <v>0</v>
      </c>
      <c r="I38" s="8">
        <f t="shared" si="1"/>
        <v>0</v>
      </c>
    </row>
    <row r="39" spans="1:9" x14ac:dyDescent="0.25">
      <c r="A39" t="s">
        <v>369</v>
      </c>
      <c r="B39" t="s">
        <v>323</v>
      </c>
      <c r="C39" s="5">
        <f>SUMIF(Banque!$F:$F,"="&amp;$B39,Banque!I:I)*-1</f>
        <v>0</v>
      </c>
      <c r="D39" s="5">
        <f>SUMIF(Banque!$F:$F,"="&amp;$B39,Banque!J:J)</f>
        <v>0</v>
      </c>
      <c r="E39" s="5">
        <f>SUMIFS(Banque!I:I,Banque!$F:$F,"="&amp;$B39,Banque!$D:$D,"=1")*-1</f>
        <v>0</v>
      </c>
      <c r="F39" s="5">
        <f>SUMIF(Compta!$D:$D,"="&amp;$B39,Compta!F:F)*-1</f>
        <v>0</v>
      </c>
      <c r="G39" s="5">
        <f>SUMIFS(Banque!J:J,Banque!$F:$F,"="&amp;$B39,Banque!$D:$D,"=1")</f>
        <v>0</v>
      </c>
      <c r="H39" s="5">
        <f>SUMIF(Compta!$D:$D,"="&amp;$B39,Compta!G:G)</f>
        <v>0</v>
      </c>
      <c r="I39" s="8">
        <f t="shared" si="1"/>
        <v>0</v>
      </c>
    </row>
    <row r="40" spans="1:9" x14ac:dyDescent="0.25">
      <c r="A40" t="s">
        <v>369</v>
      </c>
      <c r="B40" t="s">
        <v>342</v>
      </c>
      <c r="C40" s="5">
        <f>SUMIF(Banque!$F:$F,"="&amp;$B40,Banque!I:I)*-1</f>
        <v>0</v>
      </c>
      <c r="D40" s="5">
        <f>SUMIF(Banque!$F:$F,"="&amp;$B40,Banque!J:J)</f>
        <v>0</v>
      </c>
      <c r="E40" s="5">
        <f>SUMIFS(Banque!I:I,Banque!$F:$F,"="&amp;$B40,Banque!$D:$D,"=1")*-1</f>
        <v>0</v>
      </c>
      <c r="F40" s="5">
        <f>SUMIF(Compta!$D:$D,"="&amp;$B40,Compta!F:F)*-1</f>
        <v>0</v>
      </c>
      <c r="G40" s="5">
        <f>SUMIFS(Banque!J:J,Banque!$F:$F,"="&amp;$B40,Banque!$D:$D,"=1")</f>
        <v>0</v>
      </c>
      <c r="H40" s="5">
        <f>SUMIF(Compta!$D:$D,"="&amp;$B40,Compta!G:G)</f>
        <v>0</v>
      </c>
      <c r="I40" s="8">
        <f t="shared" si="1"/>
        <v>0</v>
      </c>
    </row>
    <row r="41" spans="1:9" x14ac:dyDescent="0.25">
      <c r="A41" t="s">
        <v>369</v>
      </c>
      <c r="B41" t="s">
        <v>437</v>
      </c>
      <c r="C41" s="5">
        <f>SUMIF(Banque!$F:$F,"="&amp;$B41,Banque!I:I)*-1</f>
        <v>-495.42</v>
      </c>
      <c r="D41" s="5">
        <f>SUMIF(Banque!$F:$F,"="&amp;$B41,Banque!J:J)</f>
        <v>0</v>
      </c>
      <c r="E41" s="5">
        <f>SUMIFS(Banque!I:I,Banque!$F:$F,"="&amp;$B41,Banque!$D:$D,"=1")*-1</f>
        <v>-495.42</v>
      </c>
      <c r="F41" s="5">
        <f>SUMIF(Compta!$D:$D,"="&amp;$B41,Compta!F:F)*-1</f>
        <v>-252</v>
      </c>
      <c r="G41" s="5">
        <f>SUMIFS(Banque!J:J,Banque!$F:$F,"="&amp;$B41,Banque!$D:$D,"=1")</f>
        <v>0</v>
      </c>
      <c r="H41" s="5">
        <f>SUMIF(Compta!$D:$D,"="&amp;$B41,Compta!G:G)</f>
        <v>0</v>
      </c>
      <c r="I41" s="8">
        <f t="shared" si="1"/>
        <v>-252.00000000000006</v>
      </c>
    </row>
    <row r="42" spans="1:9" x14ac:dyDescent="0.25">
      <c r="A42" t="s">
        <v>369</v>
      </c>
      <c r="B42" t="s">
        <v>340</v>
      </c>
      <c r="C42" s="5">
        <f>SUMIF(Banque!$F:$F,"="&amp;$B42,Banque!I:I)*-1</f>
        <v>0</v>
      </c>
      <c r="D42" s="5">
        <f>SUMIF(Banque!$F:$F,"="&amp;$B42,Banque!J:J)</f>
        <v>0</v>
      </c>
      <c r="E42" s="5">
        <f>SUMIFS(Banque!I:I,Banque!$F:$F,"="&amp;$B42,Banque!$D:$D,"=1")*-1</f>
        <v>0</v>
      </c>
      <c r="F42" s="5">
        <f>SUMIF(Compta!$D:$D,"="&amp;$B42,Compta!F:F)*-1</f>
        <v>0</v>
      </c>
      <c r="G42" s="5">
        <f>SUMIFS(Banque!J:J,Banque!$F:$F,"="&amp;$B42,Banque!$D:$D,"=1")</f>
        <v>0</v>
      </c>
      <c r="H42" s="5">
        <f>SUMIF(Compta!$D:$D,"="&amp;$B42,Compta!G:G)</f>
        <v>0</v>
      </c>
      <c r="I42" s="8">
        <f t="shared" si="1"/>
        <v>0</v>
      </c>
    </row>
    <row r="43" spans="1:9" x14ac:dyDescent="0.25">
      <c r="A43" t="s">
        <v>369</v>
      </c>
      <c r="B43" t="s">
        <v>280</v>
      </c>
      <c r="C43" s="5">
        <f>SUMIF(Banque!$F:$F,"="&amp;$B43,Banque!I:I)*-1</f>
        <v>-961.2</v>
      </c>
      <c r="D43" s="5">
        <f>SUMIF(Banque!$F:$F,"="&amp;$B43,Banque!J:J)</f>
        <v>0</v>
      </c>
      <c r="E43" s="5">
        <f>SUMIFS(Banque!I:I,Banque!$F:$F,"="&amp;$B43,Banque!$D:$D,"=1")*-1</f>
        <v>0</v>
      </c>
      <c r="F43" s="5">
        <f>SUMIF(Compta!$D:$D,"="&amp;$B43,Compta!F:F)*-1</f>
        <v>-961.2</v>
      </c>
      <c r="G43" s="5">
        <f>SUMIFS(Banque!J:J,Banque!$F:$F,"="&amp;$B43,Banque!$D:$D,"=1")</f>
        <v>0</v>
      </c>
      <c r="H43" s="5">
        <f>SUMIF(Compta!$D:$D,"="&amp;$B43,Compta!G:G)</f>
        <v>0</v>
      </c>
      <c r="I43" s="8">
        <f t="shared" si="1"/>
        <v>0</v>
      </c>
    </row>
    <row r="44" spans="1:9" x14ac:dyDescent="0.25">
      <c r="A44" t="s">
        <v>369</v>
      </c>
      <c r="B44" t="s">
        <v>290</v>
      </c>
      <c r="C44" s="5">
        <f>SUMIF(Banque!$F:$F,"="&amp;$B44,Banque!I:I)*-1</f>
        <v>0</v>
      </c>
      <c r="D44" s="5">
        <f>SUMIF(Banque!$F:$F,"="&amp;$B44,Banque!J:J)</f>
        <v>0</v>
      </c>
      <c r="E44" s="5">
        <f>SUMIFS(Banque!I:I,Banque!$F:$F,"="&amp;$B44,Banque!$D:$D,"=1")*-1</f>
        <v>0</v>
      </c>
      <c r="F44" s="5">
        <f>SUMIF(Compta!$D:$D,"="&amp;$B44,Compta!F:F)*-1</f>
        <v>0</v>
      </c>
      <c r="G44" s="5">
        <f>SUMIFS(Banque!J:J,Banque!$F:$F,"="&amp;$B44,Banque!$D:$D,"=1")</f>
        <v>0</v>
      </c>
      <c r="H44" s="5">
        <f>SUMIF(Compta!$D:$D,"="&amp;$B44,Compta!G:G)</f>
        <v>0</v>
      </c>
      <c r="I44" s="8">
        <f t="shared" si="1"/>
        <v>0</v>
      </c>
    </row>
    <row r="45" spans="1:9" x14ac:dyDescent="0.25">
      <c r="A45" t="s">
        <v>369</v>
      </c>
      <c r="B45" t="s">
        <v>353</v>
      </c>
      <c r="C45" s="5">
        <f>SUMIF(Banque!$F:$F,"="&amp;$B45,Banque!I:I)*-1</f>
        <v>0</v>
      </c>
      <c r="D45" s="5">
        <f>SUMIF(Banque!$F:$F,"="&amp;$B45,Banque!J:J)</f>
        <v>0</v>
      </c>
      <c r="E45" s="5">
        <f>SUMIFS(Banque!I:I,Banque!$F:$F,"="&amp;$B45,Banque!$D:$D,"=1")*-1</f>
        <v>0</v>
      </c>
      <c r="F45" s="5">
        <f>SUMIF(Compta!$D:$D,"="&amp;$B45,Compta!F:F)*-1</f>
        <v>0</v>
      </c>
      <c r="G45" s="5">
        <f>SUMIFS(Banque!J:J,Banque!$F:$F,"="&amp;$B45,Banque!$D:$D,"=1")</f>
        <v>0</v>
      </c>
      <c r="H45" s="5">
        <f>SUMIF(Compta!$D:$D,"="&amp;$B45,Compta!G:G)</f>
        <v>0</v>
      </c>
      <c r="I45" s="8">
        <f t="shared" si="1"/>
        <v>0</v>
      </c>
    </row>
    <row r="46" spans="1:9" x14ac:dyDescent="0.25">
      <c r="A46" t="s">
        <v>369</v>
      </c>
      <c r="B46" t="s">
        <v>428</v>
      </c>
      <c r="C46" s="5">
        <f>SUMIF(Banque!$F:$F,"="&amp;$B46,Banque!I:I)*-1</f>
        <v>0</v>
      </c>
      <c r="D46" s="5">
        <f>SUMIF(Banque!$F:$F,"="&amp;$B46,Banque!J:J)</f>
        <v>0</v>
      </c>
      <c r="E46" s="5">
        <f>SUMIFS(Banque!I:I,Banque!$F:$F,"="&amp;$B46,Banque!$D:$D,"=1")*-1</f>
        <v>0</v>
      </c>
      <c r="F46" s="5">
        <f>SUMIF(Compta!$D:$D,"="&amp;$B46,Compta!F:F)*-1</f>
        <v>0</v>
      </c>
      <c r="G46" s="5">
        <f>SUMIFS(Banque!J:J,Banque!$F:$F,"="&amp;$B46,Banque!$D:$D,"=1")</f>
        <v>0</v>
      </c>
      <c r="H46" s="5">
        <f>SUMIF(Compta!$D:$D,"="&amp;$B46,Compta!G:G)</f>
        <v>0</v>
      </c>
      <c r="I46" s="8">
        <f t="shared" si="1"/>
        <v>0</v>
      </c>
    </row>
    <row r="47" spans="1:9" x14ac:dyDescent="0.25">
      <c r="A47" t="s">
        <v>369</v>
      </c>
      <c r="B47" t="s">
        <v>356</v>
      </c>
      <c r="C47" s="5">
        <f>SUMIF(Banque!$F:$F,"="&amp;$B47,Banque!I:I)*-1</f>
        <v>0</v>
      </c>
      <c r="D47" s="5">
        <f>SUMIF(Banque!$F:$F,"="&amp;$B47,Banque!J:J)</f>
        <v>0</v>
      </c>
      <c r="E47" s="5">
        <f>SUMIFS(Banque!I:I,Banque!$F:$F,"="&amp;$B47,Banque!$D:$D,"=1")*-1</f>
        <v>0</v>
      </c>
      <c r="F47" s="5">
        <f>SUMIF(Compta!$D:$D,"="&amp;$B47,Compta!F:F)*-1</f>
        <v>0</v>
      </c>
      <c r="G47" s="5">
        <f>SUMIFS(Banque!J:J,Banque!$F:$F,"="&amp;$B47,Banque!$D:$D,"=1")</f>
        <v>0</v>
      </c>
      <c r="H47" s="5">
        <f>SUMIF(Compta!$D:$D,"="&amp;$B47,Compta!G:G)</f>
        <v>0</v>
      </c>
      <c r="I47" s="8">
        <f t="shared" si="1"/>
        <v>0</v>
      </c>
    </row>
    <row r="48" spans="1:9" x14ac:dyDescent="0.25">
      <c r="A48" t="s">
        <v>369</v>
      </c>
      <c r="B48" t="s">
        <v>297</v>
      </c>
      <c r="C48" s="5">
        <f>SUMIF(Banque!$F:$F,"="&amp;$B48,Banque!I:I)*-1</f>
        <v>-37</v>
      </c>
      <c r="D48" s="5">
        <f>SUMIF(Banque!$F:$F,"="&amp;$B48,Banque!J:J)</f>
        <v>0</v>
      </c>
      <c r="E48" s="5">
        <f>SUMIFS(Banque!I:I,Banque!$F:$F,"="&amp;$B48,Banque!$D:$D,"=1")*-1</f>
        <v>0</v>
      </c>
      <c r="F48" s="5">
        <f>SUMIF(Compta!$D:$D,"="&amp;$B48,Compta!F:F)*-1</f>
        <v>-37</v>
      </c>
      <c r="G48" s="5">
        <f>SUMIFS(Banque!J:J,Banque!$F:$F,"="&amp;$B48,Banque!$D:$D,"=1")</f>
        <v>0</v>
      </c>
      <c r="H48" s="5">
        <f>SUMIF(Compta!$D:$D,"="&amp;$B48,Compta!G:G)</f>
        <v>0</v>
      </c>
      <c r="I48" s="8">
        <f t="shared" si="1"/>
        <v>0</v>
      </c>
    </row>
    <row r="49" spans="1:9" x14ac:dyDescent="0.25">
      <c r="A49" t="s">
        <v>369</v>
      </c>
      <c r="B49" t="s">
        <v>350</v>
      </c>
      <c r="C49" s="5">
        <f>SUMIF(Banque!$F:$F,"="&amp;$B49,Banque!I:I)*-1</f>
        <v>0</v>
      </c>
      <c r="D49" s="5">
        <f>SUMIF(Banque!$F:$F,"="&amp;$B49,Banque!J:J)</f>
        <v>0</v>
      </c>
      <c r="E49" s="5">
        <f>SUMIFS(Banque!I:I,Banque!$F:$F,"="&amp;$B49,Banque!$D:$D,"=1")*-1</f>
        <v>0</v>
      </c>
      <c r="F49" s="5">
        <f>SUMIF(Compta!$D:$D,"="&amp;$B49,Compta!F:F)*-1</f>
        <v>0</v>
      </c>
      <c r="G49" s="5">
        <f>SUMIFS(Banque!J:J,Banque!$F:$F,"="&amp;$B49,Banque!$D:$D,"=1")</f>
        <v>0</v>
      </c>
      <c r="H49" s="5">
        <f>SUMIF(Compta!$D:$D,"="&amp;$B49,Compta!G:G)</f>
        <v>0</v>
      </c>
      <c r="I49" s="8">
        <f t="shared" si="1"/>
        <v>0</v>
      </c>
    </row>
    <row r="50" spans="1:9" x14ac:dyDescent="0.25">
      <c r="A50" t="s">
        <v>369</v>
      </c>
      <c r="B50" t="s">
        <v>357</v>
      </c>
      <c r="C50" s="5">
        <f>SUMIF(Banque!$F:$F,"="&amp;$B50,Banque!I:I)*-1</f>
        <v>-409.85</v>
      </c>
      <c r="D50" s="5">
        <f>SUMIF(Banque!$F:$F,"="&amp;$B50,Banque!J:J)</f>
        <v>0</v>
      </c>
      <c r="E50" s="5">
        <f>SUMIFS(Banque!I:I,Banque!$F:$F,"="&amp;$B50,Banque!$D:$D,"=1")*-1</f>
        <v>-409.85</v>
      </c>
      <c r="F50" s="5">
        <f>SUMIF(Compta!$D:$D,"="&amp;$B50,Compta!F:F)*-1</f>
        <v>-206.94</v>
      </c>
      <c r="G50" s="5">
        <f>SUMIFS(Banque!J:J,Banque!$F:$F,"="&amp;$B50,Banque!$D:$D,"=1")</f>
        <v>0</v>
      </c>
      <c r="H50" s="5">
        <f>SUMIF(Compta!$D:$D,"="&amp;$B50,Compta!G:G)</f>
        <v>0</v>
      </c>
      <c r="I50" s="8">
        <f t="shared" si="1"/>
        <v>-206.93999999999994</v>
      </c>
    </row>
    <row r="51" spans="1:9" x14ac:dyDescent="0.25">
      <c r="A51" t="s">
        <v>369</v>
      </c>
      <c r="B51" t="s">
        <v>299</v>
      </c>
      <c r="C51" s="5">
        <f>SUMIF(Banque!$F:$F,"="&amp;$B51,Banque!I:I)*-1</f>
        <v>-348</v>
      </c>
      <c r="D51" s="5">
        <f>SUMIF(Banque!$F:$F,"="&amp;$B51,Banque!J:J)</f>
        <v>0</v>
      </c>
      <c r="E51" s="5">
        <f>SUMIFS(Banque!I:I,Banque!$F:$F,"="&amp;$B51,Banque!$D:$D,"=1")*-1</f>
        <v>0</v>
      </c>
      <c r="F51" s="5">
        <f>SUMIF(Compta!$D:$D,"="&amp;$B51,Compta!F:F)*-1</f>
        <v>-348</v>
      </c>
      <c r="G51" s="5">
        <f>SUMIFS(Banque!J:J,Banque!$F:$F,"="&amp;$B51,Banque!$D:$D,"=1")</f>
        <v>0</v>
      </c>
      <c r="H51" s="5">
        <f>SUMIF(Compta!$D:$D,"="&amp;$B51,Compta!G:G)</f>
        <v>0</v>
      </c>
      <c r="I51" s="8">
        <f t="shared" si="1"/>
        <v>0</v>
      </c>
    </row>
    <row r="52" spans="1:9" x14ac:dyDescent="0.25">
      <c r="A52" t="s">
        <v>369</v>
      </c>
      <c r="B52" t="s">
        <v>375</v>
      </c>
      <c r="C52" s="5">
        <f>SUMIF(Banque!$F:$F,"="&amp;$B52,Banque!I:I)*-1</f>
        <v>-1674.3300000000002</v>
      </c>
      <c r="D52" s="5">
        <f>SUMIF(Banque!$F:$F,"="&amp;$B52,Banque!J:J)</f>
        <v>0</v>
      </c>
      <c r="E52" s="5">
        <f>SUMIFS(Banque!I:I,Banque!$F:$F,"="&amp;$B52,Banque!$D:$D,"=1")*-1</f>
        <v>-1168.9000000000001</v>
      </c>
      <c r="F52" s="5">
        <f>SUMIF(Compta!$D:$D,"="&amp;$B52,Compta!F:F)*-1</f>
        <v>-505.43</v>
      </c>
      <c r="G52" s="5">
        <f>SUMIFS(Banque!J:J,Banque!$F:$F,"="&amp;$B52,Banque!$D:$D,"=1")</f>
        <v>0</v>
      </c>
      <c r="H52" s="5">
        <f>SUMIF(Compta!$D:$D,"="&amp;$B52,Compta!G:G)</f>
        <v>0</v>
      </c>
      <c r="I52" s="8">
        <f t="shared" si="1"/>
        <v>0</v>
      </c>
    </row>
    <row r="53" spans="1:9" x14ac:dyDescent="0.25">
      <c r="A53" t="s">
        <v>369</v>
      </c>
      <c r="B53" t="s">
        <v>261</v>
      </c>
      <c r="C53" s="5">
        <f>SUMIF(Banque!$F:$F,"="&amp;$B53,Banque!I:I)*-1</f>
        <v>-3086.4</v>
      </c>
      <c r="D53" s="5">
        <f>SUMIF(Banque!$F:$F,"="&amp;$B53,Banque!J:J)</f>
        <v>0</v>
      </c>
      <c r="E53" s="5">
        <f>SUMIFS(Banque!I:I,Banque!$F:$F,"="&amp;$B53,Banque!$D:$D,"=1")*-1</f>
        <v>0</v>
      </c>
      <c r="F53" s="5">
        <f>SUMIF(Compta!$D:$D,"="&amp;$B53,Compta!F:F)*-1</f>
        <v>-9734.4</v>
      </c>
      <c r="G53" s="5">
        <f>SUMIFS(Banque!J:J,Banque!$F:$F,"="&amp;$B53,Banque!$D:$D,"=1")</f>
        <v>0</v>
      </c>
      <c r="H53" s="5">
        <f>SUMIF(Compta!$D:$D,"="&amp;$B53,Compta!G:G)</f>
        <v>0</v>
      </c>
      <c r="I53" s="8">
        <f t="shared" si="1"/>
        <v>-6648</v>
      </c>
    </row>
    <row r="54" spans="1:9" x14ac:dyDescent="0.25">
      <c r="A54" t="s">
        <v>369</v>
      </c>
      <c r="B54" t="s">
        <v>279</v>
      </c>
      <c r="C54" s="5">
        <f>SUMIF(Banque!$F:$F,"="&amp;$B54,Banque!I:I)*-1</f>
        <v>-1330.73</v>
      </c>
      <c r="D54" s="5">
        <f>SUMIF(Banque!$F:$F,"="&amp;$B54,Banque!J:J)</f>
        <v>0</v>
      </c>
      <c r="E54" s="5">
        <f>SUMIFS(Banque!I:I,Banque!$F:$F,"="&amp;$B54,Banque!$D:$D,"=1")*-1</f>
        <v>0</v>
      </c>
      <c r="F54" s="5">
        <f>SUMIF(Compta!$D:$D,"="&amp;$B54,Compta!F:F)*-1</f>
        <v>-1330.73</v>
      </c>
      <c r="G54" s="5">
        <f>SUMIFS(Banque!J:J,Banque!$F:$F,"="&amp;$B54,Banque!$D:$D,"=1")</f>
        <v>0</v>
      </c>
      <c r="H54" s="5">
        <f>SUMIF(Compta!$D:$D,"="&amp;$B54,Compta!G:G)</f>
        <v>0</v>
      </c>
      <c r="I54" s="8">
        <f t="shared" si="1"/>
        <v>0</v>
      </c>
    </row>
    <row r="55" spans="1:9" x14ac:dyDescent="0.25">
      <c r="A55" t="s">
        <v>369</v>
      </c>
      <c r="B55" t="s">
        <v>341</v>
      </c>
      <c r="C55" s="5">
        <f>SUMIF(Banque!$F:$F,"="&amp;$B55,Banque!I:I)*-1</f>
        <v>0</v>
      </c>
      <c r="D55" s="5">
        <f>SUMIF(Banque!$F:$F,"="&amp;$B55,Banque!J:J)</f>
        <v>0</v>
      </c>
      <c r="E55" s="5">
        <f>SUMIFS(Banque!I:I,Banque!$F:$F,"="&amp;$B55,Banque!$D:$D,"=1")*-1</f>
        <v>0</v>
      </c>
      <c r="F55" s="5">
        <f>SUMIF(Compta!$D:$D,"="&amp;$B55,Compta!F:F)*-1</f>
        <v>0</v>
      </c>
      <c r="G55" s="5">
        <f>SUMIFS(Banque!J:J,Banque!$F:$F,"="&amp;$B55,Banque!$D:$D,"=1")</f>
        <v>0</v>
      </c>
      <c r="H55" s="5">
        <f>SUMIF(Compta!$D:$D,"="&amp;$B55,Compta!G:G)</f>
        <v>0</v>
      </c>
      <c r="I55" s="8">
        <f t="shared" si="1"/>
        <v>0</v>
      </c>
    </row>
    <row r="56" spans="1:9" x14ac:dyDescent="0.25">
      <c r="A56" t="s">
        <v>369</v>
      </c>
      <c r="B56" t="s">
        <v>365</v>
      </c>
      <c r="C56" s="5">
        <f>SUMIF(Banque!$F:$F,"="&amp;$B56,Banque!I:I)*-1</f>
        <v>0</v>
      </c>
      <c r="D56" s="5">
        <f>SUMIF(Banque!$F:$F,"="&amp;$B56,Banque!J:J)</f>
        <v>0</v>
      </c>
      <c r="E56" s="5">
        <f>SUMIFS(Banque!I:I,Banque!$F:$F,"="&amp;$B56,Banque!$D:$D,"=1")*-1</f>
        <v>0</v>
      </c>
      <c r="F56" s="5">
        <f>SUMIF(Compta!$D:$D,"="&amp;$B56,Compta!F:F)*-1</f>
        <v>0</v>
      </c>
      <c r="G56" s="5">
        <f>SUMIFS(Banque!J:J,Banque!$F:$F,"="&amp;$B56,Banque!$D:$D,"=1")</f>
        <v>0</v>
      </c>
      <c r="H56" s="5">
        <f>SUMIF(Compta!$D:$D,"="&amp;$B56,Compta!G:G)</f>
        <v>0</v>
      </c>
      <c r="I56" s="8">
        <f t="shared" si="1"/>
        <v>0</v>
      </c>
    </row>
    <row r="57" spans="1:9" x14ac:dyDescent="0.25">
      <c r="A57" t="s">
        <v>369</v>
      </c>
      <c r="B57" t="s">
        <v>289</v>
      </c>
      <c r="C57" s="5">
        <f>SUMIF(Banque!$F:$F,"="&amp;$B57,Banque!I:I)*-1</f>
        <v>-3894.0600000000004</v>
      </c>
      <c r="D57" s="5">
        <f>SUMIF(Banque!$F:$F,"="&amp;$B57,Banque!J:J)</f>
        <v>0</v>
      </c>
      <c r="E57" s="5">
        <f>SUMIFS(Banque!I:I,Banque!$F:$F,"="&amp;$B57,Banque!$D:$D,"=1")*-1</f>
        <v>0</v>
      </c>
      <c r="F57" s="5">
        <f>SUMIF(Compta!$D:$D,"="&amp;$B57,Compta!F:F)*-1</f>
        <v>-4081.5000000000005</v>
      </c>
      <c r="G57" s="5">
        <f>SUMIFS(Banque!J:J,Banque!$F:$F,"="&amp;$B57,Banque!$D:$D,"=1")</f>
        <v>0</v>
      </c>
      <c r="H57" s="5">
        <f>SUMIF(Compta!$D:$D,"="&amp;$B57,Compta!G:G)</f>
        <v>0</v>
      </c>
      <c r="I57" s="8">
        <f t="shared" si="1"/>
        <v>-187.44000000000005</v>
      </c>
    </row>
    <row r="58" spans="1:9" x14ac:dyDescent="0.25">
      <c r="A58" t="s">
        <v>369</v>
      </c>
      <c r="B58" t="s">
        <v>345</v>
      </c>
      <c r="C58" s="5">
        <f>SUMIF(Banque!$F:$F,"="&amp;$B58,Banque!I:I)*-1</f>
        <v>0</v>
      </c>
      <c r="D58" s="5">
        <f>SUMIF(Banque!$F:$F,"="&amp;$B58,Banque!J:J)</f>
        <v>0</v>
      </c>
      <c r="E58" s="5">
        <f>SUMIFS(Banque!I:I,Banque!$F:$F,"="&amp;$B58,Banque!$D:$D,"=1")*-1</f>
        <v>0</v>
      </c>
      <c r="F58" s="5">
        <f>SUMIF(Compta!$D:$D,"="&amp;$B58,Compta!F:F)*-1</f>
        <v>0</v>
      </c>
      <c r="G58" s="5">
        <f>SUMIFS(Banque!J:J,Banque!$F:$F,"="&amp;$B58,Banque!$D:$D,"=1")</f>
        <v>0</v>
      </c>
      <c r="H58" s="5">
        <f>SUMIF(Compta!$D:$D,"="&amp;$B58,Compta!G:G)</f>
        <v>0</v>
      </c>
      <c r="I58" s="8">
        <f t="shared" si="1"/>
        <v>0</v>
      </c>
    </row>
    <row r="59" spans="1:9" x14ac:dyDescent="0.25">
      <c r="A59" t="s">
        <v>369</v>
      </c>
      <c r="B59" t="s">
        <v>349</v>
      </c>
      <c r="C59" s="5">
        <f>SUMIF(Banque!$F:$F,"="&amp;$B59,Banque!I:I)*-1</f>
        <v>0</v>
      </c>
      <c r="D59" s="5">
        <f>SUMIF(Banque!$F:$F,"="&amp;$B59,Banque!J:J)</f>
        <v>0</v>
      </c>
      <c r="E59" s="5">
        <f>SUMIFS(Banque!I:I,Banque!$F:$F,"="&amp;$B59,Banque!$D:$D,"=1")*-1</f>
        <v>0</v>
      </c>
      <c r="F59" s="5">
        <f>SUMIF(Compta!$D:$D,"="&amp;$B59,Compta!F:F)*-1</f>
        <v>0</v>
      </c>
      <c r="G59" s="5">
        <f>SUMIFS(Banque!J:J,Banque!$F:$F,"="&amp;$B59,Banque!$D:$D,"=1")</f>
        <v>0</v>
      </c>
      <c r="H59" s="5">
        <f>SUMIF(Compta!$D:$D,"="&amp;$B59,Compta!G:G)</f>
        <v>0</v>
      </c>
      <c r="I59" s="8">
        <f t="shared" si="1"/>
        <v>0</v>
      </c>
    </row>
    <row r="60" spans="1:9" x14ac:dyDescent="0.25">
      <c r="A60" t="s">
        <v>369</v>
      </c>
      <c r="B60" t="s">
        <v>344</v>
      </c>
      <c r="C60" s="5">
        <f>SUMIF(Banque!$F:$F,"="&amp;$B60,Banque!I:I)*-1</f>
        <v>0</v>
      </c>
      <c r="D60" s="5">
        <f>SUMIF(Banque!$F:$F,"="&amp;$B60,Banque!J:J)</f>
        <v>0</v>
      </c>
      <c r="E60" s="5">
        <f>SUMIFS(Banque!I:I,Banque!$F:$F,"="&amp;$B60,Banque!$D:$D,"=1")*-1</f>
        <v>0</v>
      </c>
      <c r="F60" s="5">
        <f>SUMIF(Compta!$D:$D,"="&amp;$B60,Compta!F:F)*-1</f>
        <v>0</v>
      </c>
      <c r="G60" s="5">
        <f>SUMIFS(Banque!J:J,Banque!$F:$F,"="&amp;$B60,Banque!$D:$D,"=1")</f>
        <v>0</v>
      </c>
      <c r="H60" s="5">
        <f>SUMIF(Compta!$D:$D,"="&amp;$B60,Compta!G:G)</f>
        <v>0</v>
      </c>
      <c r="I60" s="8">
        <f t="shared" si="1"/>
        <v>0</v>
      </c>
    </row>
    <row r="61" spans="1:9" x14ac:dyDescent="0.25">
      <c r="A61" t="s">
        <v>369</v>
      </c>
      <c r="B61" t="s">
        <v>359</v>
      </c>
      <c r="C61" s="5">
        <f>SUMIF(Banque!$F:$F,"="&amp;$B61,Banque!I:I)*-1</f>
        <v>0</v>
      </c>
      <c r="D61" s="5">
        <f>SUMIF(Banque!$F:$F,"="&amp;$B61,Banque!J:J)</f>
        <v>0</v>
      </c>
      <c r="E61" s="5">
        <f>SUMIFS(Banque!I:I,Banque!$F:$F,"="&amp;$B61,Banque!$D:$D,"=1")*-1</f>
        <v>0</v>
      </c>
      <c r="F61" s="5">
        <f>SUMIF(Compta!$D:$D,"="&amp;$B61,Compta!F:F)*-1</f>
        <v>0</v>
      </c>
      <c r="G61" s="5">
        <f>SUMIFS(Banque!J:J,Banque!$F:$F,"="&amp;$B61,Banque!$D:$D,"=1")</f>
        <v>0</v>
      </c>
      <c r="H61" s="5">
        <f>SUMIF(Compta!$D:$D,"="&amp;$B61,Compta!G:G)</f>
        <v>0</v>
      </c>
      <c r="I61" s="8">
        <f t="shared" si="1"/>
        <v>0</v>
      </c>
    </row>
    <row r="62" spans="1:9" x14ac:dyDescent="0.25">
      <c r="A62" t="s">
        <v>369</v>
      </c>
      <c r="B62" t="s">
        <v>277</v>
      </c>
      <c r="C62" s="5">
        <f>SUMIF(Banque!$F:$F,"="&amp;$B62,Banque!I:I)*-1</f>
        <v>-1497.4799999999998</v>
      </c>
      <c r="D62" s="5">
        <f>SUMIF(Banque!$F:$F,"="&amp;$B62,Banque!J:J)</f>
        <v>0</v>
      </c>
      <c r="E62" s="5">
        <f>SUMIFS(Banque!I:I,Banque!$F:$F,"="&amp;$B62,Banque!$D:$D,"=1")*-1</f>
        <v>0</v>
      </c>
      <c r="F62" s="5">
        <f>SUMIF(Compta!$D:$D,"="&amp;$B62,Compta!F:F)*-1</f>
        <v>-2180.7199999999998</v>
      </c>
      <c r="G62" s="5">
        <f>SUMIFS(Banque!J:J,Banque!$F:$F,"="&amp;$B62,Banque!$D:$D,"=1")</f>
        <v>0</v>
      </c>
      <c r="H62" s="5">
        <f>SUMIF(Compta!$D:$D,"="&amp;$B62,Compta!G:G)</f>
        <v>0</v>
      </c>
      <c r="I62" s="8">
        <f t="shared" si="1"/>
        <v>-683.24</v>
      </c>
    </row>
    <row r="63" spans="1:9" x14ac:dyDescent="0.25">
      <c r="A63" t="s">
        <v>369</v>
      </c>
      <c r="B63" t="s">
        <v>274</v>
      </c>
      <c r="C63" s="5">
        <f>SUMIF(Banque!$F:$F,"="&amp;$B63,Banque!I:I)*-1</f>
        <v>-1208.98</v>
      </c>
      <c r="D63" s="5">
        <f>SUMIF(Banque!$F:$F,"="&amp;$B63,Banque!J:J)</f>
        <v>0</v>
      </c>
      <c r="E63" s="5">
        <f>SUMIFS(Banque!I:I,Banque!$F:$F,"="&amp;$B63,Banque!$D:$D,"=1")*-1</f>
        <v>0</v>
      </c>
      <c r="F63" s="5">
        <f>SUMIF(Compta!$D:$D,"="&amp;$B63,Compta!F:F)*-1</f>
        <v>-2774.5</v>
      </c>
      <c r="G63" s="5">
        <f>SUMIFS(Banque!J:J,Banque!$F:$F,"="&amp;$B63,Banque!$D:$D,"=1")</f>
        <v>0</v>
      </c>
      <c r="H63" s="5">
        <f>SUMIF(Compta!$D:$D,"="&amp;$B63,Compta!G:G)</f>
        <v>0</v>
      </c>
      <c r="I63" s="8">
        <f t="shared" si="1"/>
        <v>-1565.52</v>
      </c>
    </row>
    <row r="64" spans="1:9" x14ac:dyDescent="0.25">
      <c r="A64" t="s">
        <v>369</v>
      </c>
      <c r="B64" t="s">
        <v>362</v>
      </c>
      <c r="C64" s="5">
        <f>SUMIF(Banque!$F:$F,"="&amp;$B64,Banque!I:I)*-1</f>
        <v>0</v>
      </c>
      <c r="D64" s="5">
        <f>SUMIF(Banque!$F:$F,"="&amp;$B64,Banque!J:J)</f>
        <v>0</v>
      </c>
      <c r="E64" s="5">
        <f>SUMIFS(Banque!I:I,Banque!$F:$F,"="&amp;$B64,Banque!$D:$D,"=1")*-1</f>
        <v>0</v>
      </c>
      <c r="F64" s="5">
        <f>SUMIF(Compta!$D:$D,"="&amp;$B64,Compta!F:F)*-1</f>
        <v>0</v>
      </c>
      <c r="G64" s="5">
        <f>SUMIFS(Banque!J:J,Banque!$F:$F,"="&amp;$B64,Banque!$D:$D,"=1")</f>
        <v>0</v>
      </c>
      <c r="H64" s="5">
        <f>SUMIF(Compta!$D:$D,"="&amp;$B64,Compta!G:G)</f>
        <v>0</v>
      </c>
      <c r="I64" s="8">
        <f t="shared" si="1"/>
        <v>0</v>
      </c>
    </row>
    <row r="65" spans="1:9" x14ac:dyDescent="0.25">
      <c r="A65" t="s">
        <v>369</v>
      </c>
      <c r="B65" t="s">
        <v>262</v>
      </c>
      <c r="C65" s="5">
        <f>SUMIF(Banque!$F:$F,"="&amp;$B65,Banque!I:I)*-1</f>
        <v>-4751.16</v>
      </c>
      <c r="D65" s="5">
        <f>SUMIF(Banque!$F:$F,"="&amp;$B65,Banque!J:J)</f>
        <v>0</v>
      </c>
      <c r="E65" s="5">
        <f>SUMIFS(Banque!I:I,Banque!$F:$F,"="&amp;$B65,Banque!$D:$D,"=1")*-1</f>
        <v>-501.42</v>
      </c>
      <c r="F65" s="5">
        <f>SUMIF(Compta!$D:$D,"="&amp;$B65,Compta!F:F)*-1</f>
        <v>-8603.7100000000009</v>
      </c>
      <c r="G65" s="5">
        <f>SUMIFS(Banque!J:J,Banque!$F:$F,"="&amp;$B65,Banque!$D:$D,"=1")</f>
        <v>0</v>
      </c>
      <c r="H65" s="5">
        <f>SUMIF(Compta!$D:$D,"="&amp;$B65,Compta!G:G)</f>
        <v>0</v>
      </c>
      <c r="I65" s="8">
        <f t="shared" si="1"/>
        <v>-4353.9700000000012</v>
      </c>
    </row>
    <row r="66" spans="1:9" x14ac:dyDescent="0.25">
      <c r="A66" t="s">
        <v>369</v>
      </c>
      <c r="B66" t="s">
        <v>358</v>
      </c>
      <c r="C66" s="5">
        <f>SUMIF(Banque!$F:$F,"="&amp;$B66,Banque!I:I)*-1</f>
        <v>0</v>
      </c>
      <c r="D66" s="5">
        <f>SUMIF(Banque!$F:$F,"="&amp;$B66,Banque!J:J)</f>
        <v>0</v>
      </c>
      <c r="E66" s="5">
        <f>SUMIFS(Banque!I:I,Banque!$F:$F,"="&amp;$B66,Banque!$D:$D,"=1")*-1</f>
        <v>0</v>
      </c>
      <c r="F66" s="5">
        <f>SUMIF(Compta!$D:$D,"="&amp;$B66,Compta!F:F)*-1</f>
        <v>0</v>
      </c>
      <c r="G66" s="5">
        <f>SUMIFS(Banque!J:J,Banque!$F:$F,"="&amp;$B66,Banque!$D:$D,"=1")</f>
        <v>0</v>
      </c>
      <c r="H66" s="5">
        <f>SUMIF(Compta!$D:$D,"="&amp;$B66,Compta!G:G)</f>
        <v>0</v>
      </c>
      <c r="I66" s="8">
        <f t="shared" ref="I66:I97" si="2">SUM(E66:H66)-SUM(C66:D66)</f>
        <v>0</v>
      </c>
    </row>
    <row r="67" spans="1:9" x14ac:dyDescent="0.25">
      <c r="A67" t="s">
        <v>369</v>
      </c>
      <c r="B67" t="s">
        <v>327</v>
      </c>
      <c r="C67" s="5">
        <f>SUMIF(Banque!$F:$F,"="&amp;$B67,Banque!I:I)*-1</f>
        <v>0</v>
      </c>
      <c r="D67" s="5">
        <f>SUMIF(Banque!$F:$F,"="&amp;$B67,Banque!J:J)</f>
        <v>0</v>
      </c>
      <c r="E67" s="5">
        <f>SUMIFS(Banque!I:I,Banque!$F:$F,"="&amp;$B67,Banque!$D:$D,"=1")*-1</f>
        <v>0</v>
      </c>
      <c r="F67" s="5">
        <f>SUMIF(Compta!$D:$D,"="&amp;$B67,Compta!F:F)*-1</f>
        <v>0</v>
      </c>
      <c r="G67" s="5">
        <f>SUMIFS(Banque!J:J,Banque!$F:$F,"="&amp;$B67,Banque!$D:$D,"=1")</f>
        <v>0</v>
      </c>
      <c r="H67" s="5">
        <f>SUMIF(Compta!$D:$D,"="&amp;$B67,Compta!G:G)</f>
        <v>0</v>
      </c>
      <c r="I67" s="8">
        <f t="shared" si="2"/>
        <v>0</v>
      </c>
    </row>
    <row r="68" spans="1:9" x14ac:dyDescent="0.25">
      <c r="A68" t="s">
        <v>369</v>
      </c>
      <c r="B68" t="s">
        <v>326</v>
      </c>
      <c r="C68" s="5">
        <f>SUMIF(Banque!$F:$F,"="&amp;$B68,Banque!I:I)*-1</f>
        <v>0</v>
      </c>
      <c r="D68" s="5">
        <f>SUMIF(Banque!$F:$F,"="&amp;$B68,Banque!J:J)</f>
        <v>0</v>
      </c>
      <c r="E68" s="5">
        <f>SUMIFS(Banque!I:I,Banque!$F:$F,"="&amp;$B68,Banque!$D:$D,"=1")*-1</f>
        <v>0</v>
      </c>
      <c r="F68" s="5">
        <f>SUMIF(Compta!$D:$D,"="&amp;$B68,Compta!F:F)*-1</f>
        <v>0</v>
      </c>
      <c r="G68" s="5">
        <f>SUMIFS(Banque!J:J,Banque!$F:$F,"="&amp;$B68,Banque!$D:$D,"=1")</f>
        <v>0</v>
      </c>
      <c r="H68" s="5">
        <f>SUMIF(Compta!$D:$D,"="&amp;$B68,Compta!G:G)</f>
        <v>0</v>
      </c>
      <c r="I68" s="8">
        <f t="shared" si="2"/>
        <v>0</v>
      </c>
    </row>
    <row r="69" spans="1:9" x14ac:dyDescent="0.25">
      <c r="A69" t="s">
        <v>369</v>
      </c>
      <c r="B69" t="s">
        <v>376</v>
      </c>
      <c r="C69" s="5">
        <f>SUMIF(Banque!$F:$F,"="&amp;$B69,Banque!I:I)*-1</f>
        <v>-64.28</v>
      </c>
      <c r="D69" s="5">
        <f>SUMIF(Banque!$F:$F,"="&amp;$B69,Banque!J:J)</f>
        <v>0</v>
      </c>
      <c r="E69" s="5">
        <f>SUMIFS(Banque!I:I,Banque!$F:$F,"="&amp;$B69,Banque!$D:$D,"=1")*-1</f>
        <v>-64.28</v>
      </c>
      <c r="F69" s="5">
        <f>SUMIF(Compta!$D:$D,"="&amp;$B69,Compta!F:F)*-1</f>
        <v>0</v>
      </c>
      <c r="G69" s="5">
        <f>SUMIFS(Banque!J:J,Banque!$F:$F,"="&amp;$B69,Banque!$D:$D,"=1")</f>
        <v>0</v>
      </c>
      <c r="H69" s="5">
        <f>SUMIF(Compta!$D:$D,"="&amp;$B69,Compta!G:G)</f>
        <v>0</v>
      </c>
      <c r="I69" s="8">
        <f t="shared" si="2"/>
        <v>0</v>
      </c>
    </row>
    <row r="70" spans="1:9" x14ac:dyDescent="0.25">
      <c r="A70" t="s">
        <v>369</v>
      </c>
      <c r="B70" t="s">
        <v>265</v>
      </c>
      <c r="C70" s="5">
        <f>SUMIF(Banque!$F:$F,"="&amp;$B70,Banque!I:I)*-1</f>
        <v>-1488</v>
      </c>
      <c r="D70" s="5">
        <f>SUMIF(Banque!$F:$F,"="&amp;$B70,Banque!J:J)</f>
        <v>0</v>
      </c>
      <c r="E70" s="5">
        <f>SUMIFS(Banque!I:I,Banque!$F:$F,"="&amp;$B70,Banque!$D:$D,"=1")*-1</f>
        <v>0</v>
      </c>
      <c r="F70" s="5">
        <f>SUMIF(Compta!$D:$D,"="&amp;$B70,Compta!F:F)*-1</f>
        <v>-3264</v>
      </c>
      <c r="G70" s="5">
        <f>SUMIFS(Banque!J:J,Banque!$F:$F,"="&amp;$B70,Banque!$D:$D,"=1")</f>
        <v>0</v>
      </c>
      <c r="H70" s="5">
        <f>SUMIF(Compta!$D:$D,"="&amp;$B70,Compta!G:G)</f>
        <v>0</v>
      </c>
      <c r="I70" s="8">
        <f t="shared" si="2"/>
        <v>-1776</v>
      </c>
    </row>
    <row r="71" spans="1:9" x14ac:dyDescent="0.25">
      <c r="A71" t="s">
        <v>369</v>
      </c>
      <c r="B71" t="s">
        <v>291</v>
      </c>
      <c r="C71" s="5">
        <f>SUMIF(Banque!$F:$F,"="&amp;$B71,Banque!I:I)*-1</f>
        <v>-259.2</v>
      </c>
      <c r="D71" s="5">
        <f>SUMIF(Banque!$F:$F,"="&amp;$B71,Banque!J:J)</f>
        <v>0</v>
      </c>
      <c r="E71" s="5">
        <f>SUMIFS(Banque!I:I,Banque!$F:$F,"="&amp;$B71,Banque!$D:$D,"=1")*-1</f>
        <v>0</v>
      </c>
      <c r="F71" s="5">
        <f>SUMIF(Compta!$D:$D,"="&amp;$B71,Compta!F:F)*-1</f>
        <v>-475.2</v>
      </c>
      <c r="G71" s="5">
        <f>SUMIFS(Banque!J:J,Banque!$F:$F,"="&amp;$B71,Banque!$D:$D,"=1")</f>
        <v>0</v>
      </c>
      <c r="H71" s="5">
        <f>SUMIF(Compta!$D:$D,"="&amp;$B71,Compta!G:G)</f>
        <v>0</v>
      </c>
      <c r="I71" s="8">
        <f t="shared" si="2"/>
        <v>-216</v>
      </c>
    </row>
    <row r="72" spans="1:9" x14ac:dyDescent="0.25">
      <c r="A72" t="s">
        <v>369</v>
      </c>
      <c r="B72" t="s">
        <v>259</v>
      </c>
      <c r="C72" s="5">
        <f>SUMIF(Banque!$F:$F,"="&amp;$B72,Banque!I:I)*-1</f>
        <v>-3808.0299999999997</v>
      </c>
      <c r="D72" s="5">
        <f>SUMIF(Banque!$F:$F,"="&amp;$B72,Banque!J:J)</f>
        <v>0</v>
      </c>
      <c r="E72" s="5">
        <f>SUMIFS(Banque!I:I,Banque!$F:$F,"="&amp;$B72,Banque!$D:$D,"=1")*-1</f>
        <v>0</v>
      </c>
      <c r="F72" s="5">
        <f>SUMIF(Compta!$D:$D,"="&amp;$B72,Compta!F:F)*-1</f>
        <v>-11356.619999999999</v>
      </c>
      <c r="G72" s="5">
        <f>SUMIFS(Banque!J:J,Banque!$F:$F,"="&amp;$B72,Banque!$D:$D,"=1")</f>
        <v>0</v>
      </c>
      <c r="H72" s="5">
        <f>SUMIF(Compta!$D:$D,"="&amp;$B72,Compta!G:G)</f>
        <v>0</v>
      </c>
      <c r="I72" s="8">
        <f t="shared" si="2"/>
        <v>-7548.5899999999992</v>
      </c>
    </row>
    <row r="73" spans="1:9" x14ac:dyDescent="0.25">
      <c r="A73" t="s">
        <v>369</v>
      </c>
      <c r="B73" t="s">
        <v>360</v>
      </c>
      <c r="C73" s="5">
        <f>SUMIF(Banque!$F:$F,"="&amp;$B73,Banque!I:I)*-1</f>
        <v>0</v>
      </c>
      <c r="D73" s="5">
        <f>SUMIF(Banque!$F:$F,"="&amp;$B73,Banque!J:J)</f>
        <v>0</v>
      </c>
      <c r="E73" s="5">
        <f>SUMIFS(Banque!I:I,Banque!$F:$F,"="&amp;$B73,Banque!$D:$D,"=1")*-1</f>
        <v>0</v>
      </c>
      <c r="F73" s="5">
        <f>SUMIF(Compta!$D:$D,"="&amp;$B73,Compta!F:F)*-1</f>
        <v>0</v>
      </c>
      <c r="G73" s="5">
        <f>SUMIFS(Banque!J:J,Banque!$F:$F,"="&amp;$B73,Banque!$D:$D,"=1")</f>
        <v>0</v>
      </c>
      <c r="H73" s="5">
        <f>SUMIF(Compta!$D:$D,"="&amp;$B73,Compta!G:G)</f>
        <v>0</v>
      </c>
      <c r="I73" s="8">
        <f t="shared" si="2"/>
        <v>0</v>
      </c>
    </row>
    <row r="74" spans="1:9" x14ac:dyDescent="0.25">
      <c r="A74" t="s">
        <v>369</v>
      </c>
      <c r="B74" t="s">
        <v>318</v>
      </c>
      <c r="C74" s="5">
        <f>SUMIF(Banque!$F:$F,"="&amp;$B74,Banque!I:I)*-1</f>
        <v>0</v>
      </c>
      <c r="D74" s="5">
        <f>SUMIF(Banque!$F:$F,"="&amp;$B74,Banque!J:J)</f>
        <v>0</v>
      </c>
      <c r="E74" s="5">
        <f>SUMIFS(Banque!I:I,Banque!$F:$F,"="&amp;$B74,Banque!$D:$D,"=1")*-1</f>
        <v>0</v>
      </c>
      <c r="F74" s="5">
        <f>SUMIF(Compta!$D:$D,"="&amp;$B74,Compta!F:F)*-1</f>
        <v>0</v>
      </c>
      <c r="G74" s="5">
        <f>SUMIFS(Banque!J:J,Banque!$F:$F,"="&amp;$B74,Banque!$D:$D,"=1")</f>
        <v>0</v>
      </c>
      <c r="H74" s="5">
        <f>SUMIF(Compta!$D:$D,"="&amp;$B74,Compta!G:G)</f>
        <v>0</v>
      </c>
      <c r="I74" s="8">
        <f t="shared" si="2"/>
        <v>0</v>
      </c>
    </row>
    <row r="75" spans="1:9" x14ac:dyDescent="0.25">
      <c r="A75" t="s">
        <v>369</v>
      </c>
      <c r="B75" t="s">
        <v>325</v>
      </c>
      <c r="C75" s="5">
        <f>SUMIF(Banque!$F:$F,"="&amp;$B75,Banque!I:I)*-1</f>
        <v>0</v>
      </c>
      <c r="D75" s="5">
        <f>SUMIF(Banque!$F:$F,"="&amp;$B75,Banque!J:J)</f>
        <v>0</v>
      </c>
      <c r="E75" s="5">
        <f>SUMIFS(Banque!I:I,Banque!$F:$F,"="&amp;$B75,Banque!$D:$D,"=1")*-1</f>
        <v>0</v>
      </c>
      <c r="F75" s="5">
        <f>SUMIF(Compta!$D:$D,"="&amp;$B75,Compta!F:F)*-1</f>
        <v>0</v>
      </c>
      <c r="G75" s="5">
        <f>SUMIFS(Banque!J:J,Banque!$F:$F,"="&amp;$B75,Banque!$D:$D,"=1")</f>
        <v>0</v>
      </c>
      <c r="H75" s="5">
        <f>SUMIF(Compta!$D:$D,"="&amp;$B75,Compta!G:G)</f>
        <v>0</v>
      </c>
      <c r="I75" s="8">
        <f t="shared" si="2"/>
        <v>0</v>
      </c>
    </row>
    <row r="76" spans="1:9" x14ac:dyDescent="0.25">
      <c r="A76" t="s">
        <v>369</v>
      </c>
      <c r="B76" t="s">
        <v>384</v>
      </c>
      <c r="C76" s="5">
        <f>SUMIF(Banque!$F:$F,"="&amp;$B76,Banque!I:I)*-1</f>
        <v>-5.85</v>
      </c>
      <c r="D76" s="5">
        <f>SUMIF(Banque!$F:$F,"="&amp;$B76,Banque!J:J)</f>
        <v>0</v>
      </c>
      <c r="E76" s="5">
        <f>SUMIFS(Banque!I:I,Banque!$F:$F,"="&amp;$B76,Banque!$D:$D,"=1")*-1</f>
        <v>-5.85</v>
      </c>
      <c r="F76" s="5">
        <f>SUMIF(Compta!$D:$D,"="&amp;$B76,Compta!F:F)*-1</f>
        <v>0</v>
      </c>
      <c r="G76" s="5">
        <f>SUMIFS(Banque!J:J,Banque!$F:$F,"="&amp;$B76,Banque!$D:$D,"=1")</f>
        <v>0</v>
      </c>
      <c r="H76" s="5">
        <f>SUMIF(Compta!$D:$D,"="&amp;$B76,Compta!G:G)</f>
        <v>0</v>
      </c>
      <c r="I76" s="8">
        <f t="shared" si="2"/>
        <v>0</v>
      </c>
    </row>
    <row r="77" spans="1:9" x14ac:dyDescent="0.25">
      <c r="A77" t="s">
        <v>369</v>
      </c>
      <c r="B77" t="s">
        <v>281</v>
      </c>
      <c r="C77" s="5">
        <f>SUMIF(Banque!$F:$F,"="&amp;$B77,Banque!I:I)*-1</f>
        <v>-3066</v>
      </c>
      <c r="D77" s="5">
        <f>SUMIF(Banque!$F:$F,"="&amp;$B77,Banque!J:J)</f>
        <v>0</v>
      </c>
      <c r="E77" s="5">
        <f>SUMIFS(Banque!I:I,Banque!$F:$F,"="&amp;$B77,Banque!$D:$D,"=1")*-1</f>
        <v>0</v>
      </c>
      <c r="F77" s="5">
        <f>SUMIF(Compta!$D:$D,"="&amp;$B77,Compta!F:F)*-1</f>
        <v>-7336.8</v>
      </c>
      <c r="G77" s="5">
        <f>SUMIFS(Banque!J:J,Banque!$F:$F,"="&amp;$B77,Banque!$D:$D,"=1")</f>
        <v>0</v>
      </c>
      <c r="H77" s="5">
        <f>SUMIF(Compta!$D:$D,"="&amp;$B77,Compta!G:G)</f>
        <v>0</v>
      </c>
      <c r="I77" s="8">
        <f t="shared" si="2"/>
        <v>-4270.8</v>
      </c>
    </row>
    <row r="78" spans="1:9" x14ac:dyDescent="0.25">
      <c r="A78" t="s">
        <v>369</v>
      </c>
      <c r="B78" t="s">
        <v>296</v>
      </c>
      <c r="C78" s="5">
        <f>SUMIF(Banque!$F:$F,"="&amp;$B78,Banque!I:I)*-1</f>
        <v>-300</v>
      </c>
      <c r="D78" s="5">
        <f>SUMIF(Banque!$F:$F,"="&amp;$B78,Banque!J:J)</f>
        <v>0</v>
      </c>
      <c r="E78" s="5">
        <f>SUMIFS(Banque!I:I,Banque!$F:$F,"="&amp;$B78,Banque!$D:$D,"=1")*-1</f>
        <v>0</v>
      </c>
      <c r="F78" s="5">
        <f>SUMIF(Compta!$D:$D,"="&amp;$B78,Compta!F:F)*-1</f>
        <v>-300</v>
      </c>
      <c r="G78" s="5">
        <f>SUMIFS(Banque!J:J,Banque!$F:$F,"="&amp;$B78,Banque!$D:$D,"=1")</f>
        <v>0</v>
      </c>
      <c r="H78" s="5">
        <f>SUMIF(Compta!$D:$D,"="&amp;$B78,Compta!G:G)</f>
        <v>0</v>
      </c>
      <c r="I78" s="8">
        <f t="shared" si="2"/>
        <v>0</v>
      </c>
    </row>
    <row r="79" spans="1:9" x14ac:dyDescent="0.25">
      <c r="A79" t="s">
        <v>369</v>
      </c>
      <c r="B79" t="s">
        <v>364</v>
      </c>
      <c r="C79" s="5">
        <f>SUMIF(Banque!$F:$F,"="&amp;$B79,Banque!I:I)*-1</f>
        <v>0</v>
      </c>
      <c r="D79" s="5">
        <f>SUMIF(Banque!$F:$F,"="&amp;$B79,Banque!J:J)</f>
        <v>0</v>
      </c>
      <c r="E79" s="5">
        <f>SUMIFS(Banque!I:I,Banque!$F:$F,"="&amp;$B79,Banque!$D:$D,"=1")*-1</f>
        <v>0</v>
      </c>
      <c r="F79" s="5">
        <f>SUMIF(Compta!$D:$D,"="&amp;$B79,Compta!F:F)*-1</f>
        <v>0</v>
      </c>
      <c r="G79" s="5">
        <f>SUMIFS(Banque!J:J,Banque!$F:$F,"="&amp;$B79,Banque!$D:$D,"=1")</f>
        <v>0</v>
      </c>
      <c r="H79" s="5">
        <f>SUMIF(Compta!$D:$D,"="&amp;$B79,Compta!G:G)</f>
        <v>0</v>
      </c>
      <c r="I79" s="8">
        <f t="shared" si="2"/>
        <v>0</v>
      </c>
    </row>
    <row r="80" spans="1:9" x14ac:dyDescent="0.25">
      <c r="A80" t="s">
        <v>369</v>
      </c>
      <c r="B80" t="s">
        <v>324</v>
      </c>
      <c r="C80" s="5">
        <f>SUMIF(Banque!$F:$F,"="&amp;$B80,Banque!I:I)*-1</f>
        <v>0</v>
      </c>
      <c r="D80" s="5">
        <f>SUMIF(Banque!$F:$F,"="&amp;$B80,Banque!J:J)</f>
        <v>0</v>
      </c>
      <c r="E80" s="5">
        <f>SUMIFS(Banque!I:I,Banque!$F:$F,"="&amp;$B80,Banque!$D:$D,"=1")*-1</f>
        <v>0</v>
      </c>
      <c r="F80" s="5">
        <f>SUMIF(Compta!$D:$D,"="&amp;$B80,Compta!F:F)*-1</f>
        <v>-97.03</v>
      </c>
      <c r="G80" s="5">
        <f>SUMIFS(Banque!J:J,Banque!$F:$F,"="&amp;$B80,Banque!$D:$D,"=1")</f>
        <v>0</v>
      </c>
      <c r="H80" s="5">
        <f>SUMIF(Compta!$D:$D,"="&amp;$B80,Compta!G:G)</f>
        <v>0</v>
      </c>
      <c r="I80" s="8">
        <f t="shared" si="2"/>
        <v>-97.03</v>
      </c>
    </row>
    <row r="81" spans="1:9" x14ac:dyDescent="0.25">
      <c r="A81" t="s">
        <v>369</v>
      </c>
      <c r="B81" t="s">
        <v>298</v>
      </c>
      <c r="C81" s="5">
        <f>SUMIF(Banque!$F:$F,"="&amp;$B81,Banque!I:I)*-1</f>
        <v>-99.26</v>
      </c>
      <c r="D81" s="5">
        <f>SUMIF(Banque!$F:$F,"="&amp;$B81,Banque!J:J)</f>
        <v>0</v>
      </c>
      <c r="E81" s="5">
        <f>SUMIFS(Banque!I:I,Banque!$F:$F,"="&amp;$B81,Banque!$D:$D,"=1")*-1</f>
        <v>0</v>
      </c>
      <c r="F81" s="5">
        <f>SUMIF(Compta!$D:$D,"="&amp;$B81,Compta!F:F)*-1</f>
        <v>-406.42999999999995</v>
      </c>
      <c r="G81" s="5">
        <f>SUMIFS(Banque!J:J,Banque!$F:$F,"="&amp;$B81,Banque!$D:$D,"=1")</f>
        <v>0</v>
      </c>
      <c r="H81" s="5">
        <f>SUMIF(Compta!$D:$D,"="&amp;$B81,Compta!G:G)</f>
        <v>0</v>
      </c>
      <c r="I81" s="8">
        <f t="shared" si="2"/>
        <v>-307.16999999999996</v>
      </c>
    </row>
    <row r="82" spans="1:9" x14ac:dyDescent="0.25">
      <c r="A82" t="s">
        <v>369</v>
      </c>
      <c r="B82" t="s">
        <v>282</v>
      </c>
      <c r="C82" s="5">
        <f>SUMIF(Banque!$F:$F,"="&amp;$B82,Banque!I:I)*-1</f>
        <v>-19.78</v>
      </c>
      <c r="D82" s="5">
        <f>SUMIF(Banque!$F:$F,"="&amp;$B82,Banque!J:J)</f>
        <v>0</v>
      </c>
      <c r="E82" s="5">
        <f>SUMIFS(Banque!I:I,Banque!$F:$F,"="&amp;$B82,Banque!$D:$D,"=1")*-1</f>
        <v>0</v>
      </c>
      <c r="F82" s="5">
        <f>SUMIF(Compta!$D:$D,"="&amp;$B82,Compta!F:F)*-1</f>
        <v>-19.78</v>
      </c>
      <c r="G82" s="5">
        <f>SUMIFS(Banque!J:J,Banque!$F:$F,"="&amp;$B82,Banque!$D:$D,"=1")</f>
        <v>0</v>
      </c>
      <c r="H82" s="5">
        <f>SUMIF(Compta!$D:$D,"="&amp;$B82,Compta!G:G)</f>
        <v>0</v>
      </c>
      <c r="I82" s="8">
        <f t="shared" si="2"/>
        <v>0</v>
      </c>
    </row>
    <row r="83" spans="1:9" x14ac:dyDescent="0.25">
      <c r="A83" t="s">
        <v>369</v>
      </c>
      <c r="B83" t="s">
        <v>294</v>
      </c>
      <c r="C83" s="5">
        <f>SUMIF(Banque!$F:$F,"="&amp;$B83,Banque!I:I)*-1</f>
        <v>-10.29</v>
      </c>
      <c r="D83" s="5">
        <f>SUMIF(Banque!$F:$F,"="&amp;$B83,Banque!J:J)</f>
        <v>0</v>
      </c>
      <c r="E83" s="5">
        <f>SUMIFS(Banque!I:I,Banque!$F:$F,"="&amp;$B83,Banque!$D:$D,"=1")*-1</f>
        <v>-10.29</v>
      </c>
      <c r="F83" s="5">
        <f>SUMIF(Compta!$D:$D,"="&amp;$B83,Compta!F:F)*-1</f>
        <v>0</v>
      </c>
      <c r="G83" s="5">
        <f>SUMIFS(Banque!J:J,Banque!$F:$F,"="&amp;$B83,Banque!$D:$D,"=1")</f>
        <v>0</v>
      </c>
      <c r="H83" s="5">
        <f>SUMIF(Compta!$D:$D,"="&amp;$B83,Compta!G:G)</f>
        <v>0</v>
      </c>
      <c r="I83" s="8">
        <f t="shared" si="2"/>
        <v>0</v>
      </c>
    </row>
    <row r="84" spans="1:9" x14ac:dyDescent="0.25">
      <c r="A84" t="s">
        <v>369</v>
      </c>
      <c r="B84" t="s">
        <v>322</v>
      </c>
      <c r="C84" s="5">
        <f>SUMIF(Banque!$F:$F,"="&amp;$B84,Banque!I:I)*-1</f>
        <v>0</v>
      </c>
      <c r="D84" s="5">
        <f>SUMIF(Banque!$F:$F,"="&amp;$B84,Banque!J:J)</f>
        <v>0</v>
      </c>
      <c r="E84" s="5">
        <f>SUMIFS(Banque!I:I,Banque!$F:$F,"="&amp;$B84,Banque!$D:$D,"=1")*-1</f>
        <v>0</v>
      </c>
      <c r="F84" s="5">
        <f>SUMIF(Compta!$D:$D,"="&amp;$B84,Compta!F:F)*-1</f>
        <v>0</v>
      </c>
      <c r="G84" s="5">
        <f>SUMIFS(Banque!J:J,Banque!$F:$F,"="&amp;$B84,Banque!$D:$D,"=1")</f>
        <v>0</v>
      </c>
      <c r="H84" s="5">
        <f>SUMIF(Compta!$D:$D,"="&amp;$B84,Compta!G:G)</f>
        <v>0</v>
      </c>
      <c r="I84" s="8">
        <f t="shared" si="2"/>
        <v>0</v>
      </c>
    </row>
    <row r="85" spans="1:9" x14ac:dyDescent="0.25">
      <c r="A85" t="s">
        <v>369</v>
      </c>
      <c r="B85" t="s">
        <v>329</v>
      </c>
      <c r="C85" s="5">
        <f>SUMIF(Banque!$F:$F,"="&amp;$B85,Banque!I:I)*-1</f>
        <v>0</v>
      </c>
      <c r="D85" s="5">
        <f>SUMIF(Banque!$F:$F,"="&amp;$B85,Banque!J:J)</f>
        <v>0</v>
      </c>
      <c r="E85" s="5">
        <f>SUMIFS(Banque!I:I,Banque!$F:$F,"="&amp;$B85,Banque!$D:$D,"=1")*-1</f>
        <v>0</v>
      </c>
      <c r="F85" s="5">
        <f>SUMIF(Compta!$D:$D,"="&amp;$B85,Compta!F:F)*-1</f>
        <v>0</v>
      </c>
      <c r="G85" s="5">
        <f>SUMIFS(Banque!J:J,Banque!$F:$F,"="&amp;$B85,Banque!$D:$D,"=1")</f>
        <v>0</v>
      </c>
      <c r="H85" s="5">
        <f>SUMIF(Compta!$D:$D,"="&amp;$B85,Compta!G:G)</f>
        <v>0</v>
      </c>
      <c r="I85" s="8">
        <f t="shared" si="2"/>
        <v>0</v>
      </c>
    </row>
    <row r="86" spans="1:9" x14ac:dyDescent="0.25">
      <c r="A86" t="s">
        <v>369</v>
      </c>
      <c r="B86" t="s">
        <v>351</v>
      </c>
      <c r="C86" s="5">
        <f>SUMIF(Banque!$F:$F,"="&amp;$B86,Banque!I:I)*-1</f>
        <v>0</v>
      </c>
      <c r="D86" s="5">
        <f>SUMIF(Banque!$F:$F,"="&amp;$B86,Banque!J:J)</f>
        <v>0</v>
      </c>
      <c r="E86" s="5">
        <f>SUMIFS(Banque!I:I,Banque!$F:$F,"="&amp;$B86,Banque!$D:$D,"=1")*-1</f>
        <v>0</v>
      </c>
      <c r="F86" s="5">
        <f>SUMIF(Compta!$D:$D,"="&amp;$B86,Compta!F:F)*-1</f>
        <v>0</v>
      </c>
      <c r="G86" s="5">
        <f>SUMIFS(Banque!J:J,Banque!$F:$F,"="&amp;$B86,Banque!$D:$D,"=1")</f>
        <v>0</v>
      </c>
      <c r="H86" s="5">
        <f>SUMIF(Compta!$D:$D,"="&amp;$B86,Compta!G:G)</f>
        <v>0</v>
      </c>
      <c r="I86" s="8">
        <f t="shared" si="2"/>
        <v>0</v>
      </c>
    </row>
    <row r="87" spans="1:9" x14ac:dyDescent="0.25">
      <c r="A87" t="s">
        <v>369</v>
      </c>
      <c r="B87" t="s">
        <v>348</v>
      </c>
      <c r="C87" s="5">
        <f>SUMIF(Banque!$F:$F,"="&amp;$B87,Banque!I:I)*-1</f>
        <v>0</v>
      </c>
      <c r="D87" s="5">
        <f>SUMIF(Banque!$F:$F,"="&amp;$B87,Banque!J:J)</f>
        <v>0</v>
      </c>
      <c r="E87" s="5">
        <f>SUMIFS(Banque!I:I,Banque!$F:$F,"="&amp;$B87,Banque!$D:$D,"=1")*-1</f>
        <v>0</v>
      </c>
      <c r="F87" s="5">
        <f>SUMIF(Compta!$D:$D,"="&amp;$B87,Compta!F:F)*-1</f>
        <v>0</v>
      </c>
      <c r="G87" s="5">
        <f>SUMIFS(Banque!J:J,Banque!$F:$F,"="&amp;$B87,Banque!$D:$D,"=1")</f>
        <v>0</v>
      </c>
      <c r="H87" s="5">
        <f>SUMIF(Compta!$D:$D,"="&amp;$B87,Compta!G:G)</f>
        <v>0</v>
      </c>
      <c r="I87" s="8">
        <f t="shared" si="2"/>
        <v>0</v>
      </c>
    </row>
    <row r="88" spans="1:9" x14ac:dyDescent="0.25">
      <c r="A88" t="s">
        <v>369</v>
      </c>
      <c r="B88" t="s">
        <v>343</v>
      </c>
      <c r="C88" s="5">
        <f>SUMIF(Banque!$F:$F,"="&amp;$B88,Banque!I:I)*-1</f>
        <v>0</v>
      </c>
      <c r="D88" s="5">
        <f>SUMIF(Banque!$F:$F,"="&amp;$B88,Banque!J:J)</f>
        <v>0</v>
      </c>
      <c r="E88" s="5">
        <f>SUMIFS(Banque!I:I,Banque!$F:$F,"="&amp;$B88,Banque!$D:$D,"=1")*-1</f>
        <v>0</v>
      </c>
      <c r="F88" s="5">
        <f>SUMIF(Compta!$D:$D,"="&amp;$B88,Compta!F:F)*-1</f>
        <v>0</v>
      </c>
      <c r="G88" s="5">
        <f>SUMIFS(Banque!J:J,Banque!$F:$F,"="&amp;$B88,Banque!$D:$D,"=1")</f>
        <v>0</v>
      </c>
      <c r="H88" s="5">
        <f>SUMIF(Compta!$D:$D,"="&amp;$B88,Compta!G:G)</f>
        <v>0</v>
      </c>
      <c r="I88" s="8">
        <f t="shared" si="2"/>
        <v>0</v>
      </c>
    </row>
    <row r="89" spans="1:9" x14ac:dyDescent="0.25">
      <c r="A89" t="s">
        <v>369</v>
      </c>
      <c r="B89" t="s">
        <v>434</v>
      </c>
      <c r="C89" s="5">
        <f>SUMIF(Banque!$F:$F,"="&amp;$B89,Banque!I:I)*-1</f>
        <v>-6910</v>
      </c>
      <c r="D89" s="5">
        <f>SUMIF(Banque!$F:$F,"="&amp;$B89,Banque!J:J)</f>
        <v>1560</v>
      </c>
      <c r="E89" s="5">
        <f>SUMIFS(Banque!I:I,Banque!$F:$F,"="&amp;$B89,Banque!$D:$D,"=1")*-1</f>
        <v>0</v>
      </c>
      <c r="F89" s="5">
        <f>SUMIF(Compta!$D:$D,"="&amp;$B89,Compta!F:F)*-1</f>
        <v>0</v>
      </c>
      <c r="G89" s="5">
        <f>SUMIFS(Banque!J:J,Banque!$F:$F,"="&amp;$B89,Banque!$D:$D,"=1")</f>
        <v>0</v>
      </c>
      <c r="H89" s="5">
        <f>SUMIF(Compta!$D:$D,"="&amp;$B89,Compta!G:G)</f>
        <v>3120</v>
      </c>
      <c r="I89" s="8">
        <f t="shared" si="2"/>
        <v>8470</v>
      </c>
    </row>
    <row r="90" spans="1:9" x14ac:dyDescent="0.25">
      <c r="A90" t="s">
        <v>369</v>
      </c>
      <c r="B90" t="s">
        <v>320</v>
      </c>
      <c r="C90" s="5">
        <f>SUMIF(Banque!$F:$F,"="&amp;$B90,Banque!I:I)*-1</f>
        <v>0</v>
      </c>
      <c r="D90" s="5">
        <f>SUMIF(Banque!$F:$F,"="&amp;$B90,Banque!J:J)</f>
        <v>0</v>
      </c>
      <c r="E90" s="5">
        <f>SUMIFS(Banque!I:I,Banque!$F:$F,"="&amp;$B90,Banque!$D:$D,"=1")*-1</f>
        <v>0</v>
      </c>
      <c r="F90" s="5">
        <f>SUMIF(Compta!$D:$D,"="&amp;$B90,Compta!F:F)*-1</f>
        <v>0</v>
      </c>
      <c r="G90" s="5">
        <f>SUMIFS(Banque!J:J,Banque!$F:$F,"="&amp;$B90,Banque!$D:$D,"=1")</f>
        <v>0</v>
      </c>
      <c r="H90" s="5">
        <f>SUMIF(Compta!$D:$D,"="&amp;$B90,Compta!G:G)</f>
        <v>0</v>
      </c>
      <c r="I90" s="8">
        <f t="shared" si="2"/>
        <v>0</v>
      </c>
    </row>
    <row r="91" spans="1:9" x14ac:dyDescent="0.25">
      <c r="A91" t="s">
        <v>369</v>
      </c>
      <c r="B91" t="s">
        <v>303</v>
      </c>
      <c r="C91" s="5">
        <f>SUMIF(Banque!$F:$F,"="&amp;$B91,Banque!I:I)*-1</f>
        <v>-1169.4000000000001</v>
      </c>
      <c r="D91" s="5">
        <f>SUMIF(Banque!$F:$F,"="&amp;$B91,Banque!J:J)</f>
        <v>0</v>
      </c>
      <c r="E91" s="5">
        <f>SUMIFS(Banque!I:I,Banque!$F:$F,"="&amp;$B91,Banque!$D:$D,"=1")*-1</f>
        <v>0</v>
      </c>
      <c r="F91" s="5">
        <f>SUMIF(Compta!$D:$D,"="&amp;$B91,Compta!F:F)*-1</f>
        <v>-1169.4000000000001</v>
      </c>
      <c r="G91" s="5">
        <f>SUMIFS(Banque!J:J,Banque!$F:$F,"="&amp;$B91,Banque!$D:$D,"=1")</f>
        <v>0</v>
      </c>
      <c r="H91" s="5">
        <f>SUMIF(Compta!$D:$D,"="&amp;$B91,Compta!G:G)</f>
        <v>0</v>
      </c>
      <c r="I91" s="8">
        <f t="shared" si="2"/>
        <v>0</v>
      </c>
    </row>
    <row r="92" spans="1:9" x14ac:dyDescent="0.25">
      <c r="A92" t="s">
        <v>369</v>
      </c>
      <c r="B92" t="s">
        <v>275</v>
      </c>
      <c r="C92" s="5">
        <f>SUMIF(Banque!$F:$F,"="&amp;$B92,Banque!I:I)*-1</f>
        <v>-79.87</v>
      </c>
      <c r="D92" s="5">
        <f>SUMIF(Banque!$F:$F,"="&amp;$B92,Banque!J:J)</f>
        <v>0</v>
      </c>
      <c r="E92" s="5">
        <f>SUMIFS(Banque!I:I,Banque!$F:$F,"="&amp;$B92,Banque!$D:$D,"=1")*-1</f>
        <v>0</v>
      </c>
      <c r="F92" s="5">
        <f>SUMIF(Compta!$D:$D,"="&amp;$B92,Compta!F:F)*-1</f>
        <v>-2764.45</v>
      </c>
      <c r="G92" s="5">
        <f>SUMIFS(Banque!J:J,Banque!$F:$F,"="&amp;$B92,Banque!$D:$D,"=1")</f>
        <v>0</v>
      </c>
      <c r="H92" s="5">
        <f>SUMIF(Compta!$D:$D,"="&amp;$B92,Compta!G:G)</f>
        <v>0</v>
      </c>
      <c r="I92" s="8">
        <f t="shared" si="2"/>
        <v>-2684.58</v>
      </c>
    </row>
    <row r="93" spans="1:9" x14ac:dyDescent="0.25">
      <c r="A93" t="s">
        <v>369</v>
      </c>
      <c r="B93" t="s">
        <v>337</v>
      </c>
      <c r="C93" s="5">
        <f>SUMIF(Banque!$F:$F,"="&amp;$B93,Banque!I:I)*-1</f>
        <v>0</v>
      </c>
      <c r="D93" s="5">
        <f>SUMIF(Banque!$F:$F,"="&amp;$B93,Banque!J:J)</f>
        <v>0</v>
      </c>
      <c r="E93" s="5">
        <f>SUMIFS(Banque!I:I,Banque!$F:$F,"="&amp;$B93,Banque!$D:$D,"=1")*-1</f>
        <v>0</v>
      </c>
      <c r="F93" s="5">
        <f>SUMIF(Compta!$D:$D,"="&amp;$B93,Compta!F:F)*-1</f>
        <v>0</v>
      </c>
      <c r="G93" s="5">
        <f>SUMIFS(Banque!J:J,Banque!$F:$F,"="&amp;$B93,Banque!$D:$D,"=1")</f>
        <v>0</v>
      </c>
      <c r="H93" s="5">
        <f>SUMIF(Compta!$D:$D,"="&amp;$B93,Compta!G:G)</f>
        <v>0</v>
      </c>
      <c r="I93" s="8">
        <f t="shared" si="2"/>
        <v>0</v>
      </c>
    </row>
    <row r="94" spans="1:9" x14ac:dyDescent="0.25">
      <c r="A94" t="s">
        <v>369</v>
      </c>
      <c r="B94" t="s">
        <v>332</v>
      </c>
      <c r="C94" s="5">
        <f>SUMIF(Banque!$F:$F,"="&amp;$B94,Banque!I:I)*-1</f>
        <v>0</v>
      </c>
      <c r="D94" s="5">
        <f>SUMIF(Banque!$F:$F,"="&amp;$B94,Banque!J:J)</f>
        <v>0</v>
      </c>
      <c r="E94" s="5">
        <f>SUMIFS(Banque!I:I,Banque!$F:$F,"="&amp;$B94,Banque!$D:$D,"=1")*-1</f>
        <v>0</v>
      </c>
      <c r="F94" s="5">
        <f>SUMIF(Compta!$D:$D,"="&amp;$B94,Compta!F:F)*-1</f>
        <v>0</v>
      </c>
      <c r="G94" s="5">
        <f>SUMIFS(Banque!J:J,Banque!$F:$F,"="&amp;$B94,Banque!$D:$D,"=1")</f>
        <v>0</v>
      </c>
      <c r="H94" s="5">
        <f>SUMIF(Compta!$D:$D,"="&amp;$B94,Compta!G:G)</f>
        <v>0</v>
      </c>
      <c r="I94" s="8">
        <f t="shared" si="2"/>
        <v>0</v>
      </c>
    </row>
    <row r="95" spans="1:9" x14ac:dyDescent="0.25">
      <c r="A95" t="s">
        <v>369</v>
      </c>
      <c r="B95" t="s">
        <v>338</v>
      </c>
      <c r="C95" s="5">
        <f>SUMIF(Banque!$F:$F,"="&amp;$B95,Banque!I:I)*-1</f>
        <v>0</v>
      </c>
      <c r="D95" s="5">
        <f>SUMIF(Banque!$F:$F,"="&amp;$B95,Banque!J:J)</f>
        <v>0</v>
      </c>
      <c r="E95" s="5">
        <f>SUMIFS(Banque!I:I,Banque!$F:$F,"="&amp;$B95,Banque!$D:$D,"=1")*-1</f>
        <v>0</v>
      </c>
      <c r="F95" s="5">
        <f>SUMIF(Compta!$D:$D,"="&amp;$B95,Compta!F:F)*-1</f>
        <v>0</v>
      </c>
      <c r="G95" s="5">
        <f>SUMIFS(Banque!J:J,Banque!$F:$F,"="&amp;$B95,Banque!$D:$D,"=1")</f>
        <v>0</v>
      </c>
      <c r="H95" s="5">
        <f>SUMIF(Compta!$D:$D,"="&amp;$B95,Compta!G:G)</f>
        <v>0</v>
      </c>
      <c r="I95" s="8">
        <f t="shared" si="2"/>
        <v>0</v>
      </c>
    </row>
    <row r="96" spans="1:9" x14ac:dyDescent="0.25">
      <c r="A96" t="s">
        <v>369</v>
      </c>
      <c r="B96" t="s">
        <v>333</v>
      </c>
      <c r="C96" s="5">
        <f>SUMIF(Banque!$F:$F,"="&amp;$B96,Banque!I:I)*-1</f>
        <v>0</v>
      </c>
      <c r="D96" s="5">
        <f>SUMIF(Banque!$F:$F,"="&amp;$B96,Banque!J:J)</f>
        <v>0</v>
      </c>
      <c r="E96" s="5">
        <f>SUMIFS(Banque!I:I,Banque!$F:$F,"="&amp;$B96,Banque!$D:$D,"=1")*-1</f>
        <v>0</v>
      </c>
      <c r="F96" s="5">
        <f>SUMIF(Compta!$D:$D,"="&amp;$B96,Compta!F:F)*-1</f>
        <v>0</v>
      </c>
      <c r="G96" s="5">
        <f>SUMIFS(Banque!J:J,Banque!$F:$F,"="&amp;$B96,Banque!$D:$D,"=1")</f>
        <v>0</v>
      </c>
      <c r="H96" s="5">
        <f>SUMIF(Compta!$D:$D,"="&amp;$B96,Compta!G:G)</f>
        <v>0</v>
      </c>
      <c r="I96" s="8">
        <f t="shared" si="2"/>
        <v>0</v>
      </c>
    </row>
    <row r="97" spans="1:9" x14ac:dyDescent="0.25">
      <c r="A97" t="s">
        <v>369</v>
      </c>
      <c r="B97" t="s">
        <v>317</v>
      </c>
      <c r="C97" s="5">
        <f>SUMIF(Banque!$F:$F,"="&amp;$B97,Banque!I:I)*-1</f>
        <v>0</v>
      </c>
      <c r="D97" s="5">
        <f>SUMIF(Banque!$F:$F,"="&amp;$B97,Banque!J:J)</f>
        <v>0</v>
      </c>
      <c r="E97" s="5">
        <f>SUMIFS(Banque!I:I,Banque!$F:$F,"="&amp;$B97,Banque!$D:$D,"=1")*-1</f>
        <v>0</v>
      </c>
      <c r="F97" s="5">
        <f>SUMIF(Compta!$D:$D,"="&amp;$B97,Compta!F:F)*-1</f>
        <v>0</v>
      </c>
      <c r="G97" s="5">
        <f>SUMIFS(Banque!J:J,Banque!$F:$F,"="&amp;$B97,Banque!$D:$D,"=1")</f>
        <v>0</v>
      </c>
      <c r="H97" s="5">
        <f>SUMIF(Compta!$D:$D,"="&amp;$B97,Compta!G:G)</f>
        <v>0</v>
      </c>
      <c r="I97" s="8">
        <f t="shared" si="2"/>
        <v>0</v>
      </c>
    </row>
    <row r="98" spans="1:9" x14ac:dyDescent="0.25">
      <c r="A98" t="s">
        <v>369</v>
      </c>
      <c r="B98" t="s">
        <v>674</v>
      </c>
      <c r="C98" s="5">
        <f>SUMIF(Banque!$F:$F,"="&amp;$B98,Banque!I:I)*-1</f>
        <v>-97.58</v>
      </c>
      <c r="D98" s="5">
        <f>SUMIF(Banque!$F:$F,"="&amp;$B98,Banque!J:J)</f>
        <v>0</v>
      </c>
      <c r="E98" s="5">
        <f>SUMIFS(Banque!I:I,Banque!$F:$F,"="&amp;$B98,Banque!$D:$D,"=1")*-1</f>
        <v>-97.58</v>
      </c>
      <c r="F98" s="5">
        <f>SUMIF(Compta!$D:$D,"="&amp;$B98,Compta!F:F)*-1</f>
        <v>0</v>
      </c>
      <c r="G98" s="5">
        <f>SUMIFS(Banque!J:J,Banque!$F:$F,"="&amp;$B98,Banque!$D:$D,"=1")</f>
        <v>0</v>
      </c>
      <c r="H98" s="5">
        <f>SUMIF(Compta!$D:$D,"="&amp;$B98,Compta!G:G)</f>
        <v>0</v>
      </c>
      <c r="I98" s="8">
        <f t="shared" ref="I98:I129" si="3">SUM(E98:H98)-SUM(C98:D98)</f>
        <v>0</v>
      </c>
    </row>
    <row r="99" spans="1:9" x14ac:dyDescent="0.25">
      <c r="A99" t="s">
        <v>369</v>
      </c>
      <c r="B99" t="s">
        <v>347</v>
      </c>
      <c r="C99" s="5">
        <f>SUMIF(Banque!$F:$F,"="&amp;$B99,Banque!I:I)*-1</f>
        <v>0</v>
      </c>
      <c r="D99" s="5">
        <f>SUMIF(Banque!$F:$F,"="&amp;$B99,Banque!J:J)</f>
        <v>0</v>
      </c>
      <c r="E99" s="5">
        <f>SUMIFS(Banque!I:I,Banque!$F:$F,"="&amp;$B99,Banque!$D:$D,"=1")*-1</f>
        <v>0</v>
      </c>
      <c r="F99" s="5">
        <f>SUMIF(Compta!$D:$D,"="&amp;$B99,Compta!F:F)*-1</f>
        <v>0</v>
      </c>
      <c r="G99" s="5">
        <f>SUMIFS(Banque!J:J,Banque!$F:$F,"="&amp;$B99,Banque!$D:$D,"=1")</f>
        <v>0</v>
      </c>
      <c r="H99" s="5">
        <f>SUMIF(Compta!$D:$D,"="&amp;$B99,Compta!G:G)</f>
        <v>0</v>
      </c>
      <c r="I99" s="8">
        <f t="shared" si="3"/>
        <v>0</v>
      </c>
    </row>
    <row r="100" spans="1:9" x14ac:dyDescent="0.25">
      <c r="A100" t="s">
        <v>369</v>
      </c>
      <c r="B100" t="s">
        <v>377</v>
      </c>
      <c r="C100" s="5">
        <f>SUMIF(Banque!$F:$F,"="&amp;$B100,Banque!I:I)*-1</f>
        <v>-12</v>
      </c>
      <c r="D100" s="5">
        <f>SUMIF(Banque!$F:$F,"="&amp;$B100,Banque!J:J)</f>
        <v>0</v>
      </c>
      <c r="E100" s="5">
        <f>SUMIFS(Banque!I:I,Banque!$F:$F,"="&amp;$B100,Banque!$D:$D,"=1")*-1</f>
        <v>-12</v>
      </c>
      <c r="F100" s="5">
        <f>SUMIF(Compta!$D:$D,"="&amp;$B100,Compta!F:F)*-1</f>
        <v>0</v>
      </c>
      <c r="G100" s="5">
        <f>SUMIFS(Banque!J:J,Banque!$F:$F,"="&amp;$B100,Banque!$D:$D,"=1")</f>
        <v>0</v>
      </c>
      <c r="H100" s="5">
        <f>SUMIF(Compta!$D:$D,"="&amp;$B100,Compta!G:G)</f>
        <v>0</v>
      </c>
      <c r="I100" s="8">
        <f t="shared" si="3"/>
        <v>0</v>
      </c>
    </row>
    <row r="101" spans="1:9" x14ac:dyDescent="0.25">
      <c r="A101" t="s">
        <v>369</v>
      </c>
      <c r="B101" t="s">
        <v>355</v>
      </c>
      <c r="C101" s="5">
        <f>SUMIF(Banque!$F:$F,"="&amp;$B101,Banque!I:I)*-1</f>
        <v>-41.32</v>
      </c>
      <c r="D101" s="5">
        <f>SUMIF(Banque!$F:$F,"="&amp;$B101,Banque!J:J)</f>
        <v>0</v>
      </c>
      <c r="E101" s="5">
        <f>SUMIFS(Banque!I:I,Banque!$F:$F,"="&amp;$B101,Banque!$D:$D,"=1")*-1</f>
        <v>-41.32</v>
      </c>
      <c r="F101" s="5">
        <f>SUMIF(Compta!$D:$D,"="&amp;$B101,Compta!F:F)*-1</f>
        <v>0</v>
      </c>
      <c r="G101" s="5">
        <f>SUMIFS(Banque!J:J,Banque!$F:$F,"="&amp;$B101,Banque!$D:$D,"=1")</f>
        <v>0</v>
      </c>
      <c r="H101" s="5">
        <f>SUMIF(Compta!$D:$D,"="&amp;$B101,Compta!G:G)</f>
        <v>0</v>
      </c>
      <c r="I101" s="8">
        <f t="shared" si="3"/>
        <v>0</v>
      </c>
    </row>
    <row r="102" spans="1:9" x14ac:dyDescent="0.25">
      <c r="A102" t="s">
        <v>369</v>
      </c>
      <c r="B102" t="s">
        <v>334</v>
      </c>
      <c r="C102" s="5">
        <f>SUMIF(Banque!$F:$F,"="&amp;$B102,Banque!I:I)*-1</f>
        <v>0</v>
      </c>
      <c r="D102" s="5">
        <f>SUMIF(Banque!$F:$F,"="&amp;$B102,Banque!J:J)</f>
        <v>0</v>
      </c>
      <c r="E102" s="5">
        <f>SUMIFS(Banque!I:I,Banque!$F:$F,"="&amp;$B102,Banque!$D:$D,"=1")*-1</f>
        <v>0</v>
      </c>
      <c r="F102" s="5">
        <f>SUMIF(Compta!$D:$D,"="&amp;$B102,Compta!F:F)*-1</f>
        <v>0</v>
      </c>
      <c r="G102" s="5">
        <f>SUMIFS(Banque!J:J,Banque!$F:$F,"="&amp;$B102,Banque!$D:$D,"=1")</f>
        <v>0</v>
      </c>
      <c r="H102" s="5">
        <f>SUMIF(Compta!$D:$D,"="&amp;$B102,Compta!G:G)</f>
        <v>0</v>
      </c>
      <c r="I102" s="8">
        <f t="shared" si="3"/>
        <v>0</v>
      </c>
    </row>
    <row r="103" spans="1:9" x14ac:dyDescent="0.25">
      <c r="A103" t="s">
        <v>369</v>
      </c>
      <c r="B103" t="s">
        <v>680</v>
      </c>
      <c r="C103" s="5">
        <f>SUMIF(Banque!$F:$F,"="&amp;$B103,Banque!I:I)*-1</f>
        <v>-61.22</v>
      </c>
      <c r="D103" s="5">
        <f>SUMIF(Banque!$F:$F,"="&amp;$B103,Banque!J:J)</f>
        <v>0</v>
      </c>
      <c r="E103" s="5">
        <f>SUMIFS(Banque!I:I,Banque!$F:$F,"="&amp;$B103,Banque!$D:$D,"=1")*-1</f>
        <v>-61.22</v>
      </c>
      <c r="F103" s="5">
        <f>SUMIF(Compta!$D:$D,"="&amp;$B103,Compta!F:F)*-1</f>
        <v>0</v>
      </c>
      <c r="G103" s="5">
        <f>SUMIFS(Banque!J:J,Banque!$F:$F,"="&amp;$B103,Banque!$D:$D,"=1")</f>
        <v>0</v>
      </c>
      <c r="H103" s="5">
        <f>SUMIF(Compta!$D:$D,"="&amp;$B103,Compta!G:G)</f>
        <v>0</v>
      </c>
      <c r="I103" s="8">
        <f t="shared" si="3"/>
        <v>0</v>
      </c>
    </row>
    <row r="104" spans="1:9" x14ac:dyDescent="0.25">
      <c r="A104" t="s">
        <v>369</v>
      </c>
      <c r="B104" t="s">
        <v>319</v>
      </c>
      <c r="C104" s="5">
        <f>SUMIF(Banque!$F:$F,"="&amp;$B104,Banque!I:I)*-1</f>
        <v>0</v>
      </c>
      <c r="D104" s="5">
        <f>SUMIF(Banque!$F:$F,"="&amp;$B104,Banque!J:J)</f>
        <v>0</v>
      </c>
      <c r="E104" s="5">
        <f>SUMIFS(Banque!I:I,Banque!$F:$F,"="&amp;$B104,Banque!$D:$D,"=1")*-1</f>
        <v>0</v>
      </c>
      <c r="F104" s="5">
        <f>SUMIF(Compta!$D:$D,"="&amp;$B104,Compta!F:F)*-1</f>
        <v>0</v>
      </c>
      <c r="G104" s="5">
        <f>SUMIFS(Banque!J:J,Banque!$F:$F,"="&amp;$B104,Banque!$D:$D,"=1")</f>
        <v>0</v>
      </c>
      <c r="H104" s="5">
        <f>SUMIF(Compta!$D:$D,"="&amp;$B104,Compta!G:G)</f>
        <v>0</v>
      </c>
      <c r="I104" s="8">
        <f t="shared" si="3"/>
        <v>0</v>
      </c>
    </row>
    <row r="105" spans="1:9" x14ac:dyDescent="0.25">
      <c r="A105" t="s">
        <v>369</v>
      </c>
      <c r="B105" t="s">
        <v>363</v>
      </c>
      <c r="C105" s="5">
        <f>SUMIF(Banque!$F:$F,"="&amp;$B105,Banque!I:I)*-1</f>
        <v>0</v>
      </c>
      <c r="D105" s="5">
        <f>SUMIF(Banque!$F:$F,"="&amp;$B105,Banque!J:J)</f>
        <v>0</v>
      </c>
      <c r="E105" s="5">
        <f>SUMIFS(Banque!I:I,Banque!$F:$F,"="&amp;$B105,Banque!$D:$D,"=1")*-1</f>
        <v>0</v>
      </c>
      <c r="F105" s="5">
        <f>SUMIF(Compta!$D:$D,"="&amp;$B105,Compta!F:F)*-1</f>
        <v>0</v>
      </c>
      <c r="G105" s="5">
        <f>SUMIFS(Banque!J:J,Banque!$F:$F,"="&amp;$B105,Banque!$D:$D,"=1")</f>
        <v>0</v>
      </c>
      <c r="H105" s="5">
        <f>SUMIF(Compta!$D:$D,"="&amp;$B105,Compta!G:G)</f>
        <v>0</v>
      </c>
      <c r="I105" s="8">
        <f t="shared" si="3"/>
        <v>0</v>
      </c>
    </row>
    <row r="106" spans="1:9" x14ac:dyDescent="0.25">
      <c r="A106" t="s">
        <v>369</v>
      </c>
      <c r="B106" t="s">
        <v>268</v>
      </c>
      <c r="C106" s="5">
        <f>SUMIF(Banque!$F:$F,"="&amp;$B106,Banque!I:I)*-1</f>
        <v>-1463.4299999999998</v>
      </c>
      <c r="D106" s="5">
        <f>SUMIF(Banque!$F:$F,"="&amp;$B106,Banque!J:J)</f>
        <v>0</v>
      </c>
      <c r="E106" s="5">
        <f>SUMIFS(Banque!I:I,Banque!$F:$F,"="&amp;$B106,Banque!$D:$D,"=1")*-1</f>
        <v>0</v>
      </c>
      <c r="F106" s="5">
        <f>SUMIF(Compta!$D:$D,"="&amp;$B106,Compta!F:F)*-1</f>
        <v>-2874.0299999999997</v>
      </c>
      <c r="G106" s="5">
        <f>SUMIFS(Banque!J:J,Banque!$F:$F,"="&amp;$B106,Banque!$D:$D,"=1")</f>
        <v>0</v>
      </c>
      <c r="H106" s="5">
        <f>SUMIF(Compta!$D:$D,"="&amp;$B106,Compta!G:G)</f>
        <v>0</v>
      </c>
      <c r="I106" s="8">
        <f t="shared" si="3"/>
        <v>-1410.6</v>
      </c>
    </row>
    <row r="107" spans="1:9" x14ac:dyDescent="0.25">
      <c r="A107" t="s">
        <v>369</v>
      </c>
      <c r="B107" t="s">
        <v>300</v>
      </c>
      <c r="C107" s="5">
        <f>SUMIF(Banque!$F:$F,"="&amp;$B107,Banque!I:I)*-1</f>
        <v>-310.3</v>
      </c>
      <c r="D107" s="5">
        <f>SUMIF(Banque!$F:$F,"="&amp;$B107,Banque!J:J)</f>
        <v>0</v>
      </c>
      <c r="E107" s="5">
        <f>SUMIFS(Banque!I:I,Banque!$F:$F,"="&amp;$B107,Banque!$D:$D,"=1")*-1</f>
        <v>0</v>
      </c>
      <c r="F107" s="5">
        <f>SUMIF(Compta!$D:$D,"="&amp;$B107,Compta!F:F)*-1</f>
        <v>-310.3</v>
      </c>
      <c r="G107" s="5">
        <f>SUMIFS(Banque!J:J,Banque!$F:$F,"="&amp;$B107,Banque!$D:$D,"=1")</f>
        <v>0</v>
      </c>
      <c r="H107" s="5">
        <f>SUMIF(Compta!$D:$D,"="&amp;$B107,Compta!G:G)</f>
        <v>0</v>
      </c>
      <c r="I107" s="8">
        <f t="shared" si="3"/>
        <v>0</v>
      </c>
    </row>
    <row r="108" spans="1:9" x14ac:dyDescent="0.25">
      <c r="A108" t="s">
        <v>369</v>
      </c>
      <c r="B108" t="s">
        <v>383</v>
      </c>
      <c r="C108" s="5">
        <f>SUMIF(Banque!$F:$F,"="&amp;$B108,Banque!I:I)*-1</f>
        <v>-261</v>
      </c>
      <c r="D108" s="5">
        <f>SUMIF(Banque!$F:$F,"="&amp;$B108,Banque!J:J)</f>
        <v>0</v>
      </c>
      <c r="E108" s="5">
        <f>SUMIFS(Banque!I:I,Banque!$F:$F,"="&amp;$B108,Banque!$D:$D,"=1")*-1</f>
        <v>-261</v>
      </c>
      <c r="F108" s="5">
        <f>SUMIF(Compta!$D:$D,"="&amp;$B108,Compta!F:F)*-1</f>
        <v>0</v>
      </c>
      <c r="G108" s="5">
        <f>SUMIFS(Banque!J:J,Banque!$F:$F,"="&amp;$B108,Banque!$D:$D,"=1")</f>
        <v>0</v>
      </c>
      <c r="H108" s="5">
        <f>SUMIF(Compta!$D:$D,"="&amp;$B108,Compta!G:G)</f>
        <v>0</v>
      </c>
      <c r="I108" s="8">
        <f t="shared" si="3"/>
        <v>0</v>
      </c>
    </row>
    <row r="109" spans="1:9" x14ac:dyDescent="0.25">
      <c r="A109" t="s">
        <v>369</v>
      </c>
      <c r="B109" t="s">
        <v>424</v>
      </c>
      <c r="C109" s="5">
        <f>SUMIF(Banque!$F:$F,"="&amp;$B109,Banque!I:I)*-1</f>
        <v>-687.47</v>
      </c>
      <c r="D109" s="5">
        <f>SUMIF(Banque!$F:$F,"="&amp;$B109,Banque!J:J)</f>
        <v>0</v>
      </c>
      <c r="E109" s="5">
        <f>SUMIFS(Banque!I:I,Banque!$F:$F,"="&amp;$B109,Banque!$D:$D,"=1")*-1</f>
        <v>-687.47</v>
      </c>
      <c r="F109" s="5">
        <f>SUMIF(Compta!$D:$D,"="&amp;$B109,Compta!F:F)*-1</f>
        <v>0</v>
      </c>
      <c r="G109" s="5">
        <f>SUMIFS(Banque!J:J,Banque!$F:$F,"="&amp;$B109,Banque!$D:$D,"=1")</f>
        <v>0</v>
      </c>
      <c r="H109" s="5">
        <f>SUMIF(Compta!$D:$D,"="&amp;$B109,Compta!G:G)</f>
        <v>0</v>
      </c>
      <c r="I109" s="8">
        <f t="shared" si="3"/>
        <v>0</v>
      </c>
    </row>
    <row r="110" spans="1:9" x14ac:dyDescent="0.25">
      <c r="A110" t="s">
        <v>369</v>
      </c>
      <c r="B110" t="s">
        <v>270</v>
      </c>
      <c r="C110" s="5">
        <f>SUMIF(Banque!$F:$F,"="&amp;$B110,Banque!I:I)*-1</f>
        <v>-14555.44</v>
      </c>
      <c r="D110" s="5">
        <f>SUMIF(Banque!$F:$F,"="&amp;$B110,Banque!J:J)</f>
        <v>0</v>
      </c>
      <c r="E110" s="5">
        <f>SUMIFS(Banque!I:I,Banque!$F:$F,"="&amp;$B110,Banque!$D:$D,"=1")*-1</f>
        <v>0</v>
      </c>
      <c r="F110" s="5">
        <f>SUMIF(Compta!$D:$D,"="&amp;$B110,Compta!F:F)*-1</f>
        <v>-24398.690000000002</v>
      </c>
      <c r="G110" s="5">
        <f>SUMIFS(Banque!J:J,Banque!$F:$F,"="&amp;$B110,Banque!$D:$D,"=1")</f>
        <v>0</v>
      </c>
      <c r="H110" s="5">
        <f>SUMIF(Compta!$D:$D,"="&amp;$B110,Compta!G:G)</f>
        <v>0</v>
      </c>
      <c r="I110" s="8">
        <f t="shared" si="3"/>
        <v>-9843.2500000000018</v>
      </c>
    </row>
    <row r="111" spans="1:9" x14ac:dyDescent="0.25">
      <c r="A111" t="s">
        <v>369</v>
      </c>
      <c r="B111" t="s">
        <v>328</v>
      </c>
      <c r="C111" s="5">
        <f>SUMIF(Banque!$F:$F,"="&amp;$B111,Banque!I:I)*-1</f>
        <v>0</v>
      </c>
      <c r="D111" s="5">
        <f>SUMIF(Banque!$F:$F,"="&amp;$B111,Banque!J:J)</f>
        <v>0</v>
      </c>
      <c r="E111" s="5">
        <f>SUMIFS(Banque!I:I,Banque!$F:$F,"="&amp;$B111,Banque!$D:$D,"=1")*-1</f>
        <v>0</v>
      </c>
      <c r="F111" s="5">
        <f>SUMIF(Compta!$D:$D,"="&amp;$B111,Compta!F:F)*-1</f>
        <v>0</v>
      </c>
      <c r="G111" s="5">
        <f>SUMIFS(Banque!J:J,Banque!$F:$F,"="&amp;$B111,Banque!$D:$D,"=1")</f>
        <v>0</v>
      </c>
      <c r="H111" s="5">
        <f>SUMIF(Compta!$D:$D,"="&amp;$B111,Compta!G:G)</f>
        <v>0</v>
      </c>
      <c r="I111" s="8">
        <f t="shared" si="3"/>
        <v>0</v>
      </c>
    </row>
    <row r="112" spans="1:9" x14ac:dyDescent="0.25">
      <c r="A112" t="s">
        <v>369</v>
      </c>
      <c r="B112" t="s">
        <v>339</v>
      </c>
      <c r="C112" s="5">
        <f>SUMIF(Banque!$F:$F,"="&amp;$B112,Banque!I:I)*-1</f>
        <v>0</v>
      </c>
      <c r="D112" s="5">
        <f>SUMIF(Banque!$F:$F,"="&amp;$B112,Banque!J:J)</f>
        <v>0</v>
      </c>
      <c r="E112" s="5">
        <f>SUMIFS(Banque!I:I,Banque!$F:$F,"="&amp;$B112,Banque!$D:$D,"=1")*-1</f>
        <v>0</v>
      </c>
      <c r="F112" s="5">
        <f>SUMIF(Compta!$D:$D,"="&amp;$B112,Compta!F:F)*-1</f>
        <v>0</v>
      </c>
      <c r="G112" s="5">
        <f>SUMIFS(Banque!J:J,Banque!$F:$F,"="&amp;$B112,Banque!$D:$D,"=1")</f>
        <v>0</v>
      </c>
      <c r="H112" s="5">
        <f>SUMIF(Compta!$D:$D,"="&amp;$B112,Compta!G:G)</f>
        <v>0</v>
      </c>
      <c r="I112" s="8">
        <f t="shared" si="3"/>
        <v>0</v>
      </c>
    </row>
    <row r="113" spans="1:9" x14ac:dyDescent="0.25">
      <c r="A113" t="s">
        <v>369</v>
      </c>
      <c r="B113" t="s">
        <v>321</v>
      </c>
      <c r="C113" s="5">
        <f>SUMIF(Banque!$F:$F,"="&amp;$B113,Banque!I:I)*-1</f>
        <v>0</v>
      </c>
      <c r="D113" s="5">
        <f>SUMIF(Banque!$F:$F,"="&amp;$B113,Banque!J:J)</f>
        <v>0</v>
      </c>
      <c r="E113" s="5">
        <f>SUMIFS(Banque!I:I,Banque!$F:$F,"="&amp;$B113,Banque!$D:$D,"=1")*-1</f>
        <v>0</v>
      </c>
      <c r="F113" s="5">
        <f>SUMIF(Compta!$D:$D,"="&amp;$B113,Compta!F:F)*-1</f>
        <v>0</v>
      </c>
      <c r="G113" s="5">
        <f>SUMIFS(Banque!J:J,Banque!$F:$F,"="&amp;$B113,Banque!$D:$D,"=1")</f>
        <v>0</v>
      </c>
      <c r="H113" s="5">
        <f>SUMIF(Compta!$D:$D,"="&amp;$B113,Compta!G:G)</f>
        <v>0</v>
      </c>
      <c r="I113" s="8">
        <f t="shared" si="3"/>
        <v>0</v>
      </c>
    </row>
    <row r="114" spans="1:9" x14ac:dyDescent="0.25">
      <c r="A114" t="s">
        <v>369</v>
      </c>
      <c r="B114" t="s">
        <v>276</v>
      </c>
      <c r="C114" s="5">
        <f>SUMIF(Banque!$F:$F,"="&amp;$B114,Banque!I:I)*-1</f>
        <v>-666.23</v>
      </c>
      <c r="D114" s="5">
        <f>SUMIF(Banque!$F:$F,"="&amp;$B114,Banque!J:J)</f>
        <v>0</v>
      </c>
      <c r="E114" s="5">
        <f>SUMIFS(Banque!I:I,Banque!$F:$F,"="&amp;$B114,Banque!$D:$D,"=1")*-1</f>
        <v>0</v>
      </c>
      <c r="F114" s="5">
        <f>SUMIF(Compta!$D:$D,"="&amp;$B114,Compta!F:F)*-1</f>
        <v>-2508</v>
      </c>
      <c r="G114" s="5">
        <f>SUMIFS(Banque!J:J,Banque!$F:$F,"="&amp;$B114,Banque!$D:$D,"=1")</f>
        <v>0</v>
      </c>
      <c r="H114" s="5">
        <f>SUMIF(Compta!$D:$D,"="&amp;$B114,Compta!G:G)</f>
        <v>0</v>
      </c>
      <c r="I114" s="8">
        <f t="shared" si="3"/>
        <v>-1841.77</v>
      </c>
    </row>
    <row r="115" spans="1:9" x14ac:dyDescent="0.25">
      <c r="A115" t="s">
        <v>369</v>
      </c>
      <c r="B115" t="s">
        <v>331</v>
      </c>
      <c r="C115" s="5">
        <f>SUMIF(Banque!$F:$F,"="&amp;$B115,Banque!I:I)*-1</f>
        <v>0</v>
      </c>
      <c r="D115" s="5">
        <f>SUMIF(Banque!$F:$F,"="&amp;$B115,Banque!J:J)</f>
        <v>0</v>
      </c>
      <c r="E115" s="5">
        <f>SUMIFS(Banque!I:I,Banque!$F:$F,"="&amp;$B115,Banque!$D:$D,"=1")*-1</f>
        <v>0</v>
      </c>
      <c r="F115" s="5">
        <f>SUMIF(Compta!$D:$D,"="&amp;$B115,Compta!F:F)*-1</f>
        <v>0</v>
      </c>
      <c r="G115" s="5">
        <f>SUMIFS(Banque!J:J,Banque!$F:$F,"="&amp;$B115,Banque!$D:$D,"=1")</f>
        <v>0</v>
      </c>
      <c r="H115" s="5">
        <f>SUMIF(Compta!$D:$D,"="&amp;$B115,Compta!G:G)</f>
        <v>0</v>
      </c>
      <c r="I115" s="8">
        <f t="shared" si="3"/>
        <v>0</v>
      </c>
    </row>
    <row r="116" spans="1:9" x14ac:dyDescent="0.25">
      <c r="A116" t="s">
        <v>369</v>
      </c>
      <c r="B116" t="s">
        <v>284</v>
      </c>
      <c r="C116" s="5">
        <f>SUMIF(Banque!$F:$F,"="&amp;$B116,Banque!I:I)*-1</f>
        <v>-670.8</v>
      </c>
      <c r="D116" s="5">
        <f>SUMIF(Banque!$F:$F,"="&amp;$B116,Banque!J:J)</f>
        <v>0</v>
      </c>
      <c r="E116" s="5">
        <f>SUMIFS(Banque!I:I,Banque!$F:$F,"="&amp;$B116,Banque!$D:$D,"=1")*-1</f>
        <v>0</v>
      </c>
      <c r="F116" s="5">
        <f>SUMIF(Compta!$D:$D,"="&amp;$B116,Compta!F:F)*-1</f>
        <v>-670.8</v>
      </c>
      <c r="G116" s="5">
        <f>SUMIFS(Banque!J:J,Banque!$F:$F,"="&amp;$B116,Banque!$D:$D,"=1")</f>
        <v>0</v>
      </c>
      <c r="H116" s="5">
        <f>SUMIF(Compta!$D:$D,"="&amp;$B116,Compta!G:G)</f>
        <v>0</v>
      </c>
      <c r="I116" s="8">
        <f t="shared" si="3"/>
        <v>0</v>
      </c>
    </row>
    <row r="117" spans="1:9" x14ac:dyDescent="0.25">
      <c r="A117" t="s">
        <v>369</v>
      </c>
      <c r="B117" t="s">
        <v>295</v>
      </c>
      <c r="C117" s="5">
        <f>SUMIF(Banque!$F:$F,"="&amp;$B117,Banque!I:I)*-1</f>
        <v>-2170.4</v>
      </c>
      <c r="D117" s="5">
        <f>SUMIF(Banque!$F:$F,"="&amp;$B117,Banque!J:J)</f>
        <v>0</v>
      </c>
      <c r="E117" s="5">
        <f>SUMIFS(Banque!I:I,Banque!$F:$F,"="&amp;$B117,Banque!$D:$D,"=1")*-1</f>
        <v>0</v>
      </c>
      <c r="F117" s="5">
        <f>SUMIF(Compta!$D:$D,"="&amp;$B117,Compta!F:F)*-1</f>
        <v>-2170.4</v>
      </c>
      <c r="G117" s="5">
        <f>SUMIFS(Banque!J:J,Banque!$F:$F,"="&amp;$B117,Banque!$D:$D,"=1")</f>
        <v>0</v>
      </c>
      <c r="H117" s="5">
        <f>SUMIF(Compta!$D:$D,"="&amp;$B117,Compta!G:G)</f>
        <v>0</v>
      </c>
      <c r="I117" s="8">
        <f t="shared" si="3"/>
        <v>0</v>
      </c>
    </row>
    <row r="118" spans="1:9" x14ac:dyDescent="0.25">
      <c r="A118" t="s">
        <v>369</v>
      </c>
      <c r="B118" t="s">
        <v>293</v>
      </c>
      <c r="C118" s="5">
        <f>SUMIF(Banque!$F:$F,"="&amp;$B118,Banque!I:I)*-1</f>
        <v>-405</v>
      </c>
      <c r="D118" s="5">
        <f>SUMIF(Banque!$F:$F,"="&amp;$B118,Banque!J:J)</f>
        <v>0</v>
      </c>
      <c r="E118" s="5">
        <f>SUMIFS(Banque!I:I,Banque!$F:$F,"="&amp;$B118,Banque!$D:$D,"=1")*-1</f>
        <v>0</v>
      </c>
      <c r="F118" s="5">
        <f>SUMIF(Compta!$D:$D,"="&amp;$B118,Compta!F:F)*-1</f>
        <v>-405</v>
      </c>
      <c r="G118" s="5">
        <f>SUMIFS(Banque!J:J,Banque!$F:$F,"="&amp;$B118,Banque!$D:$D,"=1")</f>
        <v>0</v>
      </c>
      <c r="H118" s="5">
        <f>SUMIF(Compta!$D:$D,"="&amp;$B118,Compta!G:G)</f>
        <v>0</v>
      </c>
      <c r="I118" s="8">
        <f t="shared" si="3"/>
        <v>0</v>
      </c>
    </row>
    <row r="119" spans="1:9" x14ac:dyDescent="0.25">
      <c r="A119" t="s">
        <v>369</v>
      </c>
      <c r="B119" t="s">
        <v>352</v>
      </c>
      <c r="C119" s="5">
        <f>SUMIF(Banque!$F:$F,"="&amp;$B119,Banque!I:I)*-1</f>
        <v>0</v>
      </c>
      <c r="D119" s="5">
        <f>SUMIF(Banque!$F:$F,"="&amp;$B119,Banque!J:J)</f>
        <v>0</v>
      </c>
      <c r="E119" s="5">
        <f>SUMIFS(Banque!I:I,Banque!$F:$F,"="&amp;$B119,Banque!$D:$D,"=1")*-1</f>
        <v>0</v>
      </c>
      <c r="F119" s="5">
        <f>SUMIF(Compta!$D:$D,"="&amp;$B119,Compta!F:F)*-1</f>
        <v>-1307.82</v>
      </c>
      <c r="G119" s="5">
        <f>SUMIFS(Banque!J:J,Banque!$F:$F,"="&amp;$B119,Banque!$D:$D,"=1")</f>
        <v>0</v>
      </c>
      <c r="H119" s="5">
        <f>SUMIF(Compta!$D:$D,"="&amp;$B119,Compta!G:G)</f>
        <v>0</v>
      </c>
      <c r="I119" s="8">
        <f t="shared" si="3"/>
        <v>-1307.82</v>
      </c>
    </row>
    <row r="120" spans="1:9" x14ac:dyDescent="0.25">
      <c r="A120" t="s">
        <v>369</v>
      </c>
      <c r="B120" t="s">
        <v>288</v>
      </c>
      <c r="C120" s="5">
        <f>SUMIF(Banque!$F:$F,"="&amp;$B120,Banque!I:I)*-1</f>
        <v>-724.75</v>
      </c>
      <c r="D120" s="5">
        <f>SUMIF(Banque!$F:$F,"="&amp;$B120,Banque!J:J)</f>
        <v>0</v>
      </c>
      <c r="E120" s="5">
        <f>SUMIFS(Banque!I:I,Banque!$F:$F,"="&amp;$B120,Banque!$D:$D,"=1")*-1</f>
        <v>0</v>
      </c>
      <c r="F120" s="5">
        <f>SUMIF(Compta!$D:$D,"="&amp;$B120,Compta!F:F)*-1</f>
        <v>-1213.93</v>
      </c>
      <c r="G120" s="5">
        <f>SUMIFS(Banque!J:J,Banque!$F:$F,"="&amp;$B120,Banque!$D:$D,"=1")</f>
        <v>0</v>
      </c>
      <c r="H120" s="5">
        <f>SUMIF(Compta!$D:$D,"="&amp;$B120,Compta!G:G)</f>
        <v>0</v>
      </c>
      <c r="I120" s="8">
        <f t="shared" si="3"/>
        <v>-489.18000000000006</v>
      </c>
    </row>
    <row r="121" spans="1:9" x14ac:dyDescent="0.25">
      <c r="A121" t="s">
        <v>369</v>
      </c>
      <c r="B121" t="s">
        <v>354</v>
      </c>
      <c r="C121" s="5">
        <f>SUMIF(Banque!$F:$F,"="&amp;$B121,Banque!I:I)*-1</f>
        <v>0</v>
      </c>
      <c r="D121" s="5">
        <f>SUMIF(Banque!$F:$F,"="&amp;$B121,Banque!J:J)</f>
        <v>0</v>
      </c>
      <c r="E121" s="5">
        <f>SUMIFS(Banque!I:I,Banque!$F:$F,"="&amp;$B121,Banque!$D:$D,"=1")*-1</f>
        <v>0</v>
      </c>
      <c r="F121" s="5">
        <f>SUMIF(Compta!$D:$D,"="&amp;$B121,Compta!F:F)*-1</f>
        <v>0</v>
      </c>
      <c r="G121" s="5">
        <f>SUMIFS(Banque!J:J,Banque!$F:$F,"="&amp;$B121,Banque!$D:$D,"=1")</f>
        <v>0</v>
      </c>
      <c r="H121" s="5">
        <f>SUMIF(Compta!$D:$D,"="&amp;$B121,Compta!G:G)</f>
        <v>0</v>
      </c>
      <c r="I121" s="8">
        <f t="shared" si="3"/>
        <v>0</v>
      </c>
    </row>
    <row r="122" spans="1:9" x14ac:dyDescent="0.25">
      <c r="A122" t="s">
        <v>369</v>
      </c>
      <c r="B122" t="s">
        <v>285</v>
      </c>
      <c r="C122" s="5">
        <f>SUMIF(Banque!$F:$F,"="&amp;$B122,Banque!I:I)*-1</f>
        <v>-1252.92</v>
      </c>
      <c r="D122" s="5">
        <f>SUMIF(Banque!$F:$F,"="&amp;$B122,Banque!J:J)</f>
        <v>0</v>
      </c>
      <c r="E122" s="5">
        <f>SUMIFS(Banque!I:I,Banque!$F:$F,"="&amp;$B122,Banque!$D:$D,"=1")*-1</f>
        <v>0</v>
      </c>
      <c r="F122" s="5">
        <f>SUMIF(Compta!$D:$D,"="&amp;$B122,Compta!F:F)*-1</f>
        <v>-4880.2800000000007</v>
      </c>
      <c r="G122" s="5">
        <f>SUMIFS(Banque!J:J,Banque!$F:$F,"="&amp;$B122,Banque!$D:$D,"=1")</f>
        <v>0</v>
      </c>
      <c r="H122" s="5">
        <f>SUMIF(Compta!$D:$D,"="&amp;$B122,Compta!G:G)</f>
        <v>0</v>
      </c>
      <c r="I122" s="8">
        <f t="shared" si="3"/>
        <v>-3627.3600000000006</v>
      </c>
    </row>
    <row r="123" spans="1:9" x14ac:dyDescent="0.25">
      <c r="A123" t="s">
        <v>501</v>
      </c>
      <c r="B123" t="s">
        <v>301</v>
      </c>
      <c r="C123" s="5">
        <f>SUMIF(Banque!$F:$F,"="&amp;$B123,Banque!I:I)*-1</f>
        <v>-360.91</v>
      </c>
      <c r="D123" s="5">
        <f>SUMIF(Banque!$F:$F,"="&amp;$B123,Banque!J:J)</f>
        <v>0</v>
      </c>
      <c r="E123" s="5">
        <f>SUMIFS(Banque!I:I,Banque!$F:$F,"="&amp;$B123,Banque!$D:$D,"=1")*-1</f>
        <v>0</v>
      </c>
      <c r="F123" s="5">
        <f>SUMIF(Compta!$D:$D,"="&amp;$B123,Compta!F:F)*-1</f>
        <v>-360.91</v>
      </c>
      <c r="G123" s="5">
        <f>SUMIFS(Banque!J:J,Banque!$F:$F,"="&amp;$B123,Banque!$D:$D,"=1")</f>
        <v>0</v>
      </c>
      <c r="H123" s="5">
        <f>SUMIF(Compta!$D:$D,"="&amp;$B123,Compta!G:G)</f>
        <v>0</v>
      </c>
      <c r="I123" s="8">
        <f t="shared" si="3"/>
        <v>0</v>
      </c>
    </row>
    <row r="124" spans="1:9" x14ac:dyDescent="0.25">
      <c r="A124" t="s">
        <v>501</v>
      </c>
      <c r="B124" t="s">
        <v>283</v>
      </c>
      <c r="C124" s="5">
        <f>SUMIF(Banque!$F:$F,"="&amp;$B124,Banque!I:I)*-1</f>
        <v>-86.87</v>
      </c>
      <c r="D124" s="5">
        <f>SUMIF(Banque!$F:$F,"="&amp;$B124,Banque!J:J)</f>
        <v>0</v>
      </c>
      <c r="E124" s="5">
        <f>SUMIFS(Banque!I:I,Banque!$F:$F,"="&amp;$B124,Banque!$D:$D,"=1")*-1</f>
        <v>0</v>
      </c>
      <c r="F124" s="5">
        <f>SUMIF(Compta!$D:$D,"="&amp;$B124,Compta!F:F)*-1</f>
        <v>-86.87</v>
      </c>
      <c r="G124" s="5">
        <f>SUMIFS(Banque!J:J,Banque!$F:$F,"="&amp;$B124,Banque!$D:$D,"=1")</f>
        <v>0</v>
      </c>
      <c r="H124" s="5">
        <f>SUMIF(Compta!$D:$D,"="&amp;$B124,Compta!G:G)</f>
        <v>0</v>
      </c>
      <c r="I124" s="8">
        <f t="shared" si="3"/>
        <v>0</v>
      </c>
    </row>
    <row r="125" spans="1:9" x14ac:dyDescent="0.25">
      <c r="A125" t="s">
        <v>501</v>
      </c>
      <c r="B125" t="s">
        <v>302</v>
      </c>
      <c r="C125" s="5">
        <f>SUMIF(Banque!$F:$F,"="&amp;$B125,Banque!I:I)*-1</f>
        <v>0</v>
      </c>
      <c r="D125" s="5">
        <f>SUMIF(Banque!$F:$F,"="&amp;$B125,Banque!J:J)</f>
        <v>0</v>
      </c>
      <c r="E125" s="5">
        <f>SUMIFS(Banque!I:I,Banque!$F:$F,"="&amp;$B125,Banque!$D:$D,"=1")*-1</f>
        <v>0</v>
      </c>
      <c r="F125" s="5">
        <f>SUMIF(Compta!$D:$D,"="&amp;$B125,Compta!F:F)*-1</f>
        <v>-448.01</v>
      </c>
      <c r="G125" s="5">
        <f>SUMIFS(Banque!J:J,Banque!$F:$F,"="&amp;$B125,Banque!$D:$D,"=1")</f>
        <v>0</v>
      </c>
      <c r="H125" s="5">
        <f>SUMIF(Compta!$D:$D,"="&amp;$B125,Compta!G:G)</f>
        <v>0</v>
      </c>
      <c r="I125" s="8">
        <f t="shared" si="3"/>
        <v>-448.01</v>
      </c>
    </row>
    <row r="126" spans="1:9" x14ac:dyDescent="0.25">
      <c r="A126" t="s">
        <v>367</v>
      </c>
      <c r="B126" t="s">
        <v>540</v>
      </c>
      <c r="C126" s="5">
        <f>SUMIF(Banque!$F:$F,"="&amp;$B126,Banque!I:I)*-1</f>
        <v>0</v>
      </c>
      <c r="D126" s="5">
        <f>SUMIF(Banque!$F:$F,"="&amp;$B126,Banque!J:J)</f>
        <v>1602</v>
      </c>
      <c r="E126" s="5">
        <f>SUMIFS(Banque!I:I,Banque!$F:$F,"="&amp;$B126,Banque!$D:$D,"=1")*-1</f>
        <v>0</v>
      </c>
      <c r="F126" s="5">
        <f>SUMIF(Compta!$D:$D,"="&amp;$B126,Compta!F:F)*-1</f>
        <v>0</v>
      </c>
      <c r="G126" s="5">
        <f>SUMIFS(Banque!J:J,Banque!$F:$F,"="&amp;$B126,Banque!$D:$D,"=1")</f>
        <v>0</v>
      </c>
      <c r="H126" s="5">
        <f>SUMIF(Compta!$D:$D,"="&amp;$B126,Compta!G:G)</f>
        <v>1602</v>
      </c>
      <c r="I126" s="8">
        <f t="shared" si="3"/>
        <v>0</v>
      </c>
    </row>
    <row r="127" spans="1:9" x14ac:dyDescent="0.25">
      <c r="A127" t="s">
        <v>367</v>
      </c>
      <c r="B127" t="s">
        <v>314</v>
      </c>
      <c r="C127" s="5">
        <f>SUMIF(Banque!$F:$F,"="&amp;$B127,Banque!I:I)*-1</f>
        <v>0</v>
      </c>
      <c r="D127" s="5">
        <f>SUMIF(Banque!$F:$F,"="&amp;$B127,Banque!J:J)</f>
        <v>0</v>
      </c>
      <c r="E127" s="5">
        <f>SUMIFS(Banque!I:I,Banque!$F:$F,"="&amp;$B127,Banque!$D:$D,"=1")*-1</f>
        <v>0</v>
      </c>
      <c r="F127" s="5">
        <f>SUMIF(Compta!$D:$D,"="&amp;$B127,Compta!F:F)*-1</f>
        <v>0</v>
      </c>
      <c r="G127" s="5">
        <f>SUMIFS(Banque!J:J,Banque!$F:$F,"="&amp;$B127,Banque!$D:$D,"=1")</f>
        <v>0</v>
      </c>
      <c r="H127" s="5">
        <f>SUMIF(Compta!$D:$D,"="&amp;$B127,Compta!G:G)</f>
        <v>0</v>
      </c>
      <c r="I127" s="8">
        <f t="shared" si="3"/>
        <v>0</v>
      </c>
    </row>
    <row r="128" spans="1:9" x14ac:dyDescent="0.25">
      <c r="A128" t="s">
        <v>367</v>
      </c>
      <c r="B128" t="s">
        <v>311</v>
      </c>
      <c r="C128" s="5">
        <f>SUMIF(Banque!$F:$F,"="&amp;$B128,Banque!I:I)*-1</f>
        <v>0</v>
      </c>
      <c r="D128" s="5">
        <f>SUMIF(Banque!$F:$F,"="&amp;$B128,Banque!J:J)</f>
        <v>0</v>
      </c>
      <c r="E128" s="5">
        <f>SUMIFS(Banque!I:I,Banque!$F:$F,"="&amp;$B128,Banque!$D:$D,"=1")*-1</f>
        <v>0</v>
      </c>
      <c r="F128" s="5">
        <f>SUMIF(Compta!$D:$D,"="&amp;$B128,Compta!F:F)*-1</f>
        <v>0</v>
      </c>
      <c r="G128" s="5">
        <f>SUMIFS(Banque!J:J,Banque!$F:$F,"="&amp;$B128,Banque!$D:$D,"=1")</f>
        <v>0</v>
      </c>
      <c r="H128" s="5">
        <f>SUMIF(Compta!$D:$D,"="&amp;$B128,Compta!G:G)</f>
        <v>0</v>
      </c>
      <c r="I128" s="8">
        <f t="shared" si="3"/>
        <v>0</v>
      </c>
    </row>
    <row r="129" spans="1:9" x14ac:dyDescent="0.25">
      <c r="A129" t="s">
        <v>367</v>
      </c>
      <c r="B129" t="s">
        <v>312</v>
      </c>
      <c r="C129" s="5">
        <f>SUMIF(Banque!$F:$F,"="&amp;$B129,Banque!I:I)*-1</f>
        <v>0</v>
      </c>
      <c r="D129" s="5">
        <f>SUMIF(Banque!$F:$F,"="&amp;$B129,Banque!J:J)</f>
        <v>0</v>
      </c>
      <c r="E129" s="5">
        <f>SUMIFS(Banque!I:I,Banque!$F:$F,"="&amp;$B129,Banque!$D:$D,"=1")*-1</f>
        <v>0</v>
      </c>
      <c r="F129" s="5">
        <f>SUMIF(Compta!$D:$D,"="&amp;$B129,Compta!F:F)*-1</f>
        <v>0</v>
      </c>
      <c r="G129" s="5">
        <f>SUMIFS(Banque!J:J,Banque!$F:$F,"="&amp;$B129,Banque!$D:$D,"=1")</f>
        <v>0</v>
      </c>
      <c r="H129" s="5">
        <f>SUMIF(Compta!$D:$D,"="&amp;$B129,Compta!G:G)</f>
        <v>0</v>
      </c>
      <c r="I129" s="8">
        <f t="shared" si="3"/>
        <v>0</v>
      </c>
    </row>
    <row r="130" spans="1:9" x14ac:dyDescent="0.25">
      <c r="A130" t="s">
        <v>367</v>
      </c>
      <c r="B130" t="s">
        <v>309</v>
      </c>
      <c r="C130" s="5">
        <f>SUMIF(Banque!$F:$F,"="&amp;$B130,Banque!I:I)*-1</f>
        <v>0</v>
      </c>
      <c r="D130" s="5">
        <f>SUMIF(Banque!$F:$F,"="&amp;$B130,Banque!J:J)</f>
        <v>0</v>
      </c>
      <c r="E130" s="5">
        <f>SUMIFS(Banque!I:I,Banque!$F:$F,"="&amp;$B130,Banque!$D:$D,"=1")*-1</f>
        <v>0</v>
      </c>
      <c r="F130" s="5">
        <f>SUMIF(Compta!$D:$D,"="&amp;$B130,Compta!F:F)*-1</f>
        <v>0</v>
      </c>
      <c r="G130" s="5">
        <f>SUMIFS(Banque!J:J,Banque!$F:$F,"="&amp;$B130,Banque!$D:$D,"=1")</f>
        <v>0</v>
      </c>
      <c r="H130" s="5">
        <f>SUMIF(Compta!$D:$D,"="&amp;$B130,Compta!G:G)</f>
        <v>0</v>
      </c>
      <c r="I130" s="8">
        <f t="shared" ref="I130:I133" si="4">SUM(E130:H130)-SUM(C130:D130)</f>
        <v>0</v>
      </c>
    </row>
    <row r="131" spans="1:9" x14ac:dyDescent="0.25">
      <c r="A131" t="s">
        <v>367</v>
      </c>
      <c r="B131" t="s">
        <v>310</v>
      </c>
      <c r="C131" s="5">
        <f>SUMIF(Banque!$F:$F,"="&amp;$B131,Banque!I:I)*-1</f>
        <v>0</v>
      </c>
      <c r="D131" s="5">
        <f>SUMIF(Banque!$F:$F,"="&amp;$B131,Banque!J:J)</f>
        <v>0</v>
      </c>
      <c r="E131" s="5">
        <f>SUMIFS(Banque!I:I,Banque!$F:$F,"="&amp;$B131,Banque!$D:$D,"=1")*-1</f>
        <v>0</v>
      </c>
      <c r="F131" s="5">
        <f>SUMIF(Compta!$D:$D,"="&amp;$B131,Compta!F:F)*-1</f>
        <v>0</v>
      </c>
      <c r="G131" s="5">
        <f>SUMIFS(Banque!J:J,Banque!$F:$F,"="&amp;$B131,Banque!$D:$D,"=1")</f>
        <v>0</v>
      </c>
      <c r="H131" s="5">
        <f>SUMIF(Compta!$D:$D,"="&amp;$B131,Compta!G:G)</f>
        <v>0</v>
      </c>
      <c r="I131" s="8">
        <f t="shared" si="4"/>
        <v>0</v>
      </c>
    </row>
    <row r="132" spans="1:9" x14ac:dyDescent="0.25">
      <c r="A132" t="s">
        <v>367</v>
      </c>
      <c r="B132" t="s">
        <v>287</v>
      </c>
      <c r="C132" s="5">
        <f>SUMIF(Banque!$F:$F,"="&amp;$B132,Banque!I:I)*-1</f>
        <v>0</v>
      </c>
      <c r="D132" s="5">
        <f>SUMIF(Banque!$F:$F,"="&amp;$B132,Banque!J:J)</f>
        <v>2163.33</v>
      </c>
      <c r="E132" s="5">
        <f>SUMIFS(Banque!I:I,Banque!$F:$F,"="&amp;$B132,Banque!$D:$D,"=1")*-1</f>
        <v>0</v>
      </c>
      <c r="F132" s="5">
        <f>SUMIF(Compta!$D:$D,"="&amp;$B132,Compta!F:F)*-1</f>
        <v>0</v>
      </c>
      <c r="G132" s="5">
        <f>SUMIFS(Banque!J:J,Banque!$F:$F,"="&amp;$B132,Banque!$D:$D,"=1")</f>
        <v>2163.33</v>
      </c>
      <c r="H132" s="5">
        <f>SUMIF(Compta!$D:$D,"="&amp;$B132,Compta!G:G)</f>
        <v>0</v>
      </c>
      <c r="I132" s="8">
        <f t="shared" si="4"/>
        <v>0</v>
      </c>
    </row>
    <row r="133" spans="1:9" x14ac:dyDescent="0.25">
      <c r="A133" t="s">
        <v>367</v>
      </c>
      <c r="B133" t="s">
        <v>313</v>
      </c>
      <c r="C133" s="5">
        <f>SUMIF(Banque!$F:$F,"="&amp;$B133,Banque!I:I)*-1</f>
        <v>0</v>
      </c>
      <c r="D133" s="5">
        <f>SUMIF(Banque!$F:$F,"="&amp;$B133,Banque!J:J)</f>
        <v>0</v>
      </c>
      <c r="E133" s="5">
        <f>SUMIFS(Banque!I:I,Banque!$F:$F,"="&amp;$B133,Banque!$D:$D,"=1")*-1</f>
        <v>0</v>
      </c>
      <c r="F133" s="5">
        <f>SUMIF(Compta!$D:$D,"="&amp;$B133,Compta!F:F)*-1</f>
        <v>0</v>
      </c>
      <c r="G133" s="5">
        <f>SUMIFS(Banque!J:J,Banque!$F:$F,"="&amp;$B133,Banque!$D:$D,"=1")</f>
        <v>0</v>
      </c>
      <c r="H133" s="5">
        <f>SUMIF(Compta!$D:$D,"="&amp;$B133,Compta!G:G)</f>
        <v>0</v>
      </c>
      <c r="I133" s="8">
        <f t="shared" si="4"/>
        <v>0</v>
      </c>
    </row>
  </sheetData>
  <autoFilter ref="A1:I133" xr:uid="{00000000-0009-0000-0000-000003000000}">
    <sortState xmlns:xlrd2="http://schemas.microsoft.com/office/spreadsheetml/2017/richdata2" ref="A2:I133">
      <sortCondition ref="A1:A131"/>
    </sortState>
  </autoFilter>
  <sortState xmlns:xlrd2="http://schemas.microsoft.com/office/spreadsheetml/2017/richdata2" ref="A2:I132">
    <sortCondition ref="A2:A132"/>
    <sortCondition ref="B2:B132"/>
  </sortState>
  <dataValidations count="1">
    <dataValidation allowBlank="1" sqref="B2:B6 B121:B128 B130 B132:B133" xr:uid="{00000000-0002-0000-0300-000000000000}"/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P13"/>
  <sheetViews>
    <sheetView workbookViewId="0">
      <pane ySplit="1" topLeftCell="A2" activePane="bottomLeft" state="frozen"/>
      <selection pane="bottomLeft" activeCell="P5" sqref="P5"/>
    </sheetView>
  </sheetViews>
  <sheetFormatPr baseColWidth="10" defaultRowHeight="15" outlineLevelCol="1" x14ac:dyDescent="0.25"/>
  <cols>
    <col min="4" max="5" width="11.42578125" hidden="1" customWidth="1" outlineLevel="1"/>
    <col min="6" max="6" width="11.85546875" style="10" bestFit="1" customWidth="1" collapsed="1"/>
    <col min="7" max="7" width="11.85546875" style="10" customWidth="1"/>
    <col min="8" max="8" width="11.85546875" style="10" hidden="1" customWidth="1" outlineLevel="1"/>
    <col min="9" max="9" width="12" style="10" hidden="1" customWidth="1" outlineLevel="1"/>
    <col min="10" max="10" width="11.85546875" style="10" hidden="1" customWidth="1" outlineLevel="1"/>
    <col min="11" max="11" width="12.140625" style="10" hidden="1" customWidth="1" outlineLevel="1"/>
    <col min="12" max="12" width="12.42578125" style="10" bestFit="1" customWidth="1" collapsed="1"/>
    <col min="13" max="13" width="12.42578125" style="10" customWidth="1"/>
    <col min="14" max="15" width="10.85546875" style="10" bestFit="1" customWidth="1"/>
  </cols>
  <sheetData>
    <row r="1" spans="1:16" x14ac:dyDescent="0.25">
      <c r="B1" t="s">
        <v>0</v>
      </c>
      <c r="D1" s="4" t="s">
        <v>506</v>
      </c>
      <c r="E1" s="4" t="s">
        <v>507</v>
      </c>
      <c r="F1" s="10" t="s">
        <v>313</v>
      </c>
      <c r="H1" s="12" t="s">
        <v>502</v>
      </c>
      <c r="I1" s="12" t="s">
        <v>503</v>
      </c>
      <c r="J1" s="12" t="s">
        <v>504</v>
      </c>
      <c r="K1" s="12" t="s">
        <v>505</v>
      </c>
      <c r="L1" s="10" t="s">
        <v>439</v>
      </c>
      <c r="N1" s="12" t="s">
        <v>568</v>
      </c>
      <c r="O1" s="12" t="s">
        <v>567</v>
      </c>
      <c r="P1" s="12" t="s">
        <v>569</v>
      </c>
    </row>
    <row r="2" spans="1:16" x14ac:dyDescent="0.25">
      <c r="A2" s="6"/>
      <c r="B2" s="2">
        <v>43466</v>
      </c>
      <c r="C2" s="2"/>
      <c r="D2">
        <f>SUMIFS(Compta!F:F,Compta!$B:$B,"&gt;="&amp;$B2,Compta!$B:$B,"&lt;"&amp;$B3)*-1</f>
        <v>27522.94000000001</v>
      </c>
      <c r="E2">
        <f>SUMIFS(Compta!G:G,Compta!$B:$B,"&gt;="&amp;$B2,Compta!$B:$B,"&lt;"&amp;$B3)</f>
        <v>0</v>
      </c>
      <c r="F2" s="10">
        <f>SUM(D2:E2,H2:I2)+$A$5</f>
        <v>10303.040000000008</v>
      </c>
      <c r="H2" s="10">
        <f>SUMIFS(Banque!I:I,Banque!$C:$C,"&gt;="&amp;$B2,Banque!$C:$C,"&lt;"&amp;$B3,Banque!$D:$D,"=1",Banque!$F:$F,"&lt;&gt;TVA")*-1</f>
        <v>0</v>
      </c>
      <c r="I2" s="10">
        <f>SUMIFS(Banque!J:J,Banque!$C:$C,"&gt;="&amp;$B2,Banque!$C:$C,"&lt;"&amp;$B3,Banque!$D:$D,"=1",Banque!$F:$F,"&lt;&gt;TVA")</f>
        <v>0</v>
      </c>
      <c r="J2" s="10">
        <f>SUMIFS(Compta!F:F,Compta!$A:$A,"&gt;="&amp;$B2,Compta!$A:$A,"&lt;"&amp;$B3)*-1</f>
        <v>10709.410000000009</v>
      </c>
      <c r="K2" s="10">
        <f>SUMIFS(Compta!G:G,Compta!$A:$A,"&gt;="&amp;$B2,Compta!$A:$A,"&lt;"&amp;$B3)</f>
        <v>0</v>
      </c>
      <c r="L2" s="10">
        <f>SUM(H2:K2)/1.2</f>
        <v>8924.5083333333405</v>
      </c>
      <c r="N2" s="10">
        <f t="shared" ref="N2:N13" si="0">SUM(H2,J2)*1/6</f>
        <v>1784.9016666666682</v>
      </c>
      <c r="O2" s="10">
        <f t="shared" ref="O2:O13" si="1">SUM(I2,K2)*1/6</f>
        <v>0</v>
      </c>
      <c r="P2" s="10">
        <f>N2+O2</f>
        <v>1784.9016666666682</v>
      </c>
    </row>
    <row r="3" spans="1:16" x14ac:dyDescent="0.25">
      <c r="B3" s="2">
        <v>43497</v>
      </c>
      <c r="C3" s="2"/>
      <c r="D3">
        <f>SUMIFS(Compta!F:F,Compta!$B:$B,"&gt;="&amp;$B3,Compta!$B:$B,"&lt;"&amp;$B4)*-1</f>
        <v>-25956.980000000003</v>
      </c>
      <c r="E3">
        <f>SUMIFS(Compta!G:G,Compta!$B:$B,"&gt;="&amp;$B3,Compta!$B:$B,"&lt;"&amp;$B4)</f>
        <v>48247.05</v>
      </c>
      <c r="F3" s="10">
        <f>F2+SUM(D3:E3,H3:I3)</f>
        <v>13891.090000000018</v>
      </c>
      <c r="H3" s="10">
        <f>SUMIFS(Banque!I:I,Banque!$C:$C,"&gt;="&amp;$B3,Banque!$C:$C,"&lt;"&amp;$B4,Banque!$D:$D,"=1",Banque!$F:$F,"&lt;&gt;TVA")*-1</f>
        <v>-18702.01999999999</v>
      </c>
      <c r="I3" s="10">
        <f>SUMIFS(Banque!J:J,Banque!$C:$C,"&gt;="&amp;$B3,Banque!$C:$C,"&lt;"&amp;$B4,Banque!$D:$D,"=1",Banque!$F:$F,"&lt;&gt;TVA")</f>
        <v>0</v>
      </c>
      <c r="J3" s="10">
        <f>SUMIFS(Compta!F:F,Compta!$A:$A,"&gt;="&amp;$B3,Compta!$A:$A,"&lt;"&amp;$B4)*-1</f>
        <v>-18250.11</v>
      </c>
      <c r="K3" s="10">
        <f>SUMIFS(Compta!G:G,Compta!$A:$A,"&gt;="&amp;$B3,Compta!$A:$A,"&lt;"&amp;$B4)</f>
        <v>44752.479999999996</v>
      </c>
      <c r="L3" s="10">
        <f>SUM(H3:K3)/1.2</f>
        <v>6500.2916666666715</v>
      </c>
      <c r="N3" s="10">
        <f t="shared" si="0"/>
        <v>-6158.6883333333317</v>
      </c>
      <c r="O3" s="10">
        <f t="shared" si="1"/>
        <v>7458.746666666666</v>
      </c>
      <c r="P3" s="10">
        <f t="shared" ref="P3:P13" si="2">N3+O3</f>
        <v>1300.0583333333343</v>
      </c>
    </row>
    <row r="4" spans="1:16" x14ac:dyDescent="0.25">
      <c r="A4" t="s">
        <v>508</v>
      </c>
      <c r="B4" s="2">
        <v>43525</v>
      </c>
      <c r="C4" s="2"/>
      <c r="D4">
        <f>SUMIFS(Compta!F:F,Compta!$B:$B,"&gt;="&amp;$B4,Compta!$B:$B,"&lt;"&amp;$B5)*-1</f>
        <v>-17684.530000000002</v>
      </c>
      <c r="E4">
        <f>SUMIFS(Compta!G:G,Compta!$B:$B,"&gt;="&amp;$B4,Compta!$B:$B,"&lt;"&amp;$B5)</f>
        <v>30265.4</v>
      </c>
      <c r="F4" s="10">
        <f t="shared" ref="F4:F13" si="3">SUM(D4:E4,H4:I4)</f>
        <v>-1577.8699999999953</v>
      </c>
      <c r="H4" s="10">
        <f>SUMIFS(Banque!I:I,Banque!$C:$C,"&gt;="&amp;$B4,Banque!$C:$C,"&lt;"&amp;$B5,Banque!$D:$D,"=1",Banque!$F:$F,"&lt;&gt;TVA")*-1</f>
        <v>-15222.069999999994</v>
      </c>
      <c r="I4" s="10">
        <f>SUMIFS(Banque!J:J,Banque!$C:$C,"&gt;="&amp;$B4,Banque!$C:$C,"&lt;"&amp;$B5,Banque!$D:$D,"=1",Banque!$F:$F,"&lt;&gt;TVA")</f>
        <v>1063.33</v>
      </c>
      <c r="J4" s="10">
        <f>SUMIFS(Compta!F:F,Compta!$A:$A,"&gt;="&amp;$B4,Compta!$A:$A,"&lt;"&amp;$B5)*-1</f>
        <v>-16953.239999999998</v>
      </c>
      <c r="K4" s="10">
        <f>SUMIFS(Compta!G:G,Compta!$A:$A,"&gt;="&amp;$B4,Compta!$A:$A,"&lt;"&amp;$B5)</f>
        <v>32326.5</v>
      </c>
      <c r="L4" s="10">
        <f>SUM(H4:K4)/1.2</f>
        <v>1012.1000000000065</v>
      </c>
      <c r="N4" s="10">
        <f t="shared" si="0"/>
        <v>-5362.5516666666654</v>
      </c>
      <c r="O4" s="10">
        <f t="shared" si="1"/>
        <v>5564.9716666666673</v>
      </c>
      <c r="P4" s="10">
        <f t="shared" si="2"/>
        <v>202.42000000000189</v>
      </c>
    </row>
    <row r="5" spans="1:16" x14ac:dyDescent="0.25">
      <c r="A5" s="6">
        <f>Banque!L1</f>
        <v>-17219.900000000001</v>
      </c>
      <c r="B5" s="2">
        <v>43556</v>
      </c>
      <c r="C5" s="2"/>
      <c r="D5">
        <f>SUMIFS(Compta!F:F,Compta!$B:$B,"&gt;="&amp;$B5,Compta!$B:$B,"&lt;"&amp;$B6)*-1</f>
        <v>-30164.139999999992</v>
      </c>
      <c r="E5">
        <f>SUMIFS(Compta!G:G,Compta!$B:$B,"&gt;="&amp;$B5,Compta!$B:$B,"&lt;"&amp;$B6)</f>
        <v>61046.979999999996</v>
      </c>
      <c r="F5" s="10">
        <f t="shared" si="3"/>
        <v>4364.43</v>
      </c>
      <c r="H5" s="10">
        <f>SUMIFS(Banque!I:I,Banque!$C:$C,"&gt;="&amp;$B5,Banque!$C:$C,"&lt;"&amp;$B6,Banque!$D:$D,"=1",Banque!$F:$F,"&lt;&gt;TVA")*-1</f>
        <v>-27618.410000000003</v>
      </c>
      <c r="I5" s="10">
        <f>SUMIFS(Banque!J:J,Banque!$C:$C,"&gt;="&amp;$B5,Banque!$C:$C,"&lt;"&amp;$B6,Banque!$D:$D,"=1",Banque!$F:$F,"&lt;&gt;TVA")</f>
        <v>1100</v>
      </c>
      <c r="J5" s="10">
        <f>SUMIFS(Compta!F:F,Compta!$A:$A,"&gt;="&amp;$B5,Compta!$A:$A,"&lt;"&amp;$B6)*-1</f>
        <v>-30259.67</v>
      </c>
      <c r="K5" s="10">
        <f>SUMIFS(Compta!G:G,Compta!$A:$A,"&gt;="&amp;$B5,Compta!$A:$A,"&lt;"&amp;$B6)</f>
        <v>62198.42</v>
      </c>
      <c r="L5" s="10">
        <f t="shared" ref="L5:L13" si="4">SUM(H5:K5)/1.2</f>
        <v>4516.9499999999971</v>
      </c>
      <c r="N5" s="10">
        <f t="shared" si="0"/>
        <v>-9646.3466666666664</v>
      </c>
      <c r="O5" s="10">
        <f t="shared" si="1"/>
        <v>10549.736666666666</v>
      </c>
      <c r="P5" s="10">
        <f t="shared" si="2"/>
        <v>903.38999999999942</v>
      </c>
    </row>
    <row r="6" spans="1:16" x14ac:dyDescent="0.25">
      <c r="B6" s="2">
        <v>43586</v>
      </c>
      <c r="C6" s="2"/>
      <c r="D6">
        <f>SUMIFS(Compta!F:F,Compta!$B:$B,"&gt;="&amp;$B6,Compta!$B:$B,"&lt;"&amp;$B7)*-1</f>
        <v>-13267.55</v>
      </c>
      <c r="E6">
        <f>SUMIFS(Compta!G:G,Compta!$B:$B,"&gt;="&amp;$B6,Compta!$B:$B,"&lt;"&amp;$B7)</f>
        <v>67478.42</v>
      </c>
      <c r="F6" s="10">
        <f t="shared" si="3"/>
        <v>42840.5</v>
      </c>
      <c r="H6" s="10">
        <f>SUMIFS(Banque!I:I,Banque!$C:$C,"&gt;="&amp;$B6,Banque!$C:$C,"&lt;"&amp;$B7,Banque!$D:$D,"=1",Banque!$F:$F,"&lt;&gt;TVA")*-1</f>
        <v>-14113.489999999998</v>
      </c>
      <c r="I6" s="10">
        <f>SUMIFS(Banque!J:J,Banque!$C:$C,"&gt;="&amp;$B6,Banque!$C:$C,"&lt;"&amp;$B7,Banque!$D:$D,"=1",Banque!$F:$F,"&lt;&gt;TVA")</f>
        <v>2743.12</v>
      </c>
      <c r="J6" s="10">
        <f>SUMIFS(Compta!F:F,Compta!$A:$A,"&gt;="&amp;$B6,Compta!$A:$A,"&lt;"&amp;$B7)*-1</f>
        <v>-20495.059999999998</v>
      </c>
      <c r="K6" s="10">
        <f>SUMIFS(Compta!G:G,Compta!$A:$A,"&gt;="&amp;$B6,Compta!$A:$A,"&lt;"&amp;$B7)</f>
        <v>50186.400000000001</v>
      </c>
      <c r="L6" s="10">
        <f t="shared" si="4"/>
        <v>15267.475000000004</v>
      </c>
      <c r="N6" s="10">
        <f t="shared" si="0"/>
        <v>-5768.0916666666662</v>
      </c>
      <c r="O6" s="10">
        <f t="shared" si="1"/>
        <v>8821.586666666668</v>
      </c>
      <c r="P6" s="10">
        <f t="shared" si="2"/>
        <v>3053.4950000000017</v>
      </c>
    </row>
    <row r="7" spans="1:16" x14ac:dyDescent="0.25">
      <c r="B7" s="2">
        <v>43617</v>
      </c>
      <c r="C7" s="2"/>
      <c r="D7">
        <f>SUMIFS(Compta!F:F,Compta!$B:$B,"&gt;="&amp;$B7,Compta!$B:$B,"&lt;"&amp;$B8)*-1</f>
        <v>-38829.409999999996</v>
      </c>
      <c r="E7">
        <f>SUMIFS(Compta!G:G,Compta!$B:$B,"&gt;="&amp;$B7,Compta!$B:$B,"&lt;"&amp;$B8)</f>
        <v>51066.600000000006</v>
      </c>
      <c r="F7" s="10">
        <f t="shared" si="3"/>
        <v>12237.19000000001</v>
      </c>
      <c r="H7" s="10">
        <f>SUMIFS(Banque!I:I,Banque!$C:$C,"&gt;="&amp;$B7,Banque!$C:$C,"&lt;"&amp;$B8,Banque!$D:$D,"=1",Banque!$F:$F,"&lt;&gt;TVA")*-1</f>
        <v>0</v>
      </c>
      <c r="I7" s="10">
        <f>SUMIFS(Banque!J:J,Banque!$C:$C,"&gt;="&amp;$B7,Banque!$C:$C,"&lt;"&amp;$B8,Banque!$D:$D,"=1",Banque!$F:$F,"&lt;&gt;TVA")</f>
        <v>0</v>
      </c>
      <c r="J7" s="10">
        <f>SUMIFS(Compta!F:F,Compta!$A:$A,"&gt;="&amp;$B7,Compta!$A:$A,"&lt;"&amp;$B8)*-1</f>
        <v>-63.84</v>
      </c>
      <c r="K7" s="10">
        <f>SUMIFS(Compta!G:G,Compta!$A:$A,"&gt;="&amp;$B7,Compta!$A:$A,"&lt;"&amp;$B8)</f>
        <v>0</v>
      </c>
      <c r="L7" s="10">
        <f t="shared" si="4"/>
        <v>-53.2</v>
      </c>
      <c r="N7" s="10">
        <f t="shared" si="0"/>
        <v>-10.64</v>
      </c>
      <c r="O7" s="10">
        <f t="shared" si="1"/>
        <v>0</v>
      </c>
      <c r="P7" s="10">
        <f t="shared" si="2"/>
        <v>-10.64</v>
      </c>
    </row>
    <row r="8" spans="1:16" x14ac:dyDescent="0.25">
      <c r="B8" s="2">
        <v>43647</v>
      </c>
      <c r="C8" s="2"/>
      <c r="D8">
        <f>SUMIFS(Compta!F:F,Compta!$B:$B,"&gt;="&amp;$B8,Compta!$B:$B,"&lt;"&amp;$B9)*-1</f>
        <v>-774.56999999999994</v>
      </c>
      <c r="E8">
        <f>SUMIFS(Compta!G:G,Compta!$B:$B,"&gt;="&amp;$B8,Compta!$B:$B,"&lt;"&amp;$B9)</f>
        <v>0</v>
      </c>
      <c r="F8" s="10">
        <f t="shared" si="3"/>
        <v>-774.56999999999994</v>
      </c>
      <c r="H8" s="10">
        <f>SUMIFS(Banque!I:I,Banque!$C:$C,"&gt;="&amp;$B8,Banque!$C:$C,"&lt;"&amp;$B9,Banque!$D:$D,"=1",Banque!$F:$F,"&lt;&gt;TVA")*-1</f>
        <v>0</v>
      </c>
      <c r="I8" s="10">
        <f>SUMIFS(Banque!J:J,Banque!$C:$C,"&gt;="&amp;$B8,Banque!$C:$C,"&lt;"&amp;$B9,Banque!$D:$D,"=1",Banque!$F:$F,"&lt;&gt;TVA")</f>
        <v>0</v>
      </c>
      <c r="J8" s="10">
        <f>SUMIFS(Compta!F:F,Compta!$A:$A,"&gt;="&amp;$B8,Compta!$A:$A,"&lt;"&amp;$B9)*-1</f>
        <v>0</v>
      </c>
      <c r="K8" s="10">
        <f>SUMIFS(Compta!G:G,Compta!$A:$A,"&gt;="&amp;$B8,Compta!$A:$A,"&lt;"&amp;$B9)</f>
        <v>0</v>
      </c>
      <c r="L8" s="10">
        <f t="shared" si="4"/>
        <v>0</v>
      </c>
      <c r="N8" s="10">
        <f t="shared" si="0"/>
        <v>0</v>
      </c>
      <c r="O8" s="10">
        <f t="shared" si="1"/>
        <v>0</v>
      </c>
      <c r="P8" s="10">
        <f t="shared" si="2"/>
        <v>0</v>
      </c>
    </row>
    <row r="9" spans="1:16" x14ac:dyDescent="0.25">
      <c r="B9" s="2">
        <v>43678</v>
      </c>
      <c r="C9" s="2"/>
      <c r="D9">
        <f>SUMIFS(Compta!F:F,Compta!$B:$B,"&gt;="&amp;$B9,Compta!$B:$B,"&lt;"&amp;$B10)*-1</f>
        <v>0</v>
      </c>
      <c r="E9">
        <f>SUMIFS(Compta!G:G,Compta!$B:$B,"&gt;="&amp;$B9,Compta!$B:$B,"&lt;"&amp;$B10)</f>
        <v>0</v>
      </c>
      <c r="F9" s="10">
        <f t="shared" si="3"/>
        <v>0</v>
      </c>
      <c r="H9" s="10">
        <f>SUMIFS(Banque!I:I,Banque!$C:$C,"&gt;="&amp;$B9,Banque!$C:$C,"&lt;"&amp;$B10,Banque!$D:$D,"=1",Banque!$F:$F,"&lt;&gt;TVA")*-1</f>
        <v>0</v>
      </c>
      <c r="I9" s="10">
        <f>SUMIFS(Banque!J:J,Banque!$C:$C,"&gt;="&amp;$B9,Banque!$C:$C,"&lt;"&amp;$B10,Banque!$D:$D,"=1",Banque!$F:$F,"&lt;&gt;TVA")</f>
        <v>0</v>
      </c>
      <c r="J9" s="10">
        <f>SUMIFS(Compta!F:F,Compta!$A:$A,"&gt;="&amp;$B9,Compta!$A:$A,"&lt;"&amp;$B10)*-1</f>
        <v>0</v>
      </c>
      <c r="K9" s="10">
        <f>SUMIFS(Compta!G:G,Compta!$A:$A,"&gt;="&amp;$B9,Compta!$A:$A,"&lt;"&amp;$B10)</f>
        <v>0</v>
      </c>
      <c r="L9" s="10">
        <f t="shared" si="4"/>
        <v>0</v>
      </c>
      <c r="N9" s="10">
        <f t="shared" si="0"/>
        <v>0</v>
      </c>
      <c r="O9" s="10">
        <f t="shared" si="1"/>
        <v>0</v>
      </c>
      <c r="P9" s="10">
        <f t="shared" si="2"/>
        <v>0</v>
      </c>
    </row>
    <row r="10" spans="1:16" x14ac:dyDescent="0.25">
      <c r="B10" s="2">
        <v>43709</v>
      </c>
      <c r="C10" s="2"/>
      <c r="D10">
        <f>SUMIFS(Compta!F:F,Compta!$B:$B,"&gt;="&amp;$B10,Compta!$B:$B,"&lt;"&amp;$B11)*-1</f>
        <v>0</v>
      </c>
      <c r="E10">
        <f>SUMIFS(Compta!G:G,Compta!$B:$B,"&gt;="&amp;$B10,Compta!$B:$B,"&lt;"&amp;$B11)</f>
        <v>0</v>
      </c>
      <c r="F10" s="10">
        <f t="shared" si="3"/>
        <v>0</v>
      </c>
      <c r="H10" s="10">
        <f>SUMIFS(Banque!I:I,Banque!$C:$C,"&gt;="&amp;$B10,Banque!$C:$C,"&lt;"&amp;$B11,Banque!$D:$D,"=1",Banque!$F:$F,"&lt;&gt;TVA")*-1</f>
        <v>0</v>
      </c>
      <c r="I10" s="10">
        <f>SUMIFS(Banque!J:J,Banque!$C:$C,"&gt;="&amp;$B10,Banque!$C:$C,"&lt;"&amp;$B11,Banque!$D:$D,"=1",Banque!$F:$F,"&lt;&gt;TVA")</f>
        <v>0</v>
      </c>
      <c r="J10" s="10">
        <f>SUMIFS(Compta!F:F,Compta!$A:$A,"&gt;="&amp;$B10,Compta!$A:$A,"&lt;"&amp;$B11)*-1</f>
        <v>0</v>
      </c>
      <c r="K10" s="10">
        <f>SUMIFS(Compta!G:G,Compta!$A:$A,"&gt;="&amp;$B10,Compta!$A:$A,"&lt;"&amp;$B11)</f>
        <v>0</v>
      </c>
      <c r="L10" s="10">
        <f t="shared" si="4"/>
        <v>0</v>
      </c>
      <c r="N10" s="10">
        <f t="shared" si="0"/>
        <v>0</v>
      </c>
      <c r="O10" s="10">
        <f t="shared" si="1"/>
        <v>0</v>
      </c>
      <c r="P10" s="10">
        <f t="shared" si="2"/>
        <v>0</v>
      </c>
    </row>
    <row r="11" spans="1:16" x14ac:dyDescent="0.25">
      <c r="B11" s="2">
        <v>43739</v>
      </c>
      <c r="C11" s="2"/>
      <c r="D11">
        <f>SUMIFS(Compta!F:F,Compta!$B:$B,"&gt;="&amp;$B11,Compta!$B:$B,"&lt;"&amp;$B12)*-1</f>
        <v>0</v>
      </c>
      <c r="E11">
        <f>SUMIFS(Compta!G:G,Compta!$B:$B,"&gt;="&amp;$B11,Compta!$B:$B,"&lt;"&amp;$B12)</f>
        <v>0</v>
      </c>
      <c r="F11" s="10">
        <f t="shared" si="3"/>
        <v>0</v>
      </c>
      <c r="H11" s="10">
        <f>SUMIFS(Banque!I:I,Banque!$C:$C,"&gt;="&amp;$B11,Banque!$C:$C,"&lt;"&amp;$B12,Banque!$D:$D,"=1",Banque!$F:$F,"&lt;&gt;TVA")*-1</f>
        <v>0</v>
      </c>
      <c r="I11" s="10">
        <f>SUMIFS(Banque!J:J,Banque!$C:$C,"&gt;="&amp;$B11,Banque!$C:$C,"&lt;"&amp;$B12,Banque!$D:$D,"=1",Banque!$F:$F,"&lt;&gt;TVA")</f>
        <v>0</v>
      </c>
      <c r="J11" s="10">
        <f>SUMIFS(Compta!F:F,Compta!$A:$A,"&gt;="&amp;$B11,Compta!$A:$A,"&lt;"&amp;$B12)*-1</f>
        <v>0</v>
      </c>
      <c r="K11" s="10">
        <f>SUMIFS(Compta!G:G,Compta!$A:$A,"&gt;="&amp;$B11,Compta!$A:$A,"&lt;"&amp;$B12)</f>
        <v>0</v>
      </c>
      <c r="L11" s="10">
        <f t="shared" si="4"/>
        <v>0</v>
      </c>
      <c r="N11" s="10">
        <f t="shared" si="0"/>
        <v>0</v>
      </c>
      <c r="O11" s="10">
        <f t="shared" si="1"/>
        <v>0</v>
      </c>
      <c r="P11" s="10">
        <f t="shared" si="2"/>
        <v>0</v>
      </c>
    </row>
    <row r="12" spans="1:16" x14ac:dyDescent="0.25">
      <c r="B12" s="2">
        <v>43770</v>
      </c>
      <c r="C12" s="2"/>
      <c r="D12">
        <f>SUMIFS(Compta!F:F,Compta!$B:$B,"&gt;="&amp;$B12,Compta!$B:$B,"&lt;"&amp;$B13)*-1</f>
        <v>0</v>
      </c>
      <c r="E12">
        <f>SUMIFS(Compta!G:G,Compta!$B:$B,"&gt;="&amp;$B12,Compta!$B:$B,"&lt;"&amp;$B13)</f>
        <v>0</v>
      </c>
      <c r="F12" s="10">
        <f t="shared" si="3"/>
        <v>0</v>
      </c>
      <c r="H12" s="10">
        <f>SUMIFS(Banque!I:I,Banque!$C:$C,"&gt;="&amp;$B12,Banque!$C:$C,"&lt;"&amp;$B13,Banque!$D:$D,"=1",Banque!$F:$F,"&lt;&gt;TVA")*-1</f>
        <v>0</v>
      </c>
      <c r="I12" s="10">
        <f>SUMIFS(Banque!J:J,Banque!$C:$C,"&gt;="&amp;$B12,Banque!$C:$C,"&lt;"&amp;$B13,Banque!$D:$D,"=1",Banque!$F:$F,"&lt;&gt;TVA")</f>
        <v>0</v>
      </c>
      <c r="J12" s="10">
        <f>SUMIFS(Compta!F:F,Compta!$A:$A,"&gt;="&amp;$B12,Compta!$A:$A,"&lt;"&amp;$B13)*-1</f>
        <v>0</v>
      </c>
      <c r="K12" s="10">
        <f>SUMIFS(Compta!G:G,Compta!$A:$A,"&gt;="&amp;$B12,Compta!$A:$A,"&lt;"&amp;$B13)</f>
        <v>0</v>
      </c>
      <c r="L12" s="10">
        <f t="shared" si="4"/>
        <v>0</v>
      </c>
      <c r="N12" s="10">
        <f t="shared" si="0"/>
        <v>0</v>
      </c>
      <c r="O12" s="10">
        <f t="shared" si="1"/>
        <v>0</v>
      </c>
      <c r="P12" s="10">
        <f t="shared" si="2"/>
        <v>0</v>
      </c>
    </row>
    <row r="13" spans="1:16" x14ac:dyDescent="0.25">
      <c r="B13" s="2">
        <v>43800</v>
      </c>
      <c r="C13" s="2"/>
      <c r="D13">
        <f>SUMIFS(Compta!F:F,Compta!$B:$B,"&gt;="&amp;$B13,Compta!$B:$B,"&lt;"&amp;$B14)*-1</f>
        <v>0</v>
      </c>
      <c r="E13">
        <f>SUMIFS(Compta!G:G,Compta!$B:$B,"&gt;="&amp;$B13,Compta!$B:$B,"&lt;"&amp;$B14)</f>
        <v>0</v>
      </c>
      <c r="F13" s="10">
        <f t="shared" si="3"/>
        <v>0</v>
      </c>
      <c r="H13" s="10">
        <f>SUMIFS(Banque!I:I,Banque!$C:$C,"&gt;="&amp;$B13,Banque!$C:$C,"&lt;"&amp;$B14,Banque!$D:$D,"=1",Banque!$F:$F,"&lt;&gt;TVA")*-1</f>
        <v>0</v>
      </c>
      <c r="I13" s="10">
        <f>SUMIFS(Banque!J:J,Banque!$C:$C,"&gt;="&amp;$B13,Banque!$C:$C,"&lt;"&amp;$B14,Banque!$D:$D,"=1",Banque!$F:$F,"&lt;&gt;TVA")</f>
        <v>0</v>
      </c>
      <c r="J13" s="10">
        <f>SUMIFS(Compta!F:F,Compta!$A:$A,"&gt;="&amp;$B13,Compta!$A:$A,"&lt;"&amp;$B14)*-1</f>
        <v>0</v>
      </c>
      <c r="K13" s="10">
        <f>SUMIFS(Compta!G:G,Compta!$A:$A,"&gt;="&amp;$B13,Compta!$A:$A,"&lt;"&amp;$B14)</f>
        <v>0</v>
      </c>
      <c r="L13" s="10">
        <f t="shared" si="4"/>
        <v>0</v>
      </c>
      <c r="N13" s="10">
        <f t="shared" si="0"/>
        <v>0</v>
      </c>
      <c r="O13" s="10">
        <f t="shared" si="1"/>
        <v>0</v>
      </c>
      <c r="P13" s="10">
        <f t="shared" si="2"/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/>
  <dimension ref="A1:B1"/>
  <sheetViews>
    <sheetView workbookViewId="0"/>
  </sheetViews>
  <sheetFormatPr baseColWidth="10" defaultRowHeight="15" x14ac:dyDescent="0.25"/>
  <sheetData>
    <row r="1" spans="1:2" x14ac:dyDescent="0.25">
      <c r="A1" t="s">
        <v>272</v>
      </c>
      <c r="B1">
        <v>1.2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</vt:i4>
      </vt:variant>
    </vt:vector>
  </HeadingPairs>
  <TitlesOfParts>
    <vt:vector size="9" baseType="lpstr">
      <vt:lpstr>Banque (2)</vt:lpstr>
      <vt:lpstr>Commandes</vt:lpstr>
      <vt:lpstr>Banque</vt:lpstr>
      <vt:lpstr>Compta</vt:lpstr>
      <vt:lpstr>tab</vt:lpstr>
      <vt:lpstr>Balance</vt:lpstr>
      <vt:lpstr>Analyse</vt:lpstr>
      <vt:lpstr>Data</vt:lpstr>
      <vt:lpstr>TVA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MFB</dc:creator>
  <cp:lastModifiedBy>MFB</cp:lastModifiedBy>
  <dcterms:created xsi:type="dcterms:W3CDTF">2019-04-01T19:22:40Z</dcterms:created>
  <dcterms:modified xsi:type="dcterms:W3CDTF">2019-06-11T10:15:02Z</dcterms:modified>
</cp:coreProperties>
</file>